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Cosmos" sheetId="1" state="visible" r:id="rId1"/>
    <sheet name="M0 · Pilotage" sheetId="2" state="visible" r:id="rId2"/>
    <sheet name="C1 · Capital Humain" sheetId="3" state="visible" r:id="rId3"/>
    <sheet name="C2 · Lease" sheetId="4" state="visible" r:id="rId4"/>
    <sheet name="C3 · Recouvrement" sheetId="5" state="visible" r:id="rId5"/>
    <sheet name="C4 · Footfall" sheetId="6" state="visible" r:id="rId6"/>
    <sheet name="C5 · Marketing" sheetId="7" state="visible" r:id="rId7"/>
    <sheet name="C6 · Commercial" sheetId="8" state="visible" r:id="rId8"/>
    <sheet name="C7 · HSSE" sheetId="9" state="visible" r:id="rId9"/>
    <sheet name="C8 · Facility" sheetId="10" state="visible" r:id="rId10"/>
    <sheet name="M4 · Dictionnaire" sheetId="11" state="visible" r:id="rId11"/>
    <sheet name="M1 · Paramètres" sheetId="12" state="hidden" r:id="rId12"/>
    <sheet name="M2 · i18n" sheetId="13" state="hidden" r:id="rId13"/>
    <sheet name="M3 · Base mensuelle" sheetId="14" state="hidden" r:id="rId14"/>
    <sheet name="M5 · Données graphiques" sheetId="15" state="hidden" r:id="rId15"/>
  </sheets>
  <definedNames>
    <definedName name="I18N_KEY">'M2 · i18n'!$B$4:$B$215</definedName>
    <definedName name="I18N_FR">'M2 · i18n'!$C$4:$C$215</definedName>
    <definedName name="I18N_EN">'M2 · i18n'!$D$4:$D$215</definedName>
    <definedName name="MOIS_FR">'M2 · i18n'!$J$4:$J$15</definedName>
    <definedName name="MOIS_EN">'M2 · i18n'!$K$4:$K$15</definedName>
    <definedName name="P_START">'M0 · Pilotage'!$D$12</definedName>
    <definedName name="P_END">'M0 · Pilotage'!$D$13</definedName>
    <definedName name="PP_START">'M0 · Pilotage'!$D$14</definedName>
    <definedName name="PP_END">'M0 · Pilotage'!$D$15</definedName>
    <definedName name="PY_START">'M0 · Pilotage'!$D$16</definedName>
    <definedName name="PY_END">'M0 · Pilotage'!$D$17</definedName>
    <definedName name="LANG">'M0 · Pilotage'!$D$4</definedName>
    <definedName name="GRAIN">'M0 · Pilotage'!$D$5</definedName>
    <definedName name="ANNEE">'M0 · Pilotage'!$D$6</definedName>
    <definedName name="MOIS">'M0 · Pilotage'!$D$7</definedName>
    <definedName name="PERIODE">'M0 · Pilotage'!$D$8</definedName>
    <definedName name="RAG_KEY">'M1 · Paramètres'!$B$5:$B$126</definedName>
    <definedName name="RAG_SENS">'M1 · Paramètres'!$C$5:$C$126</definedName>
    <definedName name="RAG_SV">'M1 · Paramètres'!$D$5:$D$126</definedName>
    <definedName name="RAG_SA">'M1 · Paramètres'!$E$5:$E$126</definedName>
    <definedName name="BUD_MONTHS">'M1 · Paramètres'!$H$4:$S$4</definedName>
    <definedName name="HDR">'M3 · Base mensuelle'!$D$3:$AM$3</definedName>
    <definedName name="_xlnm.Print_Area" localSheetId="0">'Rapport Cosmos'!$C$1:$N$1872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"/>
    <numFmt numFmtId="165" formatCode="yyyy-mm-dd"/>
    <numFmt numFmtId="166" formatCode="0.0%;[Red]-0.0%;&quot;-&quot;"/>
    <numFmt numFmtId="167" formatCode="mmm yy"/>
    <numFmt numFmtId="168" formatCode="#,##0;[Red](#,##0);&quot;-&quot;"/>
    <numFmt numFmtId="169" formatCode="#,##0.0&quot; M&quot;;[Red](#,##0.0&quot; M&quot;);&quot;–&quot;"/>
    <numFmt numFmtId="170" formatCode="#,##0.0;[Red](#,##0.0);&quot;-&quot;"/>
    <numFmt numFmtId="171" formatCode="[Green]&quot;▲ &quot;0.0%;[Red]&quot;▼ &quot;0.0%;&quot;–&quot;"/>
  </numFmts>
  <fonts count="68">
    <font>
      <name val="Calibri"/>
      <family val="2"/>
      <color theme="1"/>
      <sz val="11"/>
      <scheme val="minor"/>
    </font>
    <font>
      <name val="Segoe UI"/>
      <b val="1"/>
      <color rgb="00E6A742"/>
      <sz val="14"/>
    </font>
    <font>
      <name val="Segoe UI"/>
      <b val="1"/>
      <color rgb="000A0A0A"/>
    </font>
    <font>
      <name val="Consolas"/>
      <color rgb="009CA3AF"/>
      <sz val="9"/>
    </font>
    <font>
      <name val="Segoe UI"/>
      <color rgb="00F5F5F5"/>
    </font>
    <font>
      <name val="Segoe UI"/>
      <color rgb="009CA3AF"/>
    </font>
    <font>
      <name val="Segoe UI"/>
      <b val="1"/>
      <color rgb="00E6A742"/>
    </font>
    <font>
      <name val="Consolas"/>
      <color rgb="00F5F5F5"/>
    </font>
    <font>
      <name val="Segoe UI"/>
      <b val="1"/>
      <color rgb="00E6A742"/>
      <sz val="16"/>
    </font>
    <font>
      <name val="Segoe UI"/>
      <color rgb="009CA3AF"/>
      <sz val="10"/>
    </font>
    <font>
      <name val="Segoe UI"/>
      <b val="1"/>
      <color rgb="00F5F5F5"/>
    </font>
    <font>
      <name val="Consolas"/>
      <b val="1"/>
      <color rgb="00E6A742"/>
      <sz val="12"/>
    </font>
    <font>
      <name val="Consolas"/>
      <b val="1"/>
      <color rgb="00E6A742"/>
    </font>
    <font>
      <name val="Segoe UI"/>
      <i val="1"/>
      <color rgb="009CA3AF"/>
      <sz val="9"/>
    </font>
    <font>
      <name val="Segoe UI"/>
      <color rgb="009CA3AF"/>
      <sz val="9"/>
    </font>
    <font>
      <name val="Consolas"/>
      <color rgb="009CA3AF"/>
    </font>
    <font>
      <name val="Consolas"/>
      <color rgb="00F5F5F5"/>
      <sz val="9"/>
    </font>
    <font>
      <name val="Segoe UI"/>
      <b val="1"/>
      <color rgb="00E6A742"/>
      <sz val="12"/>
    </font>
    <font>
      <name val="Consolas"/>
      <color rgb="000A0A0A"/>
      <sz val="8"/>
    </font>
    <font>
      <name val="Consolas"/>
      <color rgb="009CA3AF"/>
      <sz val="8"/>
    </font>
    <font>
      <name val="Consolas"/>
      <color rgb="00F5F5F5"/>
      <sz val="8"/>
    </font>
    <font>
      <name val="Segoe UI"/>
      <color rgb="00F5F5F5"/>
      <sz val="9"/>
    </font>
    <font>
      <name val="Consolas"/>
      <color rgb="00E6A742"/>
      <sz val="8"/>
    </font>
    <font>
      <name val="Segoe UI"/>
      <color rgb="009CA3AF"/>
      <sz val="8"/>
    </font>
    <font>
      <name val="Segoe UI"/>
      <color rgb="00F5F5F5"/>
      <sz val="8"/>
    </font>
    <font>
      <name val="Grand Hotel"/>
      <b val="1"/>
      <color rgb="00FFFFFF"/>
      <sz val="40"/>
    </font>
    <font>
      <name val="Segoe UI"/>
      <color rgb="00CFE0D9"/>
      <sz val="14"/>
    </font>
    <font>
      <name val="Segoe UI"/>
      <b val="1"/>
      <color rgb="00E6A742"/>
      <sz val="18"/>
    </font>
    <font>
      <name val="Segoe UI"/>
      <color rgb="00CFE0D9"/>
      <sz val="11"/>
    </font>
    <font>
      <name val="Segoe UI"/>
      <color rgb="00CFE0D9"/>
      <sz val="10"/>
    </font>
    <font>
      <name val="Segoe UI"/>
      <b val="1"/>
      <color rgb="00FFFFFF"/>
      <sz val="15"/>
    </font>
    <font>
      <name val="Segoe UI"/>
      <b val="1"/>
      <color rgb="000A352E"/>
      <sz val="12"/>
      <u val="single"/>
    </font>
    <font>
      <name val="Segoe UI"/>
      <color rgb="000A352E"/>
      <sz val="12"/>
      <u val="single"/>
    </font>
    <font>
      <name val="Consolas"/>
      <color rgb="005E6E69"/>
      <sz val="11"/>
    </font>
    <font>
      <name val="Segoe UI"/>
      <color rgb="00CFE0D9"/>
      <sz val="8"/>
      <u val="single"/>
    </font>
    <font>
      <name val="Segoe UI"/>
      <b val="1"/>
      <color rgb="000A352E"/>
      <sz val="12"/>
    </font>
    <font>
      <name val="Segoe UI"/>
      <color rgb="005E6E69"/>
      <sz val="8"/>
    </font>
    <font>
      <name val="Consolas"/>
      <b val="1"/>
      <color rgb="000A352E"/>
      <sz val="12"/>
    </font>
    <font>
      <name val="Segoe UI"/>
      <b val="1"/>
      <sz val="9"/>
    </font>
    <font>
      <name val="Segoe UI"/>
      <sz val="9"/>
    </font>
    <font>
      <name val="Segoe UI"/>
      <color rgb="005E6E69"/>
      <sz val="9"/>
    </font>
    <font>
      <name val="Consolas"/>
      <sz val="9"/>
    </font>
    <font>
      <name val="Segoe UI"/>
      <i val="1"/>
      <color rgb="005E6E69"/>
      <sz val="9"/>
    </font>
    <font>
      <name val="Segoe UI"/>
      <color rgb="005E6E69"/>
      <sz val="10"/>
    </font>
    <font>
      <name val="Consolas"/>
      <b val="1"/>
      <color rgb="000A352E"/>
      <sz val="26"/>
    </font>
    <font>
      <name val="Segoe UI"/>
      <b val="1"/>
      <color rgb="005E6E69"/>
      <sz val="10"/>
    </font>
    <font>
      <name val="Segoe UI"/>
      <b val="1"/>
      <color rgb="000A352E"/>
      <sz val="10"/>
    </font>
    <font>
      <name val="Segoe UI"/>
      <b val="1"/>
      <color rgb="005E6E69"/>
      <sz val="9"/>
    </font>
    <font>
      <name val="Consolas"/>
      <b val="1"/>
      <color rgb="000A352E"/>
      <sz val="14"/>
    </font>
    <font>
      <name val="Segoe UI"/>
      <b val="1"/>
      <color rgb="00FFFFFF"/>
      <sz val="11"/>
    </font>
    <font>
      <name val="Segoe UI"/>
      <b val="1"/>
      <color rgb="00E6A742"/>
      <sz val="11"/>
    </font>
    <font>
      <name val="Segoe UI"/>
      <color rgb="000A2A23"/>
      <sz val="10"/>
    </font>
    <font>
      <name val="Segoe UI"/>
      <b val="1"/>
      <color rgb="000A0A0A"/>
      <sz val="9"/>
    </font>
    <font>
      <name val="Segoe UI"/>
      <i val="1"/>
      <color rgb="000A2A23"/>
      <sz val="10"/>
    </font>
    <font>
      <name val="Segoe UI"/>
      <b val="1"/>
      <color rgb="00FFFFFF"/>
      <sz val="9"/>
    </font>
    <font>
      <name val="Segoe UI"/>
      <color rgb="000A2A23"/>
      <sz val="9"/>
    </font>
    <font>
      <color rgb="00FFFFFF"/>
      <sz val="8"/>
    </font>
    <font>
      <name val="Consolas"/>
      <color rgb="000A2A23"/>
      <sz val="9"/>
    </font>
    <font>
      <name val="Segoe UI"/>
      <b val="1"/>
      <color rgb="00E6A742"/>
      <sz val="9"/>
    </font>
    <font>
      <name val="Segoe UI"/>
      <color rgb="002A7B5D"/>
      <sz val="9"/>
    </font>
    <font>
      <name val="Segoe UI"/>
      <color rgb="008F3B2C"/>
      <sz val="9"/>
    </font>
    <font>
      <name val="Grand Hotel"/>
      <b val="1"/>
      <color rgb="00FFFFFF"/>
      <sz val="38"/>
    </font>
    <font>
      <name val="Segoe UI"/>
      <color rgb="00CFE0D9"/>
      <sz val="12"/>
    </font>
    <font>
      <name val="Segoe UI"/>
      <color rgb="001F6F55"/>
      <sz val="9"/>
      <u val="single"/>
    </font>
    <font>
      <name val="Segoe UI"/>
      <b val="1"/>
      <color rgb="000A2A23"/>
      <sz val="16"/>
    </font>
    <font>
      <name val="Segoe UI"/>
      <b val="1"/>
      <color rgb="000A2A23"/>
      <sz val="9"/>
    </font>
    <font>
      <name val="Consolas"/>
      <color rgb="005E6E69"/>
      <sz val="8"/>
    </font>
    <font>
      <name val="Consolas"/>
      <color rgb="005E6E69"/>
      <sz val="9"/>
    </font>
  </fonts>
  <fills count="11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6A742"/>
      </patternFill>
    </fill>
    <fill>
      <patternFill patternType="solid">
        <fgColor rgb="002A2410"/>
      </patternFill>
    </fill>
    <fill>
      <patternFill patternType="solid">
        <fgColor rgb="0014161A"/>
      </patternFill>
    </fill>
    <fill>
      <patternFill patternType="solid">
        <fgColor rgb="000A352E"/>
      </patternFill>
    </fill>
    <fill>
      <patternFill patternType="solid">
        <fgColor rgb="00FFFFFF"/>
      </patternFill>
    </fill>
    <fill>
      <patternFill patternType="solid">
        <fgColor rgb="00EAF1EE"/>
      </patternFill>
    </fill>
    <fill>
      <patternFill patternType="solid">
        <fgColor rgb="00F1F6F4"/>
      </patternFill>
    </fill>
    <fill>
      <patternFill patternType="solid">
        <fgColor rgb="00EEF3F1"/>
      </patternFill>
    </fill>
  </fills>
  <borders count="19">
    <border>
      <left/>
      <right/>
      <top/>
      <bottom/>
      <diagonal/>
    </border>
    <border>
      <left style="thin">
        <color rgb="00E6A742"/>
      </left>
      <right style="thin">
        <color rgb="00E6A742"/>
      </right>
      <top style="thin">
        <color rgb="00E6A742"/>
      </top>
      <bottom style="thin">
        <color rgb="00E6A742"/>
      </bottom>
    </border>
    <border>
      <left style="thin">
        <color rgb="00D7E2DD"/>
      </left>
    </border>
    <border>
      <right style="thin">
        <color rgb="00D7E2DD"/>
      </right>
    </border>
    <border>
      <left style="thin">
        <color rgb="00D7E2DD"/>
      </left>
      <bottom style="thin">
        <color rgb="00D7E2DD"/>
      </bottom>
    </border>
    <border>
      <right style="thin">
        <color rgb="00D7E2DD"/>
      </right>
      <bottom style="thin">
        <color rgb="00D7E2DD"/>
      </bottom>
    </border>
    <border>
      <bottom style="medium">
        <color rgb="00E6A742"/>
      </bottom>
    </border>
    <border/>
    <border>
      <bottom style="thin">
        <color rgb="00D7E2DD"/>
      </bottom>
    </border>
    <border>
      <left style="thin">
        <color rgb="00D7E2DD"/>
      </left>
      <right style="thin">
        <color rgb="00D7E2DD"/>
      </right>
      <top style="thin">
        <color rgb="00D7E2DD"/>
      </top>
      <bottom style="thin">
        <color rgb="00D7E2DD"/>
      </bottom>
    </border>
    <border>
      <left style="thin">
        <color rgb="00D7E2DD"/>
      </left>
      <right style="thin">
        <color rgb="00D7E2DD"/>
      </right>
      <top style="thin">
        <color rgb="00D7E2DD"/>
      </top>
    </border>
    <border>
      <left style="thin">
        <color rgb="00D7E2DD"/>
      </left>
      <right style="thin">
        <color rgb="00D7E2DD"/>
      </right>
      <bottom style="thin">
        <color rgb="00D7E2DD"/>
      </bottom>
    </border>
    <border>
      <left style="thin">
        <color rgb="00D7E2DD"/>
      </left>
      <top style="thin">
        <color rgb="00D7E2DD"/>
      </top>
      <bottom style="medium">
        <color rgb="00E6A742"/>
      </bottom>
    </border>
    <border>
      <top style="thin">
        <color rgb="00D7E2DD"/>
      </top>
      <bottom style="medium">
        <color rgb="00E6A742"/>
      </bottom>
    </border>
    <border>
      <left/>
      <right/>
      <top style="thin">
        <color rgb="00D7E2DD"/>
      </top>
      <bottom/>
    </border>
    <border>
      <left/>
      <right style="thin">
        <color rgb="00D7E2DD"/>
      </right>
      <top style="thin">
        <color rgb="00D7E2DD"/>
      </top>
      <bottom/>
    </border>
    <border>
      <left style="thin">
        <color rgb="00D7E2DD"/>
      </left>
      <right/>
      <top/>
      <bottom/>
    </border>
    <border>
      <left/>
      <right style="thin">
        <color rgb="00D7E2DD"/>
      </right>
      <top/>
      <bottom/>
    </border>
    <border>
      <left style="thin">
        <color rgb="00D7E2DD"/>
      </left>
      <right/>
      <top style="thin">
        <color rgb="00D7E2DD"/>
      </top>
      <bottom/>
    </border>
  </borders>
  <cellStyleXfs count="1">
    <xf numFmtId="0" fontId="0" fillId="0" borderId="0"/>
  </cellStyleXfs>
  <cellXfs count="138">
    <xf numFmtId="0" fontId="0" fillId="0" borderId="0" pivotButton="0" quotePrefix="0" xfId="0"/>
    <xf numFmtId="0" fontId="0" fillId="6" borderId="0" pivotButton="0" quotePrefix="0" xfId="0"/>
    <xf numFmtId="0" fontId="25" fillId="6" borderId="0" pivotButton="0" quotePrefix="0" xfId="0"/>
    <xf numFmtId="0" fontId="0" fillId="10" borderId="0" pivotButton="0" quotePrefix="0" xfId="0"/>
    <xf numFmtId="0" fontId="26" fillId="6" borderId="0" pivotButton="0" quotePrefix="0" xfId="0"/>
    <xf numFmtId="0" fontId="0" fillId="3" borderId="0" pivotButton="0" quotePrefix="0" xfId="0"/>
    <xf numFmtId="0" fontId="27" fillId="6" borderId="0" pivotButton="0" quotePrefix="0" xfId="0"/>
    <xf numFmtId="0" fontId="28" fillId="6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vertical="center"/>
    </xf>
    <xf numFmtId="0" fontId="31" fillId="10" borderId="0" pivotButton="0" quotePrefix="0" xfId="0"/>
    <xf numFmtId="0" fontId="32" fillId="10" borderId="0" pivotButton="0" quotePrefix="0" xfId="0"/>
    <xf numFmtId="168" fontId="33" fillId="10" borderId="0" pivotButton="0" quotePrefix="0" xfId="0"/>
    <xf numFmtId="166" fontId="33" fillId="10" borderId="0" pivotButton="0" quotePrefix="0" xfId="0"/>
    <xf numFmtId="169" fontId="33" fillId="10" borderId="0" pivotButton="0" quotePrefix="0" xfId="0"/>
    <xf numFmtId="0" fontId="34" fillId="6" borderId="0" applyAlignment="1" pivotButton="0" quotePrefix="0" xfId="0">
      <alignment horizontal="right" vertical="center"/>
    </xf>
    <xf numFmtId="0" fontId="35" fillId="10" borderId="0" pivotButton="0" quotePrefix="0" xfId="0"/>
    <xf numFmtId="0" fontId="0" fillId="6" borderId="2" pivotButton="0" quotePrefix="0" xfId="0"/>
    <xf numFmtId="0" fontId="0" fillId="6" borderId="3" pivotButton="0" quotePrefix="0" xfId="0"/>
    <xf numFmtId="0" fontId="36" fillId="7" borderId="2" pivotButton="0" quotePrefix="0" xfId="0"/>
    <xf numFmtId="0" fontId="0" fillId="10" borderId="3" pivotButton="0" quotePrefix="0" xfId="0"/>
    <xf numFmtId="169" fontId="37" fillId="7" borderId="4" pivotButton="0" quotePrefix="0" xfId="0"/>
    <xf numFmtId="0" fontId="0" fillId="10" borderId="5" pivotButton="0" quotePrefix="0" xfId="0"/>
    <xf numFmtId="166" fontId="37" fillId="7" borderId="4" pivotButton="0" quotePrefix="0" xfId="0"/>
    <xf numFmtId="168" fontId="37" fillId="7" borderId="4" pivotButton="0" quotePrefix="0" xfId="0"/>
    <xf numFmtId="0" fontId="38" fillId="8" borderId="12" pivotButton="0" quotePrefix="0" xfId="0"/>
    <xf numFmtId="0" fontId="38" fillId="8" borderId="13" pivotButton="0" quotePrefix="0" xfId="0"/>
    <xf numFmtId="0" fontId="0" fillId="10" borderId="14" pivotButton="0" quotePrefix="0" xfId="0"/>
    <xf numFmtId="0" fontId="0" fillId="10" borderId="15" pivotButton="0" quotePrefix="0" xfId="0"/>
    <xf numFmtId="0" fontId="39" fillId="10" borderId="16" pivotButton="0" quotePrefix="0" xfId="0"/>
    <xf numFmtId="0" fontId="40" fillId="10" borderId="0" pivotButton="0" quotePrefix="0" xfId="0"/>
    <xf numFmtId="2" fontId="41" fillId="10" borderId="0" pivotButton="0" quotePrefix="0" xfId="0"/>
    <xf numFmtId="0" fontId="0" fillId="10" borderId="17" pivotButton="0" quotePrefix="0" xfId="0"/>
    <xf numFmtId="0" fontId="39" fillId="10" borderId="4" pivotButton="0" quotePrefix="0" xfId="0"/>
    <xf numFmtId="0" fontId="40" fillId="10" borderId="8" pivotButton="0" quotePrefix="0" xfId="0"/>
    <xf numFmtId="2" fontId="41" fillId="10" borderId="8" pivotButton="0" quotePrefix="0" xfId="0"/>
    <xf numFmtId="0" fontId="0" fillId="10" borderId="8" pivotButton="0" quotePrefix="0" xfId="0"/>
    <xf numFmtId="0" fontId="42" fillId="10" borderId="0" pivotButton="0" quotePrefix="0" xfId="0"/>
    <xf numFmtId="0" fontId="0" fillId="6" borderId="7" pivotButton="0" quotePrefix="0" xfId="0"/>
    <xf numFmtId="0" fontId="43" fillId="7" borderId="2" pivotButton="0" quotePrefix="0" xfId="0"/>
    <xf numFmtId="0" fontId="0" fillId="10" borderId="7" pivotButton="0" quotePrefix="0" xfId="0"/>
    <xf numFmtId="170" fontId="44" fillId="7" borderId="2" applyAlignment="1" pivotButton="0" quotePrefix="0" xfId="0">
      <alignment horizontal="left" vertical="center"/>
    </xf>
    <xf numFmtId="171" fontId="45" fillId="7" borderId="4" applyAlignment="1" pivotButton="0" quotePrefix="0" xfId="0">
      <alignment horizontal="left"/>
    </xf>
    <xf numFmtId="0" fontId="46" fillId="10" borderId="0" pivotButton="0" quotePrefix="0" xfId="0"/>
    <xf numFmtId="0" fontId="47" fillId="10" borderId="0" pivotButton="0" quotePrefix="0" xfId="0"/>
    <xf numFmtId="166" fontId="48" fillId="10" borderId="0" applyAlignment="1" pivotButton="0" quotePrefix="0" xfId="0">
      <alignment horizontal="center"/>
    </xf>
    <xf numFmtId="0" fontId="49" fillId="6" borderId="18" applyAlignment="1" pivotButton="0" quotePrefix="0" xfId="0">
      <alignment vertical="center"/>
    </xf>
    <xf numFmtId="0" fontId="0" fillId="6" borderId="14" pivotButton="0" quotePrefix="0" xfId="0"/>
    <xf numFmtId="0" fontId="0" fillId="6" borderId="15" pivotButton="0" quotePrefix="0" xfId="0"/>
    <xf numFmtId="0" fontId="50" fillId="8" borderId="9" pivotButton="0" quotePrefix="0" xfId="0"/>
    <xf numFmtId="0" fontId="0" fillId="10" borderId="16" pivotButton="0" quotePrefix="0" xfId="0"/>
    <xf numFmtId="0" fontId="51" fillId="8" borderId="9" pivotButton="0" quotePrefix="0" xfId="0"/>
    <xf numFmtId="0" fontId="51" fillId="7" borderId="9" pivotButton="0" quotePrefix="0" xfId="0"/>
    <xf numFmtId="0" fontId="52" fillId="3" borderId="16" pivotButton="0" quotePrefix="0" xfId="0"/>
    <xf numFmtId="0" fontId="0" fillId="3" borderId="17" pivotButton="0" quotePrefix="0" xfId="0"/>
    <xf numFmtId="0" fontId="53" fillId="10" borderId="10" applyAlignment="1" pivotButton="0" quotePrefix="0" xfId="0">
      <alignment vertical="top" wrapText="1"/>
    </xf>
    <xf numFmtId="0" fontId="0" fillId="10" borderId="10" pivotButton="0" quotePrefix="0" xfId="0"/>
    <xf numFmtId="0" fontId="0" fillId="0" borderId="10" pivotButton="0" quotePrefix="0" xfId="0"/>
    <xf numFmtId="0" fontId="0" fillId="10" borderId="11" pivotButton="0" quotePrefix="0" xfId="0"/>
    <xf numFmtId="0" fontId="0" fillId="0" borderId="11" pivotButton="0" quotePrefix="0" xfId="0"/>
    <xf numFmtId="0" fontId="0" fillId="10" borderId="4" pivotButton="0" quotePrefix="0" xfId="0"/>
    <xf numFmtId="0" fontId="54" fillId="6" borderId="16" applyAlignment="1" pivotButton="0" quotePrefix="0" xfId="0">
      <alignment horizontal="center" wrapText="1"/>
    </xf>
    <xf numFmtId="0" fontId="54" fillId="6" borderId="0" applyAlignment="1" pivotButton="0" quotePrefix="0" xfId="0">
      <alignment horizontal="center" wrapText="1"/>
    </xf>
    <xf numFmtId="0" fontId="55" fillId="10" borderId="16" pivotButton="0" quotePrefix="0" xfId="0"/>
    <xf numFmtId="0" fontId="40" fillId="10" borderId="0" applyAlignment="1" pivotButton="0" quotePrefix="0" xfId="0">
      <alignment horizontal="center"/>
    </xf>
    <xf numFmtId="170" fontId="57" fillId="10" borderId="0" pivotButton="0" quotePrefix="0" xfId="0"/>
    <xf numFmtId="171" fontId="57" fillId="10" borderId="0" pivotButton="0" quotePrefix="0" xfId="0"/>
    <xf numFmtId="0" fontId="57" fillId="10" borderId="0" pivotButton="0" quotePrefix="0" xfId="0"/>
    <xf numFmtId="0" fontId="38" fillId="10" borderId="0" applyAlignment="1" pivotButton="0" quotePrefix="0" xfId="0">
      <alignment horizontal="center"/>
    </xf>
    <xf numFmtId="0" fontId="56" fillId="0" borderId="0" pivotButton="0" quotePrefix="0" xfId="0"/>
    <xf numFmtId="169" fontId="57" fillId="10" borderId="0" pivotButton="0" quotePrefix="0" xfId="0"/>
    <xf numFmtId="166" fontId="57" fillId="10" borderId="0" pivotButton="0" quotePrefix="0" xfId="0"/>
    <xf numFmtId="0" fontId="58" fillId="10" borderId="16" pivotButton="0" quotePrefix="0" xfId="0"/>
    <xf numFmtId="0" fontId="59" fillId="10" borderId="16" pivotButton="0" quotePrefix="0" xfId="0"/>
    <xf numFmtId="0" fontId="60" fillId="10" borderId="0" pivotButton="0" quotePrefix="0" xfId="0"/>
    <xf numFmtId="0" fontId="51" fillId="10" borderId="10" applyAlignment="1" pivotButton="0" quotePrefix="0" xfId="0">
      <alignment vertical="top" wrapText="1"/>
    </xf>
    <xf numFmtId="0" fontId="46" fillId="10" borderId="16" pivotButton="0" quotePrefix="0" xfId="0"/>
    <xf numFmtId="171" fontId="41" fillId="10" borderId="0" pivotButton="0" quotePrefix="0" xfId="0"/>
    <xf numFmtId="0" fontId="0" fillId="9" borderId="0" pivotButton="0" quotePrefix="0" xfId="0"/>
    <xf numFmtId="166" fontId="44" fillId="7" borderId="2" applyAlignment="1" pivotButton="0" quotePrefix="0" xfId="0">
      <alignment horizontal="left" vertical="center"/>
    </xf>
    <xf numFmtId="0" fontId="54" fillId="6" borderId="16" applyAlignment="1" pivotButton="0" quotePrefix="0" xfId="0">
      <alignment horizontal="left" wrapText="1"/>
    </xf>
    <xf numFmtId="0" fontId="54" fillId="6" borderId="0" applyAlignment="1" pivotButton="0" quotePrefix="0" xfId="0">
      <alignment horizontal="left" wrapText="1"/>
    </xf>
    <xf numFmtId="0" fontId="55" fillId="10" borderId="16" applyAlignment="1" pivotButton="0" quotePrefix="0" xfId="0">
      <alignment horizontal="left"/>
    </xf>
    <xf numFmtId="3" fontId="41" fillId="10" borderId="0" applyAlignment="1" pivotButton="0" quotePrefix="0" xfId="0">
      <alignment horizontal="right"/>
    </xf>
    <xf numFmtId="0" fontId="55" fillId="10" borderId="0" applyAlignment="1" pivotButton="0" quotePrefix="0" xfId="0">
      <alignment horizontal="left"/>
    </xf>
    <xf numFmtId="3" fontId="57" fillId="10" borderId="0" pivotButton="0" quotePrefix="0" xfId="0"/>
    <xf numFmtId="166" fontId="41" fillId="10" borderId="0" applyAlignment="1" pivotButton="0" quotePrefix="0" xfId="0">
      <alignment horizontal="right"/>
    </xf>
    <xf numFmtId="169" fontId="44" fillId="7" borderId="2" applyAlignment="1" pivotButton="0" quotePrefix="0" xfId="0">
      <alignment horizontal="left" vertical="center"/>
    </xf>
    <xf numFmtId="3" fontId="44" fillId="7" borderId="2" applyAlignment="1" pivotButton="0" quotePrefix="0" xfId="0">
      <alignment horizontal="left" vertical="center"/>
    </xf>
    <xf numFmtId="0" fontId="61" fillId="6" borderId="0" pivotButton="0" quotePrefix="0" xfId="0"/>
    <xf numFmtId="0" fontId="62" fillId="6" borderId="0" pivotButton="0" quotePrefix="0" xfId="0"/>
    <xf numFmtId="0" fontId="0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4" borderId="1" applyAlignment="1" pivotButton="0" quotePrefix="0" xfId="0">
      <alignment horizontal="center"/>
    </xf>
    <xf numFmtId="0" fontId="13" fillId="2" borderId="0" pivotButton="0" quotePrefix="0" xfId="0"/>
    <xf numFmtId="164" fontId="12" fillId="2" borderId="0" applyAlignment="1" pivotButton="0" quotePrefix="0" xfId="0">
      <alignment horizontal="center"/>
    </xf>
    <xf numFmtId="0" fontId="14" fillId="2" borderId="0" pivotButton="0" quotePrefix="0" xfId="0"/>
    <xf numFmtId="0" fontId="6" fillId="2" borderId="0" pivotButton="0" quotePrefix="0" xfId="0"/>
    <xf numFmtId="0" fontId="15" fillId="2" borderId="0" pivotButton="0" quotePrefix="0" xfId="0"/>
    <xf numFmtId="165" fontId="7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9" fontId="7" fillId="2" borderId="0" applyAlignment="1" pivotButton="0" quotePrefix="0" xfId="0">
      <alignment horizontal="center"/>
    </xf>
    <xf numFmtId="0" fontId="10" fillId="2" borderId="0" applyAlignment="1" pivotButton="0" quotePrefix="0" xfId="0">
      <alignment horizontal="center"/>
    </xf>
    <xf numFmtId="0" fontId="1" fillId="2" borderId="0" pivotButton="0" quotePrefix="0" xfId="0"/>
    <xf numFmtId="167" fontId="18" fillId="3" borderId="0" applyAlignment="1" pivotButton="0" quotePrefix="0" xfId="0">
      <alignment horizontal="center"/>
    </xf>
    <xf numFmtId="0" fontId="21" fillId="2" borderId="0" pivotButton="0" quotePrefix="0" xfId="0"/>
    <xf numFmtId="3" fontId="22" fillId="4" borderId="0" applyProtection="1" pivotButton="0" quotePrefix="0" xfId="0">
      <protection locked="0" hidden="0"/>
    </xf>
    <xf numFmtId="166" fontId="22" fillId="4" borderId="0" applyProtection="1" pivotButton="0" quotePrefix="0" xfId="0">
      <protection locked="0" hidden="0"/>
    </xf>
    <xf numFmtId="0" fontId="23" fillId="2" borderId="0" pivotButton="0" quotePrefix="0" xfId="0"/>
    <xf numFmtId="0" fontId="24" fillId="5" borderId="0" applyProtection="1" pivotButton="0" quotePrefix="0" xfId="0">
      <protection locked="0" hidden="0"/>
    </xf>
    <xf numFmtId="0" fontId="63" fillId="0" borderId="0" pivotButton="0" quotePrefix="0" xfId="0"/>
    <xf numFmtId="0" fontId="64" fillId="0" borderId="0" pivotButton="0" quotePrefix="0" xfId="0"/>
    <xf numFmtId="0" fontId="65" fillId="8" borderId="6" pivotButton="0" quotePrefix="0" xfId="0"/>
    <xf numFmtId="0" fontId="66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36" fillId="0" borderId="0" pivotButton="0" quotePrefix="0" xfId="0"/>
    <xf numFmtId="0" fontId="65" fillId="0" borderId="0" pivotButton="0" quotePrefix="0" xfId="0"/>
    <xf numFmtId="0" fontId="40" fillId="0" borderId="0" pivotButton="0" quotePrefix="0" xfId="0"/>
    <xf numFmtId="0" fontId="55" fillId="0" borderId="0" pivotButton="0" quotePrefix="0" xfId="0"/>
    <xf numFmtId="0" fontId="67" fillId="0" borderId="0" pivotButton="0" quotePrefix="0" xfId="0"/>
    <xf numFmtId="0" fontId="2" fillId="3" borderId="0" applyAlignment="1" pivotButton="0" quotePrefix="0" xfId="0">
      <alignment horizontal="center"/>
    </xf>
    <xf numFmtId="0" fontId="3" fillId="2" borderId="0" pivotButton="0" quotePrefix="0" xfId="0"/>
    <xf numFmtId="0" fontId="7" fillId="2" borderId="0" pivotButton="0" quotePrefix="0" xfId="0"/>
    <xf numFmtId="2" fontId="7" fillId="2" borderId="0" pivotButton="0" quotePrefix="0" xfId="0"/>
    <xf numFmtId="3" fontId="16" fillId="2" borderId="0" pivotButton="0" quotePrefix="0" xfId="0"/>
    <xf numFmtId="166" fontId="16" fillId="2" borderId="0" pivotButton="0" quotePrefix="0" xfId="0"/>
    <xf numFmtId="0" fontId="5" fillId="2" borderId="0" pivotButton="0" quotePrefix="0" xfId="0"/>
    <xf numFmtId="0" fontId="17" fillId="0" borderId="0" pivotButton="0" quotePrefix="0" xfId="0"/>
    <xf numFmtId="164" fontId="18" fillId="3" borderId="0" applyAlignment="1" pivotButton="0" quotePrefix="0" xfId="0">
      <alignment horizontal="center"/>
    </xf>
    <xf numFmtId="0" fontId="19" fillId="0" borderId="0" pivotButton="0" quotePrefix="0" xfId="0"/>
    <xf numFmtId="3" fontId="20" fillId="0" borderId="0" pivotButton="0" quotePrefix="0" xfId="0"/>
    <xf numFmtId="166" fontId="2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dxfs count="8">
    <dxf>
      <font>
        <name val="Segoe UI"/>
        <b val="1"/>
        <color rgb="002A7B5D"/>
        <sz val="10"/>
      </font>
      <fill>
        <patternFill patternType="solid">
          <fgColor rgb="00DCEFE7"/>
        </patternFill>
      </fill>
    </dxf>
    <dxf>
      <font>
        <name val="Segoe UI"/>
        <b val="1"/>
        <color rgb="008F3B2C"/>
        <sz val="10"/>
      </font>
      <fill>
        <patternFill patternType="solid">
          <fgColor rgb="00F6E0DA"/>
        </patternFill>
      </fill>
    </dxf>
    <dxf>
      <fill>
        <patternFill patternType="solid">
          <fgColor rgb="00F1F6F4"/>
        </patternFill>
      </fill>
    </dxf>
    <dxf>
      <font>
        <b val="1"/>
        <color rgb="002A7B5D"/>
      </font>
      <fill>
        <patternFill patternType="solid">
          <fgColor rgb="00DCEFE7"/>
        </patternFill>
      </fill>
    </dxf>
    <dxf>
      <font>
        <b val="1"/>
        <color rgb="009A6B14"/>
      </font>
      <fill>
        <patternFill patternType="solid">
          <fgColor rgb="00FBEED3"/>
        </patternFill>
      </fill>
    </dxf>
    <dxf>
      <font>
        <b val="1"/>
        <color rgb="008F3B2C"/>
      </font>
      <fill>
        <patternFill patternType="solid">
          <fgColor rgb="00F6E0DA"/>
        </patternFill>
      </fill>
    </dxf>
    <dxf>
      <fill>
        <patternFill patternType="solid">
          <fgColor rgb="00E6A742"/>
        </patternFill>
      </fill>
    </dxf>
    <dxf>
      <fill>
        <patternFill patternType="solid">
          <fgColor rgb="007f1d1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graphiques'!$S$1:$AD$1</f>
            </numRef>
          </cat>
          <val>
            <numRef>
              <f>'M5 · Données graphiques'!$S$2:$AD$2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graphiques'!$AG$1:$AG$2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graphiques'!$AG$4:$AG$5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graphiques'!$AG$7:$AG$8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graphiques'!$S$304:$AD$304</f>
            </numRef>
          </cat>
          <val>
            <numRef>
              <f>'M5 · Données graphiques'!$S$305:$AD$305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graphiques'!$S$306:$AD$306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graphiques'!$S$4:$AD$4</f>
            </numRef>
          </cat>
          <val>
            <numRef>
              <f>'M5 · Données graphiques'!$S$5:$AD$5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graphiques'!$AG$10:$AG$11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graphiques'!$AG$13:$AG$14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graphiques'!$AG$16:$AG$17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Cosmos'!$C$221:$C$227</f>
            </numRef>
          </cat>
          <val>
            <numRef>
              <f>'Rapport Cosmos'!$D$221:$D$227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Cosmos'!$C$260:$C$264</f>
            </numRef>
          </cat>
          <val>
            <numRef>
              <f>'Rapport Cosmos'!$G$260:$G$264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Cosmos'!$C$281:$C$290</f>
            </numRef>
          </cat>
          <val>
            <numRef>
              <f>'Rapport Cosmos'!$E$281:$E$290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Cosmos'!$C$311:$C$315</f>
            </numRef>
          </cat>
          <val>
            <numRef>
              <f>'Rapport Cosmos'!$H$311:$H$315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Cosmos'!$C$332:$C$336</f>
            </numRef>
          </cat>
          <val>
            <numRef>
              <f>'Rapport Cosmos'!$G$332:$G$336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Cosmos'!$C$353:$C$357</f>
            </numRef>
          </cat>
          <val>
            <numRef>
              <f>'Rapport Cosmos'!$F$353:$F$357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Cosmos'!$C$374:$C$379</f>
            </numRef>
          </cat>
          <val>
            <numRef>
              <f>'Rapport Cosmos'!$D$374:$D$379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Cosmos'!$C$396:$C$399</f>
            </numRef>
          </cat>
          <val>
            <numRef>
              <f>'Rapport Cosmos'!$D$396:$D$399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graphiques'!$S$308:$AD$308</f>
            </numRef>
          </cat>
          <val>
            <numRef>
              <f>'M5 · Données graphiques'!$S$309:$AD$309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graphiques'!$S$310:$AD$310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graphiques'!$S$7:$AD$7</f>
            </numRef>
          </cat>
          <val>
            <numRef>
              <f>'M5 · Données graphiques'!$S$8:$AD$8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graphiques'!$AG$19:$AG$20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graphiques'!$AG$22:$AG$23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graphiques'!$AG$25:$AG$26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Cosmos'!$C$500:$C$504</f>
            </numRef>
          </cat>
          <val>
            <numRef>
              <f>'Rapport Cosmos'!$E$500:$E$504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Cosmos'!$C$521:$C$524</f>
            </numRef>
          </cat>
          <val>
            <numRef>
              <f>'Rapport Cosmos'!$E$521:$E$524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Cosmos'!$C$541:$C$545</f>
            </numRef>
          </cat>
          <val>
            <numRef>
              <f>'Rapport Cosmos'!$D$541:$D$545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Cosmos'!$C$594:$C$598</f>
            </numRef>
          </cat>
          <val>
            <numRef>
              <f>'Rapport Cosmos'!$E$594:$E$598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Cosmos'!$C$628:$C$633</f>
            </numRef>
          </cat>
          <val>
            <numRef>
              <f>'Rapport Cosmos'!$F$628:$F$633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Cosmos'!$C$650:$C$652</f>
            </numRef>
          </cat>
          <val>
            <numRef>
              <f>'Rapport Cosmos'!$E$650:$E$652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Cosmos'!$C$669:$C$671</f>
            </numRef>
          </cat>
          <val>
            <numRef>
              <f>'Rapport Cosmos'!$E$669:$E$671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Cosmos'!$C$688:$C$690</f>
            </numRef>
          </cat>
          <val>
            <numRef>
              <f>'Rapport Cosmos'!$G$688:$G$690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Cosmos'!$C$707:$C$710</f>
            </numRef>
          </cat>
          <val>
            <numRef>
              <f>'Rapport Cosmos'!$F$707:$F$710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graphiques'!$S$312:$AD$312</f>
            </numRef>
          </cat>
          <val>
            <numRef>
              <f>'M5 · Données graphiques'!$S$313:$AD$313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graphiques'!$S$314:$AD$314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graphiques'!$S$10:$AD$10</f>
            </numRef>
          </cat>
          <val>
            <numRef>
              <f>'M5 · Données graphiques'!$S$11:$AD$11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graphiques'!$AG$28:$AG$29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graphiques'!$AG$31:$AG$32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graphiques'!$AG$34:$AG$35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Cosmos'!$C$816:$C$820</f>
            </numRef>
          </cat>
          <val>
            <numRef>
              <f>'Rapport Cosmos'!$E$816:$E$820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graphiques'!$S$316:$AD$316</f>
            </numRef>
          </cat>
          <val>
            <numRef>
              <f>'M5 · Données graphiques'!$S$317:$AD$317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graphiques'!$S$318:$AD$318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graphiques'!$S$13:$AD$13</f>
            </numRef>
          </cat>
          <val>
            <numRef>
              <f>'M5 · Données graphiques'!$S$14:$AD$14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graphiques'!$AG$37:$AG$38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graphiques'!$AG$40:$AG$41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graphiques'!$AG$43:$AG$44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Cosmos'!$C$914:$C$917</f>
            </numRef>
          </cat>
          <val>
            <numRef>
              <f>'Rapport Cosmos'!$F$914:$F$917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Cosmos'!$C$954:$C$958</f>
            </numRef>
          </cat>
          <val>
            <numRef>
              <f>'Rapport Cosmos'!$D$954:$D$958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Cosmos'!$C$990:$C$993</f>
            </numRef>
          </cat>
          <val>
            <numRef>
              <f>'Rapport Cosmos'!$G$990:$G$993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Cosmos'!$C$1024:$C$1027</f>
            </numRef>
          </cat>
          <val>
            <numRef>
              <f>'Rapport Cosmos'!$E$1024:$E$1027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graphiques'!$S$320:$AD$320</f>
            </numRef>
          </cat>
          <val>
            <numRef>
              <f>'M5 · Données graphiques'!$S$321:$AD$321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graphiques'!$S$322:$AD$322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graphiques'!$S$16:$AD$16</f>
            </numRef>
          </cat>
          <val>
            <numRef>
              <f>'M5 · Données graphiques'!$S$17:$AD$17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graphiques'!$AG$46:$AG$47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graphiques'!$AG$49:$AG$50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graphiques'!$AG$52:$AG$53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Cosmos'!$C$1135:$C$1140</f>
            </numRef>
          </cat>
          <val>
            <numRef>
              <f>'Rapport Cosmos'!$F$1135:$F$1140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Cosmos'!$C$1157:$C$1162</f>
            </numRef>
          </cat>
          <val>
            <numRef>
              <f>'Rapport Cosmos'!$E$1157:$E$1162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Cosmos'!$C$1201:$C$1204</f>
            </numRef>
          </cat>
          <val>
            <numRef>
              <f>'Rapport Cosmos'!$F$1201:$F$1204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graphiques'!$S$324:$AD$324</f>
            </numRef>
          </cat>
          <val>
            <numRef>
              <f>'M5 · Données graphiques'!$S$325:$AD$325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graphiques'!$S$326:$AD$326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graphiques'!$S$19:$AD$19</f>
            </numRef>
          </cat>
          <val>
            <numRef>
              <f>'M5 · Données graphiques'!$S$20:$AD$20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graphiques'!$AG$55:$AG$56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graphiques'!$AG$58:$AG$59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graphiques'!$AG$61:$AG$62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Cosmos'!$C$1341:$C$1344</f>
            </numRef>
          </cat>
          <val>
            <numRef>
              <f>'Rapport Cosmos'!$D$1341:$D$1344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Cosmos'!$C$1361:$C$1364</f>
            </numRef>
          </cat>
          <val>
            <numRef>
              <f>'Rapport Cosmos'!$E$1361:$E$1364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Cosmos'!$C$1381:$C$1386</f>
            </numRef>
          </cat>
          <val>
            <numRef>
              <f>'Rapport Cosmos'!$D$1381:$D$1386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Cosmos'!$C$1403:$C$1406</f>
            </numRef>
          </cat>
          <val>
            <numRef>
              <f>'Rapport Cosmos'!$D$1403:$D$1406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Cosmos'!$C$1435:$C$1437</f>
            </numRef>
          </cat>
          <val>
            <numRef>
              <f>'Rapport Cosmos'!$E$1435:$E$1437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Cosmos'!$C$1507:$C$1509</f>
            </numRef>
          </cat>
          <val>
            <numRef>
              <f>'Rapport Cosmos'!$E$1507:$E$1509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graphiques'!$S$328:$AD$328</f>
            </numRef>
          </cat>
          <val>
            <numRef>
              <f>'M5 · Données graphiques'!$S$329:$AD$329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graphiques'!$S$330:$AD$330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2"/>
  <chart>
    <plotArea>
      <lineChart>
        <grouping val="standard"/>
        <ser>
          <idx val="0"/>
          <order val="0"/>
          <spPr>
            <a:ln w="26000">
              <a:solidFill>
                <a:srgbClr val="2A7B5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'M5 · Données graphiques'!$S$22:$AD$22</f>
            </numRef>
          </cat>
          <val>
            <numRef>
              <f>'M5 · Données graphiques'!$S$23:$AD$23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graphiques'!$AG$64:$AG$65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graphiques'!$AG$67:$AG$68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2A7B5D"/>
              </a:solidFill>
              <a:ln>
                <a:prstDash val="solid"/>
              </a:ln>
            </spPr>
          </dPt>
          <dPt>
            <idx val="1"/>
            <spPr>
              <a:solidFill>
                <a:srgbClr val="E0E9E5"/>
              </a:solidFill>
              <a:ln>
                <a:prstDash val="solid"/>
              </a:ln>
            </spPr>
          </dPt>
          <val>
            <numRef>
              <f>'M5 · Données graphiques'!$AG$70:$AG$71</f>
            </numRef>
          </val>
        </ser>
        <firstSliceAng val="0"/>
        <holeSize val="72"/>
      </doughnutChart>
    </plotArea>
    <plotVisOnly val="1"/>
    <dispBlanksAs val="gap"/>
  </chart>
  <spPr>
    <a:solidFill>
      <a:srgbClr val="FFFFFF"/>
    </a:solidFill>
    <a:ln>
      <a:prstDash val="solid"/>
    </a:ln>
  </spPr>
</chartSpace>
</file>

<file path=xl/charts/chart71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Cosmos'!$C$1610:$C$1615</f>
            </numRef>
          </cat>
          <val>
            <numRef>
              <f>'Rapport Cosmos'!$F$1610:$F$1615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Cosmos'!$C$1632:$C$1637</f>
            </numRef>
          </cat>
          <val>
            <numRef>
              <f>'Rapport Cosmos'!$F$1632:$F$1637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Cosmos'!$C$1654:$C$1659</f>
            </numRef>
          </cat>
          <val>
            <numRef>
              <f>'Rapport Cosmos'!$D$1654:$D$1659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0A352E"/>
            </a:solidFill>
            <a:ln>
              <a:prstDash val="solid"/>
            </a:ln>
          </spPr>
          <cat>
            <numRef>
              <f>'Rapport Cosmos'!$C$1689:$C$1692</f>
            </numRef>
          </cat>
          <val>
            <numRef>
              <f>'Rapport Cosmos'!$F$1689:$F$1692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Cosmos'!$C$1729:$C$1734</f>
            </numRef>
          </cat>
          <val>
            <numRef>
              <f>'Rapport Cosmos'!$E$1729:$E$1734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'Rapport Cosmos'!$C$1763:$C$1766</f>
            </numRef>
          </cat>
          <val>
            <numRef>
              <f>'Rapport Cosmos'!$E$1763:$E$1766</f>
            </numRef>
          </val>
        </ser>
        <dLbls>
          <showVal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solidFill>
              <a:srgbClr val="3C7A6B"/>
            </a:solidFill>
            <a:ln>
              <a:prstDash val="solid"/>
            </a:ln>
          </spPr>
          <cat>
            <numRef>
              <f>'M5 · Données graphiques'!$S$332:$AD$332</f>
            </numRef>
          </cat>
          <val>
            <numRef>
              <f>'M5 · Données graphiques'!$S$333:$AD$333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spPr>
            <a:ln w="28000">
              <a:solidFill>
                <a:srgbClr val="E6A74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'M5 · Données graphiques'!$S$334:$AD$334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Relationship Type="http://schemas.openxmlformats.org/officeDocument/2006/relationships/chart" Target="/xl/charts/chart31.xml" Id="rId31" /><Relationship Type="http://schemas.openxmlformats.org/officeDocument/2006/relationships/chart" Target="/xl/charts/chart32.xml" Id="rId32" /><Relationship Type="http://schemas.openxmlformats.org/officeDocument/2006/relationships/chart" Target="/xl/charts/chart33.xml" Id="rId33" /><Relationship Type="http://schemas.openxmlformats.org/officeDocument/2006/relationships/chart" Target="/xl/charts/chart34.xml" Id="rId34" /><Relationship Type="http://schemas.openxmlformats.org/officeDocument/2006/relationships/chart" Target="/xl/charts/chart35.xml" Id="rId35" /><Relationship Type="http://schemas.openxmlformats.org/officeDocument/2006/relationships/chart" Target="/xl/charts/chart36.xml" Id="rId36" /><Relationship Type="http://schemas.openxmlformats.org/officeDocument/2006/relationships/chart" Target="/xl/charts/chart37.xml" Id="rId37" /><Relationship Type="http://schemas.openxmlformats.org/officeDocument/2006/relationships/chart" Target="/xl/charts/chart38.xml" Id="rId38" /><Relationship Type="http://schemas.openxmlformats.org/officeDocument/2006/relationships/chart" Target="/xl/charts/chart39.xml" Id="rId39" /><Relationship Type="http://schemas.openxmlformats.org/officeDocument/2006/relationships/chart" Target="/xl/charts/chart40.xml" Id="rId40" /><Relationship Type="http://schemas.openxmlformats.org/officeDocument/2006/relationships/chart" Target="/xl/charts/chart41.xml" Id="rId41" /><Relationship Type="http://schemas.openxmlformats.org/officeDocument/2006/relationships/chart" Target="/xl/charts/chart42.xml" Id="rId42" /><Relationship Type="http://schemas.openxmlformats.org/officeDocument/2006/relationships/chart" Target="/xl/charts/chart43.xml" Id="rId43" /><Relationship Type="http://schemas.openxmlformats.org/officeDocument/2006/relationships/chart" Target="/xl/charts/chart44.xml" Id="rId44" /><Relationship Type="http://schemas.openxmlformats.org/officeDocument/2006/relationships/chart" Target="/xl/charts/chart45.xml" Id="rId45" /><Relationship Type="http://schemas.openxmlformats.org/officeDocument/2006/relationships/chart" Target="/xl/charts/chart46.xml" Id="rId46" /><Relationship Type="http://schemas.openxmlformats.org/officeDocument/2006/relationships/chart" Target="/xl/charts/chart47.xml" Id="rId47" /><Relationship Type="http://schemas.openxmlformats.org/officeDocument/2006/relationships/chart" Target="/xl/charts/chart48.xml" Id="rId48" /><Relationship Type="http://schemas.openxmlformats.org/officeDocument/2006/relationships/chart" Target="/xl/charts/chart49.xml" Id="rId49" /><Relationship Type="http://schemas.openxmlformats.org/officeDocument/2006/relationships/chart" Target="/xl/charts/chart50.xml" Id="rId50" /><Relationship Type="http://schemas.openxmlformats.org/officeDocument/2006/relationships/chart" Target="/xl/charts/chart51.xml" Id="rId51" /><Relationship Type="http://schemas.openxmlformats.org/officeDocument/2006/relationships/chart" Target="/xl/charts/chart52.xml" Id="rId52" /><Relationship Type="http://schemas.openxmlformats.org/officeDocument/2006/relationships/chart" Target="/xl/charts/chart53.xml" Id="rId53" /><Relationship Type="http://schemas.openxmlformats.org/officeDocument/2006/relationships/chart" Target="/xl/charts/chart54.xml" Id="rId54" /><Relationship Type="http://schemas.openxmlformats.org/officeDocument/2006/relationships/chart" Target="/xl/charts/chart55.xml" Id="rId55" /><Relationship Type="http://schemas.openxmlformats.org/officeDocument/2006/relationships/chart" Target="/xl/charts/chart56.xml" Id="rId56" /><Relationship Type="http://schemas.openxmlformats.org/officeDocument/2006/relationships/chart" Target="/xl/charts/chart57.xml" Id="rId57" /><Relationship Type="http://schemas.openxmlformats.org/officeDocument/2006/relationships/chart" Target="/xl/charts/chart58.xml" Id="rId58" /><Relationship Type="http://schemas.openxmlformats.org/officeDocument/2006/relationships/chart" Target="/xl/charts/chart59.xml" Id="rId59" /><Relationship Type="http://schemas.openxmlformats.org/officeDocument/2006/relationships/chart" Target="/xl/charts/chart60.xml" Id="rId60" /><Relationship Type="http://schemas.openxmlformats.org/officeDocument/2006/relationships/chart" Target="/xl/charts/chart61.xml" Id="rId61" /><Relationship Type="http://schemas.openxmlformats.org/officeDocument/2006/relationships/chart" Target="/xl/charts/chart62.xml" Id="rId62" /><Relationship Type="http://schemas.openxmlformats.org/officeDocument/2006/relationships/chart" Target="/xl/charts/chart63.xml" Id="rId63" /><Relationship Type="http://schemas.openxmlformats.org/officeDocument/2006/relationships/chart" Target="/xl/charts/chart64.xml" Id="rId64" /><Relationship Type="http://schemas.openxmlformats.org/officeDocument/2006/relationships/chart" Target="/xl/charts/chart65.xml" Id="rId65" /><Relationship Type="http://schemas.openxmlformats.org/officeDocument/2006/relationships/chart" Target="/xl/charts/chart66.xml" Id="rId66" /><Relationship Type="http://schemas.openxmlformats.org/officeDocument/2006/relationships/chart" Target="/xl/charts/chart67.xml" Id="rId67" /><Relationship Type="http://schemas.openxmlformats.org/officeDocument/2006/relationships/chart" Target="/xl/charts/chart68.xml" Id="rId68" /><Relationship Type="http://schemas.openxmlformats.org/officeDocument/2006/relationships/chart" Target="/xl/charts/chart69.xml" Id="rId69" /><Relationship Type="http://schemas.openxmlformats.org/officeDocument/2006/relationships/chart" Target="/xl/charts/chart70.xml" Id="rId70" /><Relationship Type="http://schemas.openxmlformats.org/officeDocument/2006/relationships/chart" Target="/xl/charts/chart71.xml" Id="rId71" /><Relationship Type="http://schemas.openxmlformats.org/officeDocument/2006/relationships/chart" Target="/xl/charts/chart72.xml" Id="rId72" /><Relationship Type="http://schemas.openxmlformats.org/officeDocument/2006/relationships/chart" Target="/xl/charts/chart73.xml" Id="rId73" /><Relationship Type="http://schemas.openxmlformats.org/officeDocument/2006/relationships/chart" Target="/xl/charts/chart74.xml" Id="rId74" /><Relationship Type="http://schemas.openxmlformats.org/officeDocument/2006/relationships/chart" Target="/xl/charts/chart75.xml" Id="rId75" /><Relationship Type="http://schemas.openxmlformats.org/officeDocument/2006/relationships/chart" Target="/xl/charts/chart76.xml" Id="rId76" /><Relationship Type="http://schemas.openxmlformats.org/officeDocument/2006/relationships/chart" Target="/xl/charts/chart77.xml" Id="rId77" /><Relationship Type="http://schemas.openxmlformats.org/officeDocument/2006/relationships/image" Target="/xl/media/image1.png" Id="rId78" /><Relationship Type="http://schemas.openxmlformats.org/officeDocument/2006/relationships/image" Target="/xl/media/image2.png" Id="rId79" /><Relationship Type="http://schemas.openxmlformats.org/officeDocument/2006/relationships/image" Target="/xl/media/image3.png" Id="rId80" /><Relationship Type="http://schemas.openxmlformats.org/officeDocument/2006/relationships/image" Target="/xl/media/image4.png" Id="rId81" /><Relationship Type="http://schemas.openxmlformats.org/officeDocument/2006/relationships/image" Target="/xl/media/image5.png" Id="rId82" /><Relationship Type="http://schemas.openxmlformats.org/officeDocument/2006/relationships/image" Target="/xl/media/image6.png" Id="rId83" /><Relationship Type="http://schemas.openxmlformats.org/officeDocument/2006/relationships/image" Target="/xl/media/image7.png" Id="rId84" /><Relationship Type="http://schemas.openxmlformats.org/officeDocument/2006/relationships/image" Target="/xl/media/image8.png" Id="rId85" /><Relationship Type="http://schemas.openxmlformats.org/officeDocument/2006/relationships/image" Target="/xl/media/image9.png" Id="rId86" /><Relationship Type="http://schemas.openxmlformats.org/officeDocument/2006/relationships/image" Target="/xl/media/image10.png" Id="rId87" /><Relationship Type="http://schemas.openxmlformats.org/officeDocument/2006/relationships/image" Target="/xl/media/image11.png" Id="rId88" /><Relationship Type="http://schemas.openxmlformats.org/officeDocument/2006/relationships/image" Target="/xl/media/image12.png" Id="rId89" /><Relationship Type="http://schemas.openxmlformats.org/officeDocument/2006/relationships/image" Target="/xl/media/image13.png" Id="rId90" /><Relationship Type="http://schemas.openxmlformats.org/officeDocument/2006/relationships/image" Target="/xl/media/image14.png" Id="rId91" /><Relationship Type="http://schemas.openxmlformats.org/officeDocument/2006/relationships/image" Target="/xl/media/image15.png" Id="rId92" /><Relationship Type="http://schemas.openxmlformats.org/officeDocument/2006/relationships/image" Target="/xl/media/image16.png" Id="rId93" /><Relationship Type="http://schemas.openxmlformats.org/officeDocument/2006/relationships/image" Target="/xl/media/image17.png" Id="rId94" /><Relationship Type="http://schemas.openxmlformats.org/officeDocument/2006/relationships/image" Target="/xl/media/image18.png" Id="rId95" /><Relationship Type="http://schemas.openxmlformats.org/officeDocument/2006/relationships/image" Target="/xl/media/image19.png" Id="rId96" /><Relationship Type="http://schemas.openxmlformats.org/officeDocument/2006/relationships/image" Target="/xl/media/image20.png" Id="rId97" /><Relationship Type="http://schemas.openxmlformats.org/officeDocument/2006/relationships/image" Target="/xl/media/image21.png" Id="rId98" /><Relationship Type="http://schemas.openxmlformats.org/officeDocument/2006/relationships/image" Target="/xl/media/image22.png" Id="rId99" /><Relationship Type="http://schemas.openxmlformats.org/officeDocument/2006/relationships/image" Target="/xl/media/image23.png" Id="rId100" /><Relationship Type="http://schemas.openxmlformats.org/officeDocument/2006/relationships/image" Target="/xl/media/image24.png" Id="rId101" /><Relationship Type="http://schemas.openxmlformats.org/officeDocument/2006/relationships/image" Target="/xl/media/image25.png" Id="rId102" /><Relationship Type="http://schemas.openxmlformats.org/officeDocument/2006/relationships/image" Target="/xl/media/image26.png" Id="rId103" /><Relationship Type="http://schemas.openxmlformats.org/officeDocument/2006/relationships/image" Target="/xl/media/image27.png" Id="rId104" /><Relationship Type="http://schemas.openxmlformats.org/officeDocument/2006/relationships/image" Target="/xl/media/image28.png" Id="rId105" /><Relationship Type="http://schemas.openxmlformats.org/officeDocument/2006/relationships/image" Target="/xl/media/image29.png" Id="rId106" /><Relationship Type="http://schemas.openxmlformats.org/officeDocument/2006/relationships/image" Target="/xl/media/image30.png" Id="rId107" /><Relationship Type="http://schemas.openxmlformats.org/officeDocument/2006/relationships/image" Target="/xl/media/image31.png" Id="rId108" /><Relationship Type="http://schemas.openxmlformats.org/officeDocument/2006/relationships/image" Target="/xl/media/image32.png" Id="rId109" /><Relationship Type="http://schemas.openxmlformats.org/officeDocument/2006/relationships/image" Target="/xl/media/image33.png" Id="rId110" /><Relationship Type="http://schemas.openxmlformats.org/officeDocument/2006/relationships/image" Target="/xl/media/image34.png" Id="rId111" /><Relationship Type="http://schemas.openxmlformats.org/officeDocument/2006/relationships/image" Target="/xl/media/image35.png" Id="rId112" /><Relationship Type="http://schemas.openxmlformats.org/officeDocument/2006/relationships/image" Target="/xl/media/image36.png" Id="rId113" /><Relationship Type="http://schemas.openxmlformats.org/officeDocument/2006/relationships/image" Target="/xl/media/image37.png" Id="rId114" /><Relationship Type="http://schemas.openxmlformats.org/officeDocument/2006/relationships/image" Target="/xl/media/image38.png" Id="rId115" /><Relationship Type="http://schemas.openxmlformats.org/officeDocument/2006/relationships/image" Target="/xl/media/image39.png" Id="rId116" /><Relationship Type="http://schemas.openxmlformats.org/officeDocument/2006/relationships/image" Target="/xl/media/image40.png" Id="rId117" /><Relationship Type="http://schemas.openxmlformats.org/officeDocument/2006/relationships/image" Target="/xl/media/image41.png" Id="rId118" /><Relationship Type="http://schemas.openxmlformats.org/officeDocument/2006/relationships/image" Target="/xl/media/image42.png" Id="rId119" /><Relationship Type="http://schemas.openxmlformats.org/officeDocument/2006/relationships/image" Target="/xl/media/image43.png" Id="rId120" /><Relationship Type="http://schemas.openxmlformats.org/officeDocument/2006/relationships/image" Target="/xl/media/image44.png" Id="rId1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0</colOff>
      <row>94</row>
      <rowOff>0</rowOff>
    </from>
    <ext cx="8640000" cy="194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</col>
      <colOff>0</colOff>
      <row>107</row>
      <rowOff>0</rowOff>
    </from>
    <ext cx="1584000" cy="14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107</row>
      <rowOff>0</rowOff>
    </from>
    <ext cx="1584000" cy="14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107</row>
      <rowOff>0</rowOff>
    </from>
    <ext cx="1584000" cy="14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2</col>
      <colOff>0</colOff>
      <row>156</row>
      <rowOff>0</rowOff>
    </from>
    <ext cx="8640000" cy="2015999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2</col>
      <colOff>0</colOff>
      <row>194</row>
      <rowOff>0</rowOff>
    </from>
    <ext cx="8640000" cy="194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2</col>
      <colOff>0</colOff>
      <row>207</row>
      <rowOff>0</rowOff>
    </from>
    <ext cx="1584000" cy="14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6</col>
      <colOff>0</colOff>
      <row>207</row>
      <rowOff>0</rowOff>
    </from>
    <ext cx="1584000" cy="14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207</row>
      <rowOff>0</rowOff>
    </from>
    <ext cx="1584000" cy="144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2</col>
      <colOff>0</colOff>
      <row>228</row>
      <rowOff>0</rowOff>
    </from>
    <ext cx="6480000" cy="2232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2</col>
      <colOff>0</colOff>
      <row>265</row>
      <rowOff>0</rowOff>
    </from>
    <ext cx="3600000" cy="2232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2</col>
      <colOff>0</colOff>
      <row>291</row>
      <rowOff>0</rowOff>
    </from>
    <ext cx="6480000" cy="2232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2</col>
      <colOff>0</colOff>
      <row>316</row>
      <rowOff>0</rowOff>
    </from>
    <ext cx="3600000" cy="2232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2</col>
      <colOff>0</colOff>
      <row>337</row>
      <rowOff>0</rowOff>
    </from>
    <ext cx="3600000" cy="2232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2</col>
      <colOff>0</colOff>
      <row>358</row>
      <rowOff>0</rowOff>
    </from>
    <ext cx="6480000" cy="2232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2</col>
      <colOff>0</colOff>
      <row>380</row>
      <rowOff>0</rowOff>
    </from>
    <ext cx="6480000" cy="2232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2</col>
      <colOff>0</colOff>
      <row>400</row>
      <rowOff>0</rowOff>
    </from>
    <ext cx="6480000" cy="2232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2</col>
      <colOff>0</colOff>
      <row>432</row>
      <rowOff>0</rowOff>
    </from>
    <ext cx="8640000" cy="2015999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2</col>
      <colOff>0</colOff>
      <row>473</row>
      <rowOff>0</rowOff>
    </from>
    <ext cx="8640000" cy="1944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2</col>
      <colOff>0</colOff>
      <row>486</row>
      <rowOff>0</rowOff>
    </from>
    <ext cx="1584000" cy="144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6</col>
      <colOff>0</colOff>
      <row>486</row>
      <rowOff>0</rowOff>
    </from>
    <ext cx="1584000" cy="144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10</col>
      <colOff>0</colOff>
      <row>486</row>
      <rowOff>0</rowOff>
    </from>
    <ext cx="1584000" cy="144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2</col>
      <colOff>0</colOff>
      <row>505</row>
      <rowOff>0</rowOff>
    </from>
    <ext cx="6480000" cy="2232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2</col>
      <colOff>0</colOff>
      <row>525</row>
      <rowOff>0</rowOff>
    </from>
    <ext cx="6480000" cy="2232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2</col>
      <colOff>0</colOff>
      <row>546</row>
      <rowOff>0</rowOff>
    </from>
    <ext cx="6480000" cy="2232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2</col>
      <colOff>0</colOff>
      <row>599</row>
      <rowOff>0</rowOff>
    </from>
    <ext cx="6480000" cy="2232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2</col>
      <colOff>0</colOff>
      <row>634</row>
      <rowOff>0</rowOff>
    </from>
    <ext cx="6480000" cy="2232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2</col>
      <colOff>0</colOff>
      <row>653</row>
      <rowOff>0</rowOff>
    </from>
    <ext cx="6480000" cy="2232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2</col>
      <colOff>0</colOff>
      <row>672</row>
      <rowOff>0</rowOff>
    </from>
    <ext cx="6480000" cy="2232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2</col>
      <colOff>0</colOff>
      <row>691</row>
      <rowOff>0</rowOff>
    </from>
    <ext cx="3600000" cy="2232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  <oneCellAnchor>
    <from>
      <col>2</col>
      <colOff>0</colOff>
      <row>711</row>
      <rowOff>0</rowOff>
    </from>
    <ext cx="3600000" cy="2232000"/>
    <graphicFrame>
      <nvGraphicFramePr>
        <cNvPr id="31" name="Chart 31"/>
        <cNvGraphicFramePr/>
      </nvGraphicFramePr>
      <xfrm/>
      <a:graphic>
        <a:graphicData uri="http://schemas.openxmlformats.org/drawingml/2006/chart">
          <c:chart r:id="rId31"/>
        </a:graphicData>
      </a:graphic>
    </graphicFrame>
    <clientData/>
  </oneCellAnchor>
  <oneCellAnchor>
    <from>
      <col>2</col>
      <colOff>0</colOff>
      <row>733</row>
      <rowOff>0</rowOff>
    </from>
    <ext cx="8640000" cy="2015999"/>
    <graphicFrame>
      <nvGraphicFramePr>
        <cNvPr id="32" name="Chart 32"/>
        <cNvGraphicFramePr/>
      </nvGraphicFramePr>
      <xfrm/>
      <a:graphic>
        <a:graphicData uri="http://schemas.openxmlformats.org/drawingml/2006/chart">
          <c:chart r:id="rId32"/>
        </a:graphicData>
      </a:graphic>
    </graphicFrame>
    <clientData/>
  </oneCellAnchor>
  <oneCellAnchor>
    <from>
      <col>2</col>
      <colOff>0</colOff>
      <row>772</row>
      <rowOff>0</rowOff>
    </from>
    <ext cx="8640000" cy="1944000"/>
    <graphicFrame>
      <nvGraphicFramePr>
        <cNvPr id="33" name="Chart 33"/>
        <cNvGraphicFramePr/>
      </nvGraphicFramePr>
      <xfrm/>
      <a:graphic>
        <a:graphicData uri="http://schemas.openxmlformats.org/drawingml/2006/chart">
          <c:chart r:id="rId33"/>
        </a:graphicData>
      </a:graphic>
    </graphicFrame>
    <clientData/>
  </oneCellAnchor>
  <oneCellAnchor>
    <from>
      <col>2</col>
      <colOff>0</colOff>
      <row>785</row>
      <rowOff>0</rowOff>
    </from>
    <ext cx="1584000" cy="1440000"/>
    <graphicFrame>
      <nvGraphicFramePr>
        <cNvPr id="34" name="Chart 34"/>
        <cNvGraphicFramePr/>
      </nvGraphicFramePr>
      <xfrm/>
      <a:graphic>
        <a:graphicData uri="http://schemas.openxmlformats.org/drawingml/2006/chart">
          <c:chart r:id="rId34"/>
        </a:graphicData>
      </a:graphic>
    </graphicFrame>
    <clientData/>
  </oneCellAnchor>
  <oneCellAnchor>
    <from>
      <col>6</col>
      <colOff>0</colOff>
      <row>785</row>
      <rowOff>0</rowOff>
    </from>
    <ext cx="1584000" cy="1440000"/>
    <graphicFrame>
      <nvGraphicFramePr>
        <cNvPr id="35" name="Chart 35"/>
        <cNvGraphicFramePr/>
      </nvGraphicFramePr>
      <xfrm/>
      <a:graphic>
        <a:graphicData uri="http://schemas.openxmlformats.org/drawingml/2006/chart">
          <c:chart r:id="rId35"/>
        </a:graphicData>
      </a:graphic>
    </graphicFrame>
    <clientData/>
  </oneCellAnchor>
  <oneCellAnchor>
    <from>
      <col>10</col>
      <colOff>0</colOff>
      <row>785</row>
      <rowOff>0</rowOff>
    </from>
    <ext cx="1584000" cy="1440000"/>
    <graphicFrame>
      <nvGraphicFramePr>
        <cNvPr id="36" name="Chart 36"/>
        <cNvGraphicFramePr/>
      </nvGraphicFramePr>
      <xfrm/>
      <a:graphic>
        <a:graphicData uri="http://schemas.openxmlformats.org/drawingml/2006/chart">
          <c:chart r:id="rId36"/>
        </a:graphicData>
      </a:graphic>
    </graphicFrame>
    <clientData/>
  </oneCellAnchor>
  <oneCellAnchor>
    <from>
      <col>2</col>
      <colOff>0</colOff>
      <row>821</row>
      <rowOff>0</rowOff>
    </from>
    <ext cx="3600000" cy="2232000"/>
    <graphicFrame>
      <nvGraphicFramePr>
        <cNvPr id="37" name="Chart 37"/>
        <cNvGraphicFramePr/>
      </nvGraphicFramePr>
      <xfrm/>
      <a:graphic>
        <a:graphicData uri="http://schemas.openxmlformats.org/drawingml/2006/chart">
          <c:chart r:id="rId37"/>
        </a:graphicData>
      </a:graphic>
    </graphicFrame>
    <clientData/>
  </oneCellAnchor>
  <oneCellAnchor>
    <from>
      <col>2</col>
      <colOff>0</colOff>
      <row>836</row>
      <rowOff>0</rowOff>
    </from>
    <ext cx="8640000" cy="2015999"/>
    <graphicFrame>
      <nvGraphicFramePr>
        <cNvPr id="38" name="Chart 38"/>
        <cNvGraphicFramePr/>
      </nvGraphicFramePr>
      <xfrm/>
      <a:graphic>
        <a:graphicData uri="http://schemas.openxmlformats.org/drawingml/2006/chart">
          <c:chart r:id="rId38"/>
        </a:graphicData>
      </a:graphic>
    </graphicFrame>
    <clientData/>
  </oneCellAnchor>
  <oneCellAnchor>
    <from>
      <col>2</col>
      <colOff>0</colOff>
      <row>873</row>
      <rowOff>0</rowOff>
    </from>
    <ext cx="8640000" cy="1944000"/>
    <graphicFrame>
      <nvGraphicFramePr>
        <cNvPr id="39" name="Chart 39"/>
        <cNvGraphicFramePr/>
      </nvGraphicFramePr>
      <xfrm/>
      <a:graphic>
        <a:graphicData uri="http://schemas.openxmlformats.org/drawingml/2006/chart">
          <c:chart r:id="rId39"/>
        </a:graphicData>
      </a:graphic>
    </graphicFrame>
    <clientData/>
  </oneCellAnchor>
  <oneCellAnchor>
    <from>
      <col>2</col>
      <colOff>0</colOff>
      <row>886</row>
      <rowOff>0</rowOff>
    </from>
    <ext cx="1584000" cy="1440000"/>
    <graphicFrame>
      <nvGraphicFramePr>
        <cNvPr id="40" name="Chart 40"/>
        <cNvGraphicFramePr/>
      </nvGraphicFramePr>
      <xfrm/>
      <a:graphic>
        <a:graphicData uri="http://schemas.openxmlformats.org/drawingml/2006/chart">
          <c:chart r:id="rId40"/>
        </a:graphicData>
      </a:graphic>
    </graphicFrame>
    <clientData/>
  </oneCellAnchor>
  <oneCellAnchor>
    <from>
      <col>6</col>
      <colOff>0</colOff>
      <row>886</row>
      <rowOff>0</rowOff>
    </from>
    <ext cx="1584000" cy="1440000"/>
    <graphicFrame>
      <nvGraphicFramePr>
        <cNvPr id="41" name="Chart 41"/>
        <cNvGraphicFramePr/>
      </nvGraphicFramePr>
      <xfrm/>
      <a:graphic>
        <a:graphicData uri="http://schemas.openxmlformats.org/drawingml/2006/chart">
          <c:chart r:id="rId41"/>
        </a:graphicData>
      </a:graphic>
    </graphicFrame>
    <clientData/>
  </oneCellAnchor>
  <oneCellAnchor>
    <from>
      <col>10</col>
      <colOff>0</colOff>
      <row>886</row>
      <rowOff>0</rowOff>
    </from>
    <ext cx="1584000" cy="1440000"/>
    <graphicFrame>
      <nvGraphicFramePr>
        <cNvPr id="42" name="Chart 42"/>
        <cNvGraphicFramePr/>
      </nvGraphicFramePr>
      <xfrm/>
      <a:graphic>
        <a:graphicData uri="http://schemas.openxmlformats.org/drawingml/2006/chart">
          <c:chart r:id="rId42"/>
        </a:graphicData>
      </a:graphic>
    </graphicFrame>
    <clientData/>
  </oneCellAnchor>
  <oneCellAnchor>
    <from>
      <col>2</col>
      <colOff>0</colOff>
      <row>918</row>
      <rowOff>0</rowOff>
    </from>
    <ext cx="3600000" cy="2232000"/>
    <graphicFrame>
      <nvGraphicFramePr>
        <cNvPr id="43" name="Chart 43"/>
        <cNvGraphicFramePr/>
      </nvGraphicFramePr>
      <xfrm/>
      <a:graphic>
        <a:graphicData uri="http://schemas.openxmlformats.org/drawingml/2006/chart">
          <c:chart r:id="rId43"/>
        </a:graphicData>
      </a:graphic>
    </graphicFrame>
    <clientData/>
  </oneCellAnchor>
  <oneCellAnchor>
    <from>
      <col>2</col>
      <colOff>0</colOff>
      <row>959</row>
      <rowOff>0</rowOff>
    </from>
    <ext cx="3600000" cy="2232000"/>
    <graphicFrame>
      <nvGraphicFramePr>
        <cNvPr id="44" name="Chart 44"/>
        <cNvGraphicFramePr/>
      </nvGraphicFramePr>
      <xfrm/>
      <a:graphic>
        <a:graphicData uri="http://schemas.openxmlformats.org/drawingml/2006/chart">
          <c:chart r:id="rId44"/>
        </a:graphicData>
      </a:graphic>
    </graphicFrame>
    <clientData/>
  </oneCellAnchor>
  <oneCellAnchor>
    <from>
      <col>2</col>
      <colOff>0</colOff>
      <row>994</row>
      <rowOff>0</rowOff>
    </from>
    <ext cx="3600000" cy="2232000"/>
    <graphicFrame>
      <nvGraphicFramePr>
        <cNvPr id="45" name="Chart 45"/>
        <cNvGraphicFramePr/>
      </nvGraphicFramePr>
      <xfrm/>
      <a:graphic>
        <a:graphicData uri="http://schemas.openxmlformats.org/drawingml/2006/chart">
          <c:chart r:id="rId45"/>
        </a:graphicData>
      </a:graphic>
    </graphicFrame>
    <clientData/>
  </oneCellAnchor>
  <oneCellAnchor>
    <from>
      <col>2</col>
      <colOff>0</colOff>
      <row>1028</row>
      <rowOff>0</rowOff>
    </from>
    <ext cx="6480000" cy="2232000"/>
    <graphicFrame>
      <nvGraphicFramePr>
        <cNvPr id="46" name="Chart 46"/>
        <cNvGraphicFramePr/>
      </nvGraphicFramePr>
      <xfrm/>
      <a:graphic>
        <a:graphicData uri="http://schemas.openxmlformats.org/drawingml/2006/chart">
          <c:chart r:id="rId46"/>
        </a:graphicData>
      </a:graphic>
    </graphicFrame>
    <clientData/>
  </oneCellAnchor>
  <oneCellAnchor>
    <from>
      <col>2</col>
      <colOff>0</colOff>
      <row>1057</row>
      <rowOff>0</rowOff>
    </from>
    <ext cx="8640000" cy="2015999"/>
    <graphicFrame>
      <nvGraphicFramePr>
        <cNvPr id="47" name="Chart 47"/>
        <cNvGraphicFramePr/>
      </nvGraphicFramePr>
      <xfrm/>
      <a:graphic>
        <a:graphicData uri="http://schemas.openxmlformats.org/drawingml/2006/chart">
          <c:chart r:id="rId47"/>
        </a:graphicData>
      </a:graphic>
    </graphicFrame>
    <clientData/>
  </oneCellAnchor>
  <oneCellAnchor>
    <from>
      <col>2</col>
      <colOff>0</colOff>
      <row>1094</row>
      <rowOff>0</rowOff>
    </from>
    <ext cx="8640000" cy="1944000"/>
    <graphicFrame>
      <nvGraphicFramePr>
        <cNvPr id="48" name="Chart 48"/>
        <cNvGraphicFramePr/>
      </nvGraphicFramePr>
      <xfrm/>
      <a:graphic>
        <a:graphicData uri="http://schemas.openxmlformats.org/drawingml/2006/chart">
          <c:chart r:id="rId48"/>
        </a:graphicData>
      </a:graphic>
    </graphicFrame>
    <clientData/>
  </oneCellAnchor>
  <oneCellAnchor>
    <from>
      <col>2</col>
      <colOff>0</colOff>
      <row>1107</row>
      <rowOff>0</rowOff>
    </from>
    <ext cx="1584000" cy="1440000"/>
    <graphicFrame>
      <nvGraphicFramePr>
        <cNvPr id="49" name="Chart 49"/>
        <cNvGraphicFramePr/>
      </nvGraphicFramePr>
      <xfrm/>
      <a:graphic>
        <a:graphicData uri="http://schemas.openxmlformats.org/drawingml/2006/chart">
          <c:chart r:id="rId49"/>
        </a:graphicData>
      </a:graphic>
    </graphicFrame>
    <clientData/>
  </oneCellAnchor>
  <oneCellAnchor>
    <from>
      <col>6</col>
      <colOff>0</colOff>
      <row>1107</row>
      <rowOff>0</rowOff>
    </from>
    <ext cx="1584000" cy="1440000"/>
    <graphicFrame>
      <nvGraphicFramePr>
        <cNvPr id="50" name="Chart 50"/>
        <cNvGraphicFramePr/>
      </nvGraphicFramePr>
      <xfrm/>
      <a:graphic>
        <a:graphicData uri="http://schemas.openxmlformats.org/drawingml/2006/chart">
          <c:chart r:id="rId50"/>
        </a:graphicData>
      </a:graphic>
    </graphicFrame>
    <clientData/>
  </oneCellAnchor>
  <oneCellAnchor>
    <from>
      <col>10</col>
      <colOff>0</colOff>
      <row>1107</row>
      <rowOff>0</rowOff>
    </from>
    <ext cx="1584000" cy="1440000"/>
    <graphicFrame>
      <nvGraphicFramePr>
        <cNvPr id="51" name="Chart 51"/>
        <cNvGraphicFramePr/>
      </nvGraphicFramePr>
      <xfrm/>
      <a:graphic>
        <a:graphicData uri="http://schemas.openxmlformats.org/drawingml/2006/chart">
          <c:chart r:id="rId51"/>
        </a:graphicData>
      </a:graphic>
    </graphicFrame>
    <clientData/>
  </oneCellAnchor>
  <oneCellAnchor>
    <from>
      <col>2</col>
      <colOff>0</colOff>
      <row>1141</row>
      <rowOff>0</rowOff>
    </from>
    <ext cx="3600000" cy="2232000"/>
    <graphicFrame>
      <nvGraphicFramePr>
        <cNvPr id="52" name="Chart 52"/>
        <cNvGraphicFramePr/>
      </nvGraphicFramePr>
      <xfrm/>
      <a:graphic>
        <a:graphicData uri="http://schemas.openxmlformats.org/drawingml/2006/chart">
          <c:chart r:id="rId52"/>
        </a:graphicData>
      </a:graphic>
    </graphicFrame>
    <clientData/>
  </oneCellAnchor>
  <oneCellAnchor>
    <from>
      <col>2</col>
      <colOff>0</colOff>
      <row>1163</row>
      <rowOff>0</rowOff>
    </from>
    <ext cx="3600000" cy="2232000"/>
    <graphicFrame>
      <nvGraphicFramePr>
        <cNvPr id="53" name="Chart 53"/>
        <cNvGraphicFramePr/>
      </nvGraphicFramePr>
      <xfrm/>
      <a:graphic>
        <a:graphicData uri="http://schemas.openxmlformats.org/drawingml/2006/chart">
          <c:chart r:id="rId53"/>
        </a:graphicData>
      </a:graphic>
    </graphicFrame>
    <clientData/>
  </oneCellAnchor>
  <oneCellAnchor>
    <from>
      <col>2</col>
      <colOff>0</colOff>
      <row>1205</row>
      <rowOff>0</rowOff>
    </from>
    <ext cx="3600000" cy="2232000"/>
    <graphicFrame>
      <nvGraphicFramePr>
        <cNvPr id="54" name="Chart 54"/>
        <cNvGraphicFramePr/>
      </nvGraphicFramePr>
      <xfrm/>
      <a:graphic>
        <a:graphicData uri="http://schemas.openxmlformats.org/drawingml/2006/chart">
          <c:chart r:id="rId54"/>
        </a:graphicData>
      </a:graphic>
    </graphicFrame>
    <clientData/>
  </oneCellAnchor>
  <oneCellAnchor>
    <from>
      <col>2</col>
      <colOff>0</colOff>
      <row>1240</row>
      <rowOff>0</rowOff>
    </from>
    <ext cx="8640000" cy="2015999"/>
    <graphicFrame>
      <nvGraphicFramePr>
        <cNvPr id="55" name="Chart 55"/>
        <cNvGraphicFramePr/>
      </nvGraphicFramePr>
      <xfrm/>
      <a:graphic>
        <a:graphicData uri="http://schemas.openxmlformats.org/drawingml/2006/chart">
          <c:chart r:id="rId55"/>
        </a:graphicData>
      </a:graphic>
    </graphicFrame>
    <clientData/>
  </oneCellAnchor>
  <oneCellAnchor>
    <from>
      <col>2</col>
      <colOff>0</colOff>
      <row>1287</row>
      <rowOff>0</rowOff>
    </from>
    <ext cx="8640000" cy="1944000"/>
    <graphicFrame>
      <nvGraphicFramePr>
        <cNvPr id="56" name="Chart 56"/>
        <cNvGraphicFramePr/>
      </nvGraphicFramePr>
      <xfrm/>
      <a:graphic>
        <a:graphicData uri="http://schemas.openxmlformats.org/drawingml/2006/chart">
          <c:chart r:id="rId56"/>
        </a:graphicData>
      </a:graphic>
    </graphicFrame>
    <clientData/>
  </oneCellAnchor>
  <oneCellAnchor>
    <from>
      <col>2</col>
      <colOff>0</colOff>
      <row>1300</row>
      <rowOff>0</rowOff>
    </from>
    <ext cx="1584000" cy="1440000"/>
    <graphicFrame>
      <nvGraphicFramePr>
        <cNvPr id="57" name="Chart 57"/>
        <cNvGraphicFramePr/>
      </nvGraphicFramePr>
      <xfrm/>
      <a:graphic>
        <a:graphicData uri="http://schemas.openxmlformats.org/drawingml/2006/chart">
          <c:chart r:id="rId57"/>
        </a:graphicData>
      </a:graphic>
    </graphicFrame>
    <clientData/>
  </oneCellAnchor>
  <oneCellAnchor>
    <from>
      <col>6</col>
      <colOff>0</colOff>
      <row>1300</row>
      <rowOff>0</rowOff>
    </from>
    <ext cx="1584000" cy="1440000"/>
    <graphicFrame>
      <nvGraphicFramePr>
        <cNvPr id="58" name="Chart 58"/>
        <cNvGraphicFramePr/>
      </nvGraphicFramePr>
      <xfrm/>
      <a:graphic>
        <a:graphicData uri="http://schemas.openxmlformats.org/drawingml/2006/chart">
          <c:chart r:id="rId58"/>
        </a:graphicData>
      </a:graphic>
    </graphicFrame>
    <clientData/>
  </oneCellAnchor>
  <oneCellAnchor>
    <from>
      <col>10</col>
      <colOff>0</colOff>
      <row>1300</row>
      <rowOff>0</rowOff>
    </from>
    <ext cx="1584000" cy="1440000"/>
    <graphicFrame>
      <nvGraphicFramePr>
        <cNvPr id="59" name="Chart 59"/>
        <cNvGraphicFramePr/>
      </nvGraphicFramePr>
      <xfrm/>
      <a:graphic>
        <a:graphicData uri="http://schemas.openxmlformats.org/drawingml/2006/chart">
          <c:chart r:id="rId59"/>
        </a:graphicData>
      </a:graphic>
    </graphicFrame>
    <clientData/>
  </oneCellAnchor>
  <oneCellAnchor>
    <from>
      <col>2</col>
      <colOff>0</colOff>
      <row>1345</row>
      <rowOff>0</rowOff>
    </from>
    <ext cx="6480000" cy="2232000"/>
    <graphicFrame>
      <nvGraphicFramePr>
        <cNvPr id="60" name="Chart 60"/>
        <cNvGraphicFramePr/>
      </nvGraphicFramePr>
      <xfrm/>
      <a:graphic>
        <a:graphicData uri="http://schemas.openxmlformats.org/drawingml/2006/chart">
          <c:chart r:id="rId60"/>
        </a:graphicData>
      </a:graphic>
    </graphicFrame>
    <clientData/>
  </oneCellAnchor>
  <oneCellAnchor>
    <from>
      <col>2</col>
      <colOff>0</colOff>
      <row>1365</row>
      <rowOff>0</rowOff>
    </from>
    <ext cx="3600000" cy="2232000"/>
    <graphicFrame>
      <nvGraphicFramePr>
        <cNvPr id="61" name="Chart 61"/>
        <cNvGraphicFramePr/>
      </nvGraphicFramePr>
      <xfrm/>
      <a:graphic>
        <a:graphicData uri="http://schemas.openxmlformats.org/drawingml/2006/chart">
          <c:chart r:id="rId61"/>
        </a:graphicData>
      </a:graphic>
    </graphicFrame>
    <clientData/>
  </oneCellAnchor>
  <oneCellAnchor>
    <from>
      <col>2</col>
      <colOff>0</colOff>
      <row>1387</row>
      <rowOff>0</rowOff>
    </from>
    <ext cx="6480000" cy="2232000"/>
    <graphicFrame>
      <nvGraphicFramePr>
        <cNvPr id="62" name="Chart 62"/>
        <cNvGraphicFramePr/>
      </nvGraphicFramePr>
      <xfrm/>
      <a:graphic>
        <a:graphicData uri="http://schemas.openxmlformats.org/drawingml/2006/chart">
          <c:chart r:id="rId62"/>
        </a:graphicData>
      </a:graphic>
    </graphicFrame>
    <clientData/>
  </oneCellAnchor>
  <oneCellAnchor>
    <from>
      <col>2</col>
      <colOff>0</colOff>
      <row>1407</row>
      <rowOff>0</rowOff>
    </from>
    <ext cx="6480000" cy="2232000"/>
    <graphicFrame>
      <nvGraphicFramePr>
        <cNvPr id="63" name="Chart 63"/>
        <cNvGraphicFramePr/>
      </nvGraphicFramePr>
      <xfrm/>
      <a:graphic>
        <a:graphicData uri="http://schemas.openxmlformats.org/drawingml/2006/chart">
          <c:chart r:id="rId63"/>
        </a:graphicData>
      </a:graphic>
    </graphicFrame>
    <clientData/>
  </oneCellAnchor>
  <oneCellAnchor>
    <from>
      <col>2</col>
      <colOff>0</colOff>
      <row>1438</row>
      <rowOff>0</rowOff>
    </from>
    <ext cx="6480000" cy="2232000"/>
    <graphicFrame>
      <nvGraphicFramePr>
        <cNvPr id="64" name="Chart 64"/>
        <cNvGraphicFramePr/>
      </nvGraphicFramePr>
      <xfrm/>
      <a:graphic>
        <a:graphicData uri="http://schemas.openxmlformats.org/drawingml/2006/chart">
          <c:chart r:id="rId64"/>
        </a:graphicData>
      </a:graphic>
    </graphicFrame>
    <clientData/>
  </oneCellAnchor>
  <oneCellAnchor>
    <from>
      <col>2</col>
      <colOff>0</colOff>
      <row>1510</row>
      <rowOff>0</rowOff>
    </from>
    <ext cx="3600000" cy="2232000"/>
    <graphicFrame>
      <nvGraphicFramePr>
        <cNvPr id="65" name="Chart 65"/>
        <cNvGraphicFramePr/>
      </nvGraphicFramePr>
      <xfrm/>
      <a:graphic>
        <a:graphicData uri="http://schemas.openxmlformats.org/drawingml/2006/chart">
          <c:chart r:id="rId65"/>
        </a:graphicData>
      </a:graphic>
    </graphicFrame>
    <clientData/>
  </oneCellAnchor>
  <oneCellAnchor>
    <from>
      <col>2</col>
      <colOff>0</colOff>
      <row>1525</row>
      <rowOff>0</rowOff>
    </from>
    <ext cx="8640000" cy="2015999"/>
    <graphicFrame>
      <nvGraphicFramePr>
        <cNvPr id="66" name="Chart 66"/>
        <cNvGraphicFramePr/>
      </nvGraphicFramePr>
      <xfrm/>
      <a:graphic>
        <a:graphicData uri="http://schemas.openxmlformats.org/drawingml/2006/chart">
          <c:chart r:id="rId66"/>
        </a:graphicData>
      </a:graphic>
    </graphicFrame>
    <clientData/>
  </oneCellAnchor>
  <oneCellAnchor>
    <from>
      <col>2</col>
      <colOff>0</colOff>
      <row>1563</row>
      <rowOff>0</rowOff>
    </from>
    <ext cx="8640000" cy="1944000"/>
    <graphicFrame>
      <nvGraphicFramePr>
        <cNvPr id="67" name="Chart 67"/>
        <cNvGraphicFramePr/>
      </nvGraphicFramePr>
      <xfrm/>
      <a:graphic>
        <a:graphicData uri="http://schemas.openxmlformats.org/drawingml/2006/chart">
          <c:chart r:id="rId67"/>
        </a:graphicData>
      </a:graphic>
    </graphicFrame>
    <clientData/>
  </oneCellAnchor>
  <oneCellAnchor>
    <from>
      <col>2</col>
      <colOff>0</colOff>
      <row>1576</row>
      <rowOff>0</rowOff>
    </from>
    <ext cx="1584000" cy="1440000"/>
    <graphicFrame>
      <nvGraphicFramePr>
        <cNvPr id="68" name="Chart 68"/>
        <cNvGraphicFramePr/>
      </nvGraphicFramePr>
      <xfrm/>
      <a:graphic>
        <a:graphicData uri="http://schemas.openxmlformats.org/drawingml/2006/chart">
          <c:chart r:id="rId68"/>
        </a:graphicData>
      </a:graphic>
    </graphicFrame>
    <clientData/>
  </oneCellAnchor>
  <oneCellAnchor>
    <from>
      <col>6</col>
      <colOff>0</colOff>
      <row>1576</row>
      <rowOff>0</rowOff>
    </from>
    <ext cx="1584000" cy="1440000"/>
    <graphicFrame>
      <nvGraphicFramePr>
        <cNvPr id="69" name="Chart 69"/>
        <cNvGraphicFramePr/>
      </nvGraphicFramePr>
      <xfrm/>
      <a:graphic>
        <a:graphicData uri="http://schemas.openxmlformats.org/drawingml/2006/chart">
          <c:chart r:id="rId69"/>
        </a:graphicData>
      </a:graphic>
    </graphicFrame>
    <clientData/>
  </oneCellAnchor>
  <oneCellAnchor>
    <from>
      <col>10</col>
      <colOff>0</colOff>
      <row>1576</row>
      <rowOff>0</rowOff>
    </from>
    <ext cx="1584000" cy="1440000"/>
    <graphicFrame>
      <nvGraphicFramePr>
        <cNvPr id="70" name="Chart 70"/>
        <cNvGraphicFramePr/>
      </nvGraphicFramePr>
      <xfrm/>
      <a:graphic>
        <a:graphicData uri="http://schemas.openxmlformats.org/drawingml/2006/chart">
          <c:chart r:id="rId70"/>
        </a:graphicData>
      </a:graphic>
    </graphicFrame>
    <clientData/>
  </oneCellAnchor>
  <oneCellAnchor>
    <from>
      <col>2</col>
      <colOff>0</colOff>
      <row>1616</row>
      <rowOff>0</rowOff>
    </from>
    <ext cx="3600000" cy="2232000"/>
    <graphicFrame>
      <nvGraphicFramePr>
        <cNvPr id="71" name="Chart 71"/>
        <cNvGraphicFramePr/>
      </nvGraphicFramePr>
      <xfrm/>
      <a:graphic>
        <a:graphicData uri="http://schemas.openxmlformats.org/drawingml/2006/chart">
          <c:chart r:id="rId71"/>
        </a:graphicData>
      </a:graphic>
    </graphicFrame>
    <clientData/>
  </oneCellAnchor>
  <oneCellAnchor>
    <from>
      <col>2</col>
      <colOff>0</colOff>
      <row>1638</row>
      <rowOff>0</rowOff>
    </from>
    <ext cx="3600000" cy="2232000"/>
    <graphicFrame>
      <nvGraphicFramePr>
        <cNvPr id="72" name="Chart 72"/>
        <cNvGraphicFramePr/>
      </nvGraphicFramePr>
      <xfrm/>
      <a:graphic>
        <a:graphicData uri="http://schemas.openxmlformats.org/drawingml/2006/chart">
          <c:chart r:id="rId72"/>
        </a:graphicData>
      </a:graphic>
    </graphicFrame>
    <clientData/>
  </oneCellAnchor>
  <oneCellAnchor>
    <from>
      <col>2</col>
      <colOff>0</colOff>
      <row>1660</row>
      <rowOff>0</rowOff>
    </from>
    <ext cx="6480000" cy="2232000"/>
    <graphicFrame>
      <nvGraphicFramePr>
        <cNvPr id="73" name="Chart 73"/>
        <cNvGraphicFramePr/>
      </nvGraphicFramePr>
      <xfrm/>
      <a:graphic>
        <a:graphicData uri="http://schemas.openxmlformats.org/drawingml/2006/chart">
          <c:chart r:id="rId73"/>
        </a:graphicData>
      </a:graphic>
    </graphicFrame>
    <clientData/>
  </oneCellAnchor>
  <oneCellAnchor>
    <from>
      <col>2</col>
      <colOff>0</colOff>
      <row>1693</row>
      <rowOff>0</rowOff>
    </from>
    <ext cx="6480000" cy="2232000"/>
    <graphicFrame>
      <nvGraphicFramePr>
        <cNvPr id="74" name="Chart 74"/>
        <cNvGraphicFramePr/>
      </nvGraphicFramePr>
      <xfrm/>
      <a:graphic>
        <a:graphicData uri="http://schemas.openxmlformats.org/drawingml/2006/chart">
          <c:chart r:id="rId74"/>
        </a:graphicData>
      </a:graphic>
    </graphicFrame>
    <clientData/>
  </oneCellAnchor>
  <oneCellAnchor>
    <from>
      <col>2</col>
      <colOff>0</colOff>
      <row>1735</row>
      <rowOff>0</rowOff>
    </from>
    <ext cx="3600000" cy="2232000"/>
    <graphicFrame>
      <nvGraphicFramePr>
        <cNvPr id="75" name="Chart 75"/>
        <cNvGraphicFramePr/>
      </nvGraphicFramePr>
      <xfrm/>
      <a:graphic>
        <a:graphicData uri="http://schemas.openxmlformats.org/drawingml/2006/chart">
          <c:chart r:id="rId75"/>
        </a:graphicData>
      </a:graphic>
    </graphicFrame>
    <clientData/>
  </oneCellAnchor>
  <oneCellAnchor>
    <from>
      <col>2</col>
      <colOff>0</colOff>
      <row>1767</row>
      <rowOff>0</rowOff>
    </from>
    <ext cx="3600000" cy="2232000"/>
    <graphicFrame>
      <nvGraphicFramePr>
        <cNvPr id="76" name="Chart 76"/>
        <cNvGraphicFramePr/>
      </nvGraphicFramePr>
      <xfrm/>
      <a:graphic>
        <a:graphicData uri="http://schemas.openxmlformats.org/drawingml/2006/chart">
          <c:chart r:id="rId76"/>
        </a:graphicData>
      </a:graphic>
    </graphicFrame>
    <clientData/>
  </oneCellAnchor>
  <oneCellAnchor>
    <from>
      <col>2</col>
      <colOff>0</colOff>
      <row>1802</row>
      <rowOff>0</rowOff>
    </from>
    <ext cx="8640000" cy="2015999"/>
    <graphicFrame>
      <nvGraphicFramePr>
        <cNvPr id="77" name="Chart 77"/>
        <cNvGraphicFramePr/>
      </nvGraphicFramePr>
      <xfrm/>
      <a:graphic>
        <a:graphicData uri="http://schemas.openxmlformats.org/drawingml/2006/chart">
          <c:chart r:id="rId77"/>
        </a:graphicData>
      </a:graphic>
    </graphicFrame>
    <clientData/>
  </oneCellAnchor>
  <oneCellAnchor>
    <from>
      <col>3</col>
      <colOff>0</colOff>
      <row>4</row>
      <rowOff>0</rowOff>
    </from>
    <ext cx="4095750" cy="11334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571625" cy="43815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228600" cy="2286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247650" cy="24765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152400" cy="152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</row>
      <rowOff>0</rowOff>
    </from>
    <ext cx="152400" cy="152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152400" cy="152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</row>
      <rowOff>0</rowOff>
    </from>
    <ext cx="152400" cy="152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179</row>
      <rowOff>0</rowOff>
    </from>
    <ext cx="247650" cy="24765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183</row>
      <rowOff>0</rowOff>
    </from>
    <ext cx="152400" cy="152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183</row>
      <rowOff>0</rowOff>
    </from>
    <ext cx="152400" cy="152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188</row>
      <rowOff>0</rowOff>
    </from>
    <ext cx="152400" cy="152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188</row>
      <rowOff>0</rowOff>
    </from>
    <ext cx="152400" cy="152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458</row>
      <rowOff>0</rowOff>
    </from>
    <ext cx="247650" cy="24765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462</row>
      <rowOff>0</rowOff>
    </from>
    <ext cx="152400" cy="152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462</row>
      <rowOff>0</rowOff>
    </from>
    <ext cx="152400" cy="152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467</row>
      <rowOff>0</rowOff>
    </from>
    <ext cx="152400" cy="152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467</row>
      <rowOff>0</rowOff>
    </from>
    <ext cx="152400" cy="152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757</row>
      <rowOff>0</rowOff>
    </from>
    <ext cx="247650" cy="24765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761</row>
      <rowOff>0</rowOff>
    </from>
    <ext cx="152400" cy="152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761</row>
      <rowOff>0</rowOff>
    </from>
    <ext cx="152400" cy="152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766</row>
      <rowOff>0</rowOff>
    </from>
    <ext cx="152400" cy="152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766</row>
      <rowOff>0</rowOff>
    </from>
    <ext cx="152400" cy="152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858</row>
      <rowOff>0</rowOff>
    </from>
    <ext cx="247650" cy="24765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862</row>
      <rowOff>0</rowOff>
    </from>
    <ext cx="152400" cy="152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862</row>
      <rowOff>0</rowOff>
    </from>
    <ext cx="152400" cy="152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867</row>
      <rowOff>0</rowOff>
    </from>
    <ext cx="152400" cy="152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867</row>
      <rowOff>0</rowOff>
    </from>
    <ext cx="152400" cy="152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1079</row>
      <rowOff>0</rowOff>
    </from>
    <ext cx="247650" cy="24765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1083</row>
      <rowOff>0</rowOff>
    </from>
    <ext cx="152400" cy="152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1083</row>
      <rowOff>0</rowOff>
    </from>
    <ext cx="152400" cy="152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1088</row>
      <rowOff>0</rowOff>
    </from>
    <ext cx="152400" cy="152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1088</row>
      <rowOff>0</rowOff>
    </from>
    <ext cx="152400" cy="152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1272</row>
      <rowOff>0</rowOff>
    </from>
    <ext cx="247650" cy="24765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1276</row>
      <rowOff>0</rowOff>
    </from>
    <ext cx="152400" cy="152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1276</row>
      <rowOff>0</rowOff>
    </from>
    <ext cx="152400" cy="152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1281</row>
      <rowOff>0</rowOff>
    </from>
    <ext cx="152400" cy="152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1281</row>
      <rowOff>0</rowOff>
    </from>
    <ext cx="152400" cy="152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1548</row>
      <rowOff>0</rowOff>
    </from>
    <ext cx="247650" cy="24765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1552</row>
      <rowOff>0</rowOff>
    </from>
    <ext cx="152400" cy="152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1552</row>
      <rowOff>0</rowOff>
    </from>
    <ext cx="152400" cy="152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1557</row>
      <rowOff>0</rowOff>
    </from>
    <ext cx="152400" cy="152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1557</row>
      <rowOff>0</rowOff>
    </from>
    <ext cx="152400" cy="152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1832</row>
      <rowOff>0</rowOff>
    </from>
    <ext cx="4095750" cy="11334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apport Cosmos'!C61" TargetMode="External" Id="rId1" /><Relationship Type="http://schemas.openxmlformats.org/officeDocument/2006/relationships/hyperlink" Target="#'Rapport Cosmos'!C80" TargetMode="External" Id="rId2" /><Relationship Type="http://schemas.openxmlformats.org/officeDocument/2006/relationships/hyperlink" Target="#'Rapport Cosmos'!C180" TargetMode="External" Id="rId3" /><Relationship Type="http://schemas.openxmlformats.org/officeDocument/2006/relationships/hyperlink" Target="#'Rapport Cosmos'!C459" TargetMode="External" Id="rId4" /><Relationship Type="http://schemas.openxmlformats.org/officeDocument/2006/relationships/hyperlink" Target="#'Rapport Cosmos'!C758" TargetMode="External" Id="rId5" /><Relationship Type="http://schemas.openxmlformats.org/officeDocument/2006/relationships/hyperlink" Target="#'Rapport Cosmos'!C859" TargetMode="External" Id="rId6" /><Relationship Type="http://schemas.openxmlformats.org/officeDocument/2006/relationships/hyperlink" Target="#'Rapport Cosmos'!C1080" TargetMode="External" Id="rId7" /><Relationship Type="http://schemas.openxmlformats.org/officeDocument/2006/relationships/hyperlink" Target="#'Rapport Cosmos'!C1273" TargetMode="External" Id="rId8" /><Relationship Type="http://schemas.openxmlformats.org/officeDocument/2006/relationships/hyperlink" Target="#'Rapport Cosmos'!C1549" TargetMode="External" Id="rId9" /><Relationship Type="http://schemas.openxmlformats.org/officeDocument/2006/relationships/hyperlink" Target="#'M4 &#183; Dictionnaire'!A1" TargetMode="External" Id="rId10" /><Relationship Type="http://schemas.openxmlformats.org/officeDocument/2006/relationships/hyperlink" Target="#'Rapport Cosmos'!C1" TargetMode="External" Id="rId11" /><Relationship Type="http://schemas.openxmlformats.org/officeDocument/2006/relationships/hyperlink" Target="#'Rapport Cosmos'!C1" TargetMode="External" Id="rId12" /><Relationship Type="http://schemas.openxmlformats.org/officeDocument/2006/relationships/hyperlink" Target="#'Rapport Cosmos'!C1" TargetMode="External" Id="rId13" /><Relationship Type="http://schemas.openxmlformats.org/officeDocument/2006/relationships/hyperlink" Target="#'Rapport Cosmos'!C1" TargetMode="External" Id="rId14" /><Relationship Type="http://schemas.openxmlformats.org/officeDocument/2006/relationships/hyperlink" Target="#'Rapport Cosmos'!C1" TargetMode="External" Id="rId15" /><Relationship Type="http://schemas.openxmlformats.org/officeDocument/2006/relationships/hyperlink" Target="#'Rapport Cosmos'!C1" TargetMode="External" Id="rId16" /><Relationship Type="http://schemas.openxmlformats.org/officeDocument/2006/relationships/hyperlink" Target="#'Rapport Cosmos'!C1" TargetMode="External" Id="rId17" /><Relationship Type="http://schemas.openxmlformats.org/officeDocument/2006/relationships/hyperlink" Target="#'Rapport Cosmos'!C1" TargetMode="External" Id="rId18" /><Relationship Type="http://schemas.openxmlformats.org/officeDocument/2006/relationships/hyperlink" Target="#'Rapport Cosmos'!C1" TargetMode="External" Id="rId19" /><Relationship Type="http://schemas.openxmlformats.org/officeDocument/2006/relationships/drawing" Target="/xl/drawings/drawing1.xml" Id="rId20" /></Relationships>
</file>

<file path=xl/worksheets/_rels/sheet11.xml.rels><Relationships xmlns="http://schemas.openxmlformats.org/package/2006/relationships"><Relationship Type="http://schemas.openxmlformats.org/officeDocument/2006/relationships/hyperlink" Target="#'Rapport Cosmos'!C1" TargetMode="External" Id="rId1" /></Relationships>
</file>

<file path=xl/worksheets/sheet1.xml><?xml version="1.0" encoding="utf-8"?>
<worksheet xmlns="http://schemas.openxmlformats.org/spreadsheetml/2006/main">
  <sheetPr>
    <tabColor rgb="000A352E"/>
    <outlinePr summaryBelow="1" summaryRight="1"/>
    <pageSetUpPr fitToPage="1"/>
  </sheetPr>
  <dimension ref="C1:P1872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.2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8.6" customWidth="1" min="9" max="9"/>
    <col width="8.6" customWidth="1" min="10" max="10"/>
    <col width="8.6" customWidth="1" min="11" max="11"/>
    <col width="8.6" customWidth="1" min="12" max="12"/>
    <col width="8.6" customWidth="1" min="13" max="13"/>
    <col width="8.6" customWidth="1" min="14" max="14"/>
    <col hidden="1" width="13" customWidth="1" min="15" max="15"/>
    <col hidden="1" width="13" customWidth="1" min="16" max="16"/>
  </cols>
  <sheetData>
    <row r="1"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</row>
    <row r="10"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46" customHeight="1">
      <c r="C14" s="2">
        <f>IFERROR(IF(LANG="EN",INDEX(I18N_EN,MATCH("nav.title",I18N_KEY,0)),INDEX(I18N_FR,MATCH("nav.title",I18N_KEY,0))),"nav.title")</f>
        <v/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C17" s="4">
        <f>IFERROR(IF(LANG="EN",INDEX(I18N_EN,MATCH("nav.subtitle",I18N_KEY,0)),INDEX(I18N_FR,MATCH("nav.subtitle",I18N_KEY,0))),"nav.subtitle")</f>
        <v/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C19" s="5" t="n"/>
      <c r="D19" s="5" t="n"/>
      <c r="E19" s="5" t="n"/>
      <c r="F19" s="5" t="n"/>
      <c r="G19" s="5" t="n"/>
      <c r="H19" s="1" t="n"/>
      <c r="I19" s="1" t="n"/>
      <c r="J19" s="1" t="n"/>
      <c r="K19" s="1" t="n"/>
      <c r="L19" s="1" t="n"/>
      <c r="M19" s="1" t="n"/>
      <c r="N19" s="1" t="n"/>
    </row>
    <row r="20"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 ht="26" customHeight="1">
      <c r="C21" s="6">
        <f>""&amp;IFERROR(IF(LANG="EN",INDEX(I18N_EN,MATCH("nav.period",I18N_KEY,0)),INDEX(I18N_FR,MATCH("nav.period",I18N_KEY,0))),"nav.period")&amp;" : "&amp;IF(LANG="EN",INDEX(MOIS_EN,MONTH(PERIODE)),INDEX(MOIS_FR,MONTH(PERIODE)))&amp;" "&amp;YEAR(PERIODE)</f>
        <v/>
      </c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C23" s="7">
        <f>IFERROR(IF(LANG="EN",INDEX(I18N_EN,MATCH("rag.global",I18N_KEY,0)),INDEX(I18N_FR,MATCH("rag.global",I18N_KEY,0))),"rag.global")</f>
        <v/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C43" s="8">
        <f>""&amp;IFERROR(IF(LANG="EN",INDEX(I18N_EN,MATCH("msg.confidential",I18N_KEY,0)),INDEX(I18N_FR,MATCH("msg.confidential",I18N_KEY,0))),"msg.confidential")&amp;"   ·   "&amp;IFERROR(IF(LANG="EN",INDEX(I18N_EN,MATCH("msg.version",I18N_KEY,0)),INDEX(I18N_FR,MATCH("msg.version",I18N_KEY,0))),"msg.version")&amp;"   ·   "&amp;IFERROR(IF(LANG="EN",INDEX(I18N_EN,MATCH("msg.updated",I18N_KEY,0)),INDEX(I18N_FR,MATCH("msg.updated",I18N_KEY,0))),"msg.updated")&amp;": "&amp;TEXT(TODAY(),"yyyy-mm-dd")</f>
        <v/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 ht="26" customHeight="1">
      <c r="C47" s="9">
        <f>"            "&amp;IFERROR(IF(LANG="EN",INDEX(I18N_EN,MATCH("nav.summary",I18N_KEY,0)),INDEX(I18N_FR,MATCH("nav.summary",I18N_KEY,0))),"nav.summary")</f>
        <v/>
      </c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 ht="22" customHeight="1">
      <c r="C49" s="10">
        <f>"◈    "&amp;IFERROR(IF(LANG="EN",INDEX(I18N_EN,MATCH("nav.synthesis",I18N_KEY,0)),INDEX(I18N_FR,MATCH("nav.synthesis",I18N_KEY,0))),"nav.synthesis")</f>
        <v/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 ht="20" customHeight="1">
      <c r="C50" s="11">
        <f>"2.    "&amp;IFERROR(IF(LANG="EN",INDEX(I18N_EN,MATCH("dept.rh",I18N_KEY,0)),INDEX(I18N_FR,MATCH("dept.rh",I18N_KEY,0))),"dept.rh")</f>
        <v/>
      </c>
      <c r="D50" s="3" t="n"/>
      <c r="E50" s="3" t="n"/>
      <c r="F50" s="3" t="n"/>
      <c r="G50" s="3" t="n"/>
      <c r="H50" s="3" t="n"/>
      <c r="I50" s="12">
        <f>IFERROR((INDEX('M3 · Base mensuelle'!$D$4:$AM$4,MATCH(P_END,HDR,0))),"")</f>
        <v/>
      </c>
      <c r="J50" s="3" t="n"/>
      <c r="K50" s="3" t="n"/>
      <c r="L50" s="3" t="n"/>
      <c r="M50" s="3" t="n"/>
      <c r="N50" s="3" t="n"/>
    </row>
    <row r="51" ht="20" customHeight="1">
      <c r="C51" s="11">
        <f>"3.    "&amp;IFERROR(IF(LANG="EN",INDEX(I18N_EN,MATCH("dept.lease",I18N_KEY,0)),INDEX(I18N_FR,MATCH("dept.lease",I18N_KEY,0))),"dept.lease")</f>
        <v/>
      </c>
      <c r="D51" s="3" t="n"/>
      <c r="E51" s="3" t="n"/>
      <c r="F51" s="3" t="n"/>
      <c r="G51" s="3" t="n"/>
      <c r="H51" s="3" t="n"/>
      <c r="I51" s="13">
        <f>IFERROR((AVERAGEIFS('M3 · Base mensuelle'!$D$14:$AM$14,HDR,"&gt;="&amp;P_START,HDR,"&lt;="&amp;P_END)),"")</f>
        <v/>
      </c>
      <c r="J51" s="3" t="n"/>
      <c r="K51" s="3" t="n"/>
      <c r="L51" s="3" t="n"/>
      <c r="M51" s="3" t="n"/>
      <c r="N51" s="3" t="n"/>
    </row>
    <row r="52" ht="20" customHeight="1">
      <c r="C52" s="11">
        <f>"4.    "&amp;IFERROR(IF(LANG="EN",INDEX(I18N_EN,MATCH("dept.rec",I18N_KEY,0)),INDEX(I18N_FR,MATCH("dept.rec",I18N_KEY,0))),"dept.rec")</f>
        <v/>
      </c>
      <c r="D52" s="3" t="n"/>
      <c r="E52" s="3" t="n"/>
      <c r="F52" s="3" t="n"/>
      <c r="G52" s="3" t="n"/>
      <c r="H52" s="3" t="n"/>
      <c r="I52" s="14">
        <f>IFERROR((INDEX('M3 · Base mensuelle'!$D$26:$AM$26,MATCH(P_END,HDR,0)))/1000000,"")</f>
        <v/>
      </c>
      <c r="J52" s="3" t="n"/>
      <c r="K52" s="3" t="n"/>
      <c r="L52" s="3" t="n"/>
      <c r="M52" s="3" t="n"/>
      <c r="N52" s="3" t="n"/>
    </row>
    <row r="53" ht="20" customHeight="1">
      <c r="C53" s="11">
        <f>"5.    "&amp;IFERROR(IF(LANG="EN",INDEX(I18N_EN,MATCH("dept.foot",I18N_KEY,0)),INDEX(I18N_FR,MATCH("dept.foot",I18N_KEY,0))),"dept.foot")</f>
        <v/>
      </c>
      <c r="D53" s="3" t="n"/>
      <c r="E53" s="3" t="n"/>
      <c r="F53" s="3" t="n"/>
      <c r="G53" s="3" t="n"/>
      <c r="H53" s="3" t="n"/>
      <c r="I53" s="12">
        <f>IFERROR((SUMIFS('M3 · Base mensuelle'!$D$44:$AM$44,HDR,"&gt;="&amp;P_START,HDR,"&lt;="&amp;P_END)),"")</f>
        <v/>
      </c>
      <c r="J53" s="3" t="n"/>
      <c r="K53" s="3" t="n"/>
      <c r="L53" s="3" t="n"/>
      <c r="M53" s="3" t="n"/>
      <c r="N53" s="3" t="n"/>
    </row>
    <row r="54" ht="20" customHeight="1">
      <c r="C54" s="11">
        <f>"6.    "&amp;IFERROR(IF(LANG="EN",INDEX(I18N_EN,MATCH("dept.mkt",I18N_KEY,0)),INDEX(I18N_FR,MATCH("dept.mkt",I18N_KEY,0))),"dept.mkt")</f>
        <v/>
      </c>
      <c r="D54" s="3" t="n"/>
      <c r="E54" s="3" t="n"/>
      <c r="F54" s="3" t="n"/>
      <c r="G54" s="3" t="n"/>
      <c r="H54" s="3" t="n"/>
      <c r="I54" s="12">
        <f>IFERROR((AVERAGEIFS('M3 · Base mensuelle'!$D$64:$AM$64,HDR,"&gt;="&amp;P_START,HDR,"&lt;="&amp;P_END)),"")</f>
        <v/>
      </c>
      <c r="J54" s="3" t="n"/>
      <c r="K54" s="3" t="n"/>
      <c r="L54" s="3" t="n"/>
      <c r="M54" s="3" t="n"/>
      <c r="N54" s="3" t="n"/>
    </row>
    <row r="55" ht="20" customHeight="1">
      <c r="C55" s="11">
        <f>"7.    "&amp;IFERROR(IF(LANG="EN",INDEX(I18N_EN,MATCH("dept.com",I18N_KEY,0)),INDEX(I18N_FR,MATCH("dept.com",I18N_KEY,0))),"dept.com")</f>
        <v/>
      </c>
      <c r="D55" s="3" t="n"/>
      <c r="E55" s="3" t="n"/>
      <c r="F55" s="3" t="n"/>
      <c r="G55" s="3" t="n"/>
      <c r="H55" s="3" t="n"/>
      <c r="I55" s="14">
        <f>IFERROR((SUMIFS('M3 · Base mensuelle'!$D$69:$AM$69,HDR,"&gt;="&amp;P_START,HDR,"&lt;="&amp;P_END))/1000000,"")</f>
        <v/>
      </c>
      <c r="J55" s="3" t="n"/>
      <c r="K55" s="3" t="n"/>
      <c r="L55" s="3" t="n"/>
      <c r="M55" s="3" t="n"/>
      <c r="N55" s="3" t="n"/>
    </row>
    <row r="56" ht="20" customHeight="1">
      <c r="C56" s="11">
        <f>"8.    "&amp;IFERROR(IF(LANG="EN",INDEX(I18N_EN,MATCH("dept.hsse",I18N_KEY,0)),INDEX(I18N_FR,MATCH("dept.hsse",I18N_KEY,0))),"dept.hsse")</f>
        <v/>
      </c>
      <c r="D56" s="3" t="n"/>
      <c r="E56" s="3" t="n"/>
      <c r="F56" s="3" t="n"/>
      <c r="G56" s="3" t="n"/>
      <c r="H56" s="3" t="n"/>
      <c r="I56" s="12">
        <f>IFERROR((INDEX('M3 · Base mensuelle'!$D$92:$AM$92,MATCH(P_END,HDR,0))),"")</f>
        <v/>
      </c>
      <c r="J56" s="3" t="n"/>
      <c r="K56" s="3" t="n"/>
      <c r="L56" s="3" t="n"/>
      <c r="M56" s="3" t="n"/>
      <c r="N56" s="3" t="n"/>
    </row>
    <row r="57" ht="20" customHeight="1">
      <c r="C57" s="11">
        <f>"9.    "&amp;IFERROR(IF(LANG="EN",INDEX(I18N_EN,MATCH("dept.fac",I18N_KEY,0)),INDEX(I18N_FR,MATCH("dept.fac",I18N_KEY,0))),"dept.fac")</f>
        <v/>
      </c>
      <c r="D57" s="3" t="n"/>
      <c r="E57" s="3" t="n"/>
      <c r="F57" s="3" t="n"/>
      <c r="G57" s="3" t="n"/>
      <c r="H57" s="3" t="n"/>
      <c r="I57" s="13">
        <f>IFERROR((AVERAGEIFS('M3 · Base mensuelle'!$D$125:$AM$125,HDR,"&gt;="&amp;P_START,HDR,"&lt;="&amp;P_END)),"")</f>
        <v/>
      </c>
      <c r="J57" s="3" t="n"/>
      <c r="K57" s="3" t="n"/>
      <c r="L57" s="3" t="n"/>
      <c r="M57" s="3" t="n"/>
      <c r="N57" s="3" t="n"/>
    </row>
    <row r="58">
      <c r="C58" s="11">
        <f>"ⓘ    "&amp;IFERROR(IF(LANG="EN",INDEX(I18N_EN,MATCH("nav.methodo",I18N_KEY,0)),INDEX(I18N_FR,MATCH("nav.methodo",I18N_KEY,0))),"nav.methodo")</f>
        <v/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 ht="26" customHeight="1">
      <c r="C61" s="9">
        <f>"          1.   "&amp;IFERROR(IF(LANG="EN",INDEX(I18N_EN,MATCH("nav.synthesis",I18N_KEY,0)),INDEX(I18N_FR,MATCH("nav.synthesis",I18N_KEY,0))),"nav.synthesis")</f>
        <v/>
      </c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5">
        <f>"↑ "&amp;IFERROR(IF(LANG="EN",INDEX(I18N_EN,MATCH("nav.summary",I18N_KEY,0)),INDEX(I18N_FR,MATCH("nav.summary",I18N_KEY,0))),"nav.summary")</f>
        <v/>
      </c>
    </row>
    <row r="62"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C63" s="16">
        <f>"▌ "&amp;IFERROR(IF(LANG="EN",INDEX(I18N_EN,MATCH("msg.hero",I18N_KEY,0)),INDEX(I18N_FR,MATCH("msg.hero",I18N_KEY,0))),"msg.hero")</f>
        <v/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 ht="5" customHeight="1">
      <c r="C64" s="17" t="n"/>
      <c r="D64" s="18" t="n"/>
      <c r="E64" s="17" t="n"/>
      <c r="F64" s="18" t="n"/>
      <c r="G64" s="17" t="n"/>
      <c r="H64" s="18" t="n"/>
      <c r="I64" s="17" t="n"/>
      <c r="J64" s="18" t="n"/>
      <c r="K64" s="17" t="n"/>
      <c r="L64" s="18" t="n"/>
      <c r="M64" s="3" t="n"/>
      <c r="N64" s="3" t="n"/>
    </row>
    <row r="65">
      <c r="C65" s="19">
        <f>IFERROR(IF(LANG="EN",INDEX(I18N_EN,MATCH("kpi.com.total_sales",I18N_KEY,0)),INDEX(I18N_FR,MATCH("kpi.com.total_sales",I18N_KEY,0))),"kpi.com.total_sales")</f>
        <v/>
      </c>
      <c r="D65" s="20" t="n"/>
      <c r="E65" s="19">
        <f>IFERROR(IF(LANG="EN",INDEX(I18N_EN,MATCH("kpi.lease.occ_gla",I18N_KEY,0)),INDEX(I18N_FR,MATCH("kpi.lease.occ_gla",I18N_KEY,0))),"kpi.lease.occ_gla")</f>
        <v/>
      </c>
      <c r="F65" s="20" t="n"/>
      <c r="G65" s="19">
        <f>IFERROR(IF(LANG="EN",INDEX(I18N_EN,MATCH("kpi.foot.total",I18N_KEY,0)),INDEX(I18N_FR,MATCH("kpi.foot.total",I18N_KEY,0))),"kpi.foot.total")</f>
        <v/>
      </c>
      <c r="H65" s="20" t="n"/>
      <c r="I65" s="19">
        <f>IFERROR(IF(LANG="EN",INDEX(I18N_EN,MATCH("kpi.rec.recovery",I18N_KEY,0)),INDEX(I18N_FR,MATCH("kpi.rec.recovery",I18N_KEY,0))),"kpi.rec.recovery")</f>
        <v/>
      </c>
      <c r="J65" s="20" t="n"/>
      <c r="K65" s="19">
        <f>IFERROR(IF(LANG="EN",INDEX(I18N_EN,MATCH("kpi.lease.passing",I18N_KEY,0)),INDEX(I18N_FR,MATCH("kpi.lease.passing",I18N_KEY,0))),"kpi.lease.passing")</f>
        <v/>
      </c>
      <c r="L65" s="20" t="n"/>
      <c r="M65" s="3" t="n"/>
      <c r="N65" s="3" t="n"/>
    </row>
    <row r="66">
      <c r="C66" s="21">
        <f>IFERROR((SUMIFS('M3 · Base mensuelle'!$D$69:$AM$69,HDR,"&gt;="&amp;P_START,HDR,"&lt;="&amp;P_END))/1000000,"")</f>
        <v/>
      </c>
      <c r="D66" s="22" t="n"/>
      <c r="E66" s="23">
        <f>IFERROR((AVERAGEIFS('M3 · Base mensuelle'!$D$14:$AM$14,HDR,"&gt;="&amp;P_START,HDR,"&lt;="&amp;P_END)),"")</f>
        <v/>
      </c>
      <c r="F66" s="22" t="n"/>
      <c r="G66" s="24">
        <f>IFERROR((SUMIFS('M3 · Base mensuelle'!$D$44:$AM$44,HDR,"&gt;="&amp;P_START,HDR,"&lt;="&amp;P_END)),"")</f>
        <v/>
      </c>
      <c r="H66" s="22" t="n"/>
      <c r="I66" s="23">
        <f>IFERROR((AVERAGEIFS('M3 · Base mensuelle'!$D$32:$AM$32,HDR,"&gt;="&amp;P_START,HDR,"&lt;="&amp;P_END)),"")</f>
        <v/>
      </c>
      <c r="J66" s="22" t="n"/>
      <c r="K66" s="21">
        <f>IFERROR((INDEX('M3 · Base mensuelle'!$D$18:$AM$18,MATCH(P_END,HDR,0)))/1000000,"")</f>
        <v/>
      </c>
      <c r="L66" s="22" t="n"/>
      <c r="M66" s="3" t="n"/>
      <c r="N66" s="3" t="n"/>
    </row>
    <row r="67"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C68" s="16">
        <f>"▌ "&amp;IFERROR(IF(LANG="EN",INDEX(I18N_EN,MATCH("msg.heatmap",I18N_KEY,0)),INDEX(I18N_FR,MATCH("msg.heatmap",I18N_KEY,0))),"msg.heatmap")</f>
        <v/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C69" s="25" t="inlineStr">
        <is>
          <t>Dépt / Dept</t>
        </is>
      </c>
      <c r="D69" s="26" t="inlineStr">
        <is>
          <t>KPI</t>
        </is>
      </c>
      <c r="E69" s="26" t="inlineStr">
        <is>
          <t>Achievement</t>
        </is>
      </c>
      <c r="F69" s="27" t="n"/>
      <c r="G69" s="27" t="n"/>
      <c r="H69" s="27" t="n"/>
      <c r="I69" s="27" t="n"/>
      <c r="J69" s="27" t="n"/>
      <c r="K69" s="27" t="n"/>
      <c r="L69" s="27" t="n"/>
      <c r="M69" s="27" t="n"/>
      <c r="N69" s="28" t="n"/>
    </row>
    <row r="70">
      <c r="C70" s="29">
        <f>IFERROR(IF(LANG="EN",INDEX(I18N_EN,MATCH("dept.rh",I18N_KEY,0)),INDEX(I18N_FR,MATCH("dept.rh",I18N_KEY,0))),"dept.rh")</f>
        <v/>
      </c>
      <c r="D70" s="30">
        <f>IFERROR(IF(LANG="EN",INDEX(I18N_EN,MATCH("kpi.rh.payroll_var",I18N_KEY,0)),INDEX(I18N_FR,MATCH("kpi.rh.payroll_var",I18N_KEY,0))),"kpi.rh.payroll_var")</f>
        <v/>
      </c>
      <c r="E70" s="31">
        <f>IFERROR((AVERAGEIFS('M3 · Base mensuelle'!$D$9:$AM$9,HDR,"&gt;="&amp;P_START,HDR,"&lt;="&amp;P_END)),"")</f>
        <v/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2" t="n"/>
    </row>
    <row r="71">
      <c r="C71" s="29">
        <f>IFERROR(IF(LANG="EN",INDEX(I18N_EN,MATCH("dept.lease",I18N_KEY,0)),INDEX(I18N_FR,MATCH("dept.lease",I18N_KEY,0))),"dept.lease")</f>
        <v/>
      </c>
      <c r="D71" s="30">
        <f>IFERROR(IF(LANG="EN",INDEX(I18N_EN,MATCH("kpi.lease.occ_gla",I18N_KEY,0)),INDEX(I18N_FR,MATCH("kpi.lease.occ_gla",I18N_KEY,0))),"kpi.lease.occ_gla")</f>
        <v/>
      </c>
      <c r="E71" s="31">
        <f>IFERROR((AVERAGEIFS('M3 · Base mensuelle'!$D$14:$AM$14,HDR,"&gt;="&amp;P_START,HDR,"&lt;="&amp;P_END)),"")</f>
        <v/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2" t="n"/>
    </row>
    <row r="72">
      <c r="C72" s="29">
        <f>IFERROR(IF(LANG="EN",INDEX(I18N_EN,MATCH("dept.rec",I18N_KEY,0)),INDEX(I18N_FR,MATCH("dept.rec",I18N_KEY,0))),"dept.rec")</f>
        <v/>
      </c>
      <c r="D72" s="30">
        <f>IFERROR(IF(LANG="EN",INDEX(I18N_EN,MATCH("kpi.rec.recovery",I18N_KEY,0)),INDEX(I18N_FR,MATCH("kpi.rec.recovery",I18N_KEY,0))),"kpi.rec.recovery")</f>
        <v/>
      </c>
      <c r="E72" s="31">
        <f>IFERROR((AVERAGEIFS('M3 · Base mensuelle'!$D$32:$AM$32,HDR,"&gt;="&amp;P_START,HDR,"&lt;="&amp;P_END)),"")</f>
        <v/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2" t="n"/>
    </row>
    <row r="73">
      <c r="C73" s="29">
        <f>IFERROR(IF(LANG="EN",INDEX(I18N_EN,MATCH("dept.foot",I18N_KEY,0)),INDEX(I18N_FR,MATCH("dept.foot",I18N_KEY,0))),"dept.foot")</f>
        <v/>
      </c>
      <c r="D73" s="30">
        <f>IFERROR(IF(LANG="EN",INDEX(I18N_EN,MATCH("kpi.foot.vs_budget",I18N_KEY,0)),INDEX(I18N_FR,MATCH("kpi.foot.vs_budget",I18N_KEY,0))),"kpi.foot.vs_budget")</f>
        <v/>
      </c>
      <c r="E73" s="31">
        <f>IFERROR((AVERAGEIFS('M3 · Base mensuelle'!$D$45:$AM$45,HDR,"&gt;="&amp;P_START,HDR,"&lt;="&amp;P_END)),"")</f>
        <v/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2" t="n"/>
    </row>
    <row r="74">
      <c r="C74" s="29">
        <f>IFERROR(IF(LANG="EN",INDEX(I18N_EN,MATCH("dept.mkt",I18N_KEY,0)),INDEX(I18N_FR,MATCH("dept.mkt",I18N_KEY,0))),"dept.mkt")</f>
        <v/>
      </c>
      <c r="D74" s="30">
        <f>IFERROR(IF(LANG="EN",INDEX(I18N_EN,MATCH("kpi.mkt.event_roi",I18N_KEY,0)),INDEX(I18N_FR,MATCH("kpi.mkt.event_roi",I18N_KEY,0))),"kpi.mkt.event_roi")</f>
        <v/>
      </c>
      <c r="E74" s="31">
        <f>IFERROR((AVERAGEIFS('M3 · Base mensuelle'!$D$53:$AM$53,HDR,"&gt;="&amp;P_START,HDR,"&lt;="&amp;P_END)),"")</f>
        <v/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2" t="n"/>
    </row>
    <row r="75">
      <c r="C75" s="29">
        <f>IFERROR(IF(LANG="EN",INDEX(I18N_EN,MATCH("dept.com",I18N_KEY,0)),INDEX(I18N_FR,MATCH("dept.com",I18N_KEY,0))),"dept.com")</f>
        <v/>
      </c>
      <c r="D75" s="30">
        <f>IFERROR(IF(LANG="EN",INDEX(I18N_EN,MATCH("kpi.com.lfl",I18N_KEY,0)),INDEX(I18N_FR,MATCH("kpi.com.lfl",I18N_KEY,0))),"kpi.com.lfl")</f>
        <v/>
      </c>
      <c r="E75" s="31">
        <f>IFERROR((AVERAGEIFS('M3 · Base mensuelle'!$D$71:$AM$71,HDR,"&gt;="&amp;P_START,HDR,"&lt;="&amp;P_END)),"")</f>
        <v/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2" t="n"/>
    </row>
    <row r="76">
      <c r="C76" s="29">
        <f>IFERROR(IF(LANG="EN",INDEX(I18N_EN,MATCH("dept.hsse",I18N_KEY,0)),INDEX(I18N_FR,MATCH("dept.hsse",I18N_KEY,0))),"dept.hsse")</f>
        <v/>
      </c>
      <c r="D76" s="30">
        <f>IFERROR(IF(LANG="EN",INDEX(I18N_EN,MATCH("kpi.hsse.action_close",I18N_KEY,0)),INDEX(I18N_FR,MATCH("kpi.hsse.action_close",I18N_KEY,0))),"kpi.hsse.action_close")</f>
        <v/>
      </c>
      <c r="E76" s="31">
        <f>IFERROR((AVERAGEIFS('M3 · Base mensuelle'!$D$103:$AM$103,HDR,"&gt;="&amp;P_START,HDR,"&lt;="&amp;P_END)),"")</f>
        <v/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2" t="n"/>
    </row>
    <row r="77">
      <c r="C77" s="33">
        <f>IFERROR(IF(LANG="EN",INDEX(I18N_EN,MATCH("dept.fac",I18N_KEY,0)),INDEX(I18N_FR,MATCH("dept.fac",I18N_KEY,0))),"dept.fac")</f>
        <v/>
      </c>
      <c r="D77" s="34">
        <f>IFERROR(IF(LANG="EN",INDEX(I18N_EN,MATCH("kpi.fac.sla",I18N_KEY,0)),INDEX(I18N_FR,MATCH("kpi.fac.sla",I18N_KEY,0))),"kpi.fac.sla")</f>
        <v/>
      </c>
      <c r="E77" s="35">
        <f>IFERROR((AVERAGEIFS('M3 · Base mensuelle'!$D$125:$AM$125,HDR,"&gt;="&amp;P_START,HDR,"&lt;="&amp;P_END)),"")</f>
        <v/>
      </c>
      <c r="F77" s="36" t="n"/>
      <c r="G77" s="36" t="n"/>
      <c r="H77" s="36" t="n"/>
      <c r="I77" s="36" t="n"/>
      <c r="J77" s="36" t="n"/>
      <c r="K77" s="36" t="n"/>
      <c r="L77" s="36" t="n"/>
      <c r="M77" s="36" t="n"/>
      <c r="N77" s="22" t="n"/>
    </row>
    <row r="78"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 ht="28" customHeight="1">
      <c r="C80" s="9">
        <f>"         2.   "&amp;IFERROR(IF(LANG="EN",INDEX(I18N_EN,MATCH("dept.rh",I18N_KEY,0)),INDEX(I18N_FR,MATCH("dept.rh",I18N_KEY,0))),"dept.rh")&amp;"   ·   "&amp;IF(LANG="EN",INDEX(MOIS_EN,MONTH(PERIODE)),INDEX(MOIS_FR,MONTH(PERIODE)))&amp;" "&amp;YEAR(PERIODE)</f>
        <v/>
      </c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5">
        <f>"↑ "&amp;IFERROR(IF(LANG="EN",INDEX(I18N_EN,MATCH("nav.summary",I18N_KEY,0)),INDEX(I18N_FR,MATCH("nav.summary",I18N_KEY,0))),"nav.summary")</f>
        <v/>
      </c>
    </row>
    <row r="81">
      <c r="C81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 ht="5" customHeight="1">
      <c r="C83" s="17" t="n"/>
      <c r="D83" s="38" t="n"/>
      <c r="E83" s="38" t="n"/>
      <c r="F83" s="38" t="n"/>
      <c r="G83" s="38" t="n"/>
      <c r="H83" s="18" t="n"/>
      <c r="I83" s="17" t="n"/>
      <c r="J83" s="38" t="n"/>
      <c r="K83" s="38" t="n"/>
      <c r="L83" s="38" t="n"/>
      <c r="M83" s="38" t="n"/>
      <c r="N83" s="18" t="n"/>
    </row>
    <row r="84" ht="18" customHeight="1">
      <c r="C84" s="39">
        <f>"       "&amp;IFERROR(IF(LANG="EN",INDEX(I18N_EN,MATCH("kpi.rh.headcount",I18N_KEY,0)),INDEX(I18N_FR,MATCH("kpi.rh.headcount",I18N_KEY,0))),"kpi.rh.headcount")</f>
        <v/>
      </c>
      <c r="D84" s="40" t="n"/>
      <c r="E84" s="40" t="n"/>
      <c r="F84" s="40" t="n"/>
      <c r="G84" s="40" t="n"/>
      <c r="H84" s="20" t="n"/>
      <c r="I84" s="39">
        <f>"       "&amp;IFERROR(IF(LANG="EN",INDEX(I18N_EN,MATCH("kpi.rh.fte_gap",I18N_KEY,0)),INDEX(I18N_FR,MATCH("kpi.rh.fte_gap",I18N_KEY,0))),"kpi.rh.fte_gap")</f>
        <v/>
      </c>
      <c r="J84" s="40" t="n"/>
      <c r="K84" s="40" t="n"/>
      <c r="L84" s="40" t="n"/>
      <c r="M84" s="40" t="n"/>
      <c r="N84" s="20" t="n"/>
    </row>
    <row r="85" ht="42" customHeight="1">
      <c r="C85" s="41">
        <f>IFERROR((INDEX('M3 · Base mensuelle'!$D$4:$AM$4,MATCH(P_END,HDR,0))),"")</f>
        <v/>
      </c>
      <c r="D85" s="40" t="n"/>
      <c r="E85" s="40" t="n"/>
      <c r="F85" s="40" t="n"/>
      <c r="G85" s="40" t="n"/>
      <c r="H85" s="20" t="n"/>
      <c r="I85" s="41">
        <f>IFERROR((INDEX('M3 · Base mensuelle'!$D$5:$AM$5,MATCH(P_END,HDR,0))),"")</f>
        <v/>
      </c>
      <c r="J85" s="40" t="n"/>
      <c r="K85" s="40" t="n"/>
      <c r="L85" s="40" t="n"/>
      <c r="M85" s="40" t="n"/>
      <c r="N85" s="20" t="n"/>
    </row>
    <row r="86" ht="20" customHeight="1">
      <c r="C86" s="42">
        <f>IFERROR((IFERROR((INDEX('M3 · Base mensuelle'!$D$4:$AM$4,MATCH(P_END,HDR,0))),""))/(IFERROR((INDEX('M3 · Base mensuelle'!$D$4:$AM$4,MATCH(PP_END,HDR,0))),""))-1,"")</f>
        <v/>
      </c>
      <c r="D86" s="36" t="n"/>
      <c r="E86" s="36" t="n"/>
      <c r="F86" s="36" t="n"/>
      <c r="G86" s="36" t="n"/>
      <c r="H86" s="22" t="n"/>
      <c r="I86" s="42">
        <f>IFERROR((IFERROR((INDEX('M3 · Base mensuelle'!$D$5:$AM$5,MATCH(P_END,HDR,0))),""))/(IFERROR((INDEX('M3 · Base mensuelle'!$D$5:$AM$5,MATCH(PP_END,HDR,0))),""))-1,"")</f>
        <v/>
      </c>
      <c r="J86" s="36" t="n"/>
      <c r="K86" s="36" t="n"/>
      <c r="L86" s="36" t="n"/>
      <c r="M86" s="36" t="n"/>
      <c r="N86" s="22" t="n"/>
    </row>
    <row r="87"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 ht="5" customHeight="1">
      <c r="C88" s="17" t="n"/>
      <c r="D88" s="38" t="n"/>
      <c r="E88" s="38" t="n"/>
      <c r="F88" s="38" t="n"/>
      <c r="G88" s="38" t="n"/>
      <c r="H88" s="18" t="n"/>
      <c r="I88" s="17" t="n"/>
      <c r="J88" s="38" t="n"/>
      <c r="K88" s="38" t="n"/>
      <c r="L88" s="38" t="n"/>
      <c r="M88" s="38" t="n"/>
      <c r="N88" s="18" t="n"/>
    </row>
    <row r="89" ht="18" customHeight="1">
      <c r="C89" s="39">
        <f>"       "&amp;IFERROR(IF(LANG="EN",INDEX(I18N_EN,MATCH("kpi.rh.open_pos",I18N_KEY,0)),INDEX(I18N_FR,MATCH("kpi.rh.open_pos",I18N_KEY,0))),"kpi.rh.open_pos")</f>
        <v/>
      </c>
      <c r="D89" s="40" t="n"/>
      <c r="E89" s="40" t="n"/>
      <c r="F89" s="40" t="n"/>
      <c r="G89" s="40" t="n"/>
      <c r="H89" s="20" t="n"/>
      <c r="I89" s="39">
        <f>"       "&amp;IFERROR(IF(LANG="EN",INDEX(I18N_EN,MATCH("kpi.rh.ttf",I18N_KEY,0)),INDEX(I18N_FR,MATCH("kpi.rh.ttf",I18N_KEY,0))),"kpi.rh.ttf")</f>
        <v/>
      </c>
      <c r="J89" s="40" t="n"/>
      <c r="K89" s="40" t="n"/>
      <c r="L89" s="40" t="n"/>
      <c r="M89" s="40" t="n"/>
      <c r="N89" s="20" t="n"/>
    </row>
    <row r="90" ht="42" customHeight="1">
      <c r="C90" s="41">
        <f>IFERROR((INDEX('M3 · Base mensuelle'!$D$6:$AM$6,MATCH(P_END,HDR,0))),"")</f>
        <v/>
      </c>
      <c r="D90" s="40" t="n"/>
      <c r="E90" s="40" t="n"/>
      <c r="F90" s="40" t="n"/>
      <c r="G90" s="40" t="n"/>
      <c r="H90" s="20" t="n"/>
      <c r="I90" s="41">
        <f>IFERROR((AVERAGEIFS('M3 · Base mensuelle'!$D$7:$AM$7,HDR,"&gt;="&amp;P_START,HDR,"&lt;="&amp;P_END)),"")</f>
        <v/>
      </c>
      <c r="J90" s="40" t="n"/>
      <c r="K90" s="40" t="n"/>
      <c r="L90" s="40" t="n"/>
      <c r="M90" s="40" t="n"/>
      <c r="N90" s="20" t="n"/>
    </row>
    <row r="91" ht="20" customHeight="1">
      <c r="C91" s="42">
        <f>IFERROR((IFERROR((INDEX('M3 · Base mensuelle'!$D$6:$AM$6,MATCH(P_END,HDR,0))),""))/(IFERROR((INDEX('M3 · Base mensuelle'!$D$6:$AM$6,MATCH(PP_END,HDR,0))),""))-1,"")</f>
        <v/>
      </c>
      <c r="D91" s="36" t="n"/>
      <c r="E91" s="36" t="n"/>
      <c r="F91" s="36" t="n"/>
      <c r="G91" s="36" t="n"/>
      <c r="H91" s="22" t="n"/>
      <c r="I91" s="42">
        <f>IFERROR((IFERROR((AVERAGEIFS('M3 · Base mensuelle'!$D$7:$AM$7,HDR,"&gt;="&amp;P_START,HDR,"&lt;="&amp;P_END)),""))/(IFERROR((AVERAGEIFS('M3 · Base mensuelle'!$D$7:$AM$7,HDR,"&gt;="&amp;PP_START,HDR,"&lt;="&amp;PP_END)),""))-1,"")</f>
        <v/>
      </c>
      <c r="J91" s="36" t="n"/>
      <c r="K91" s="36" t="n"/>
      <c r="L91" s="36" t="n"/>
      <c r="M91" s="36" t="n"/>
      <c r="N91" s="22" t="n"/>
    </row>
    <row r="92"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C94" s="43">
        <f>"▌ "&amp;IFERROR(IF(LANG="EN",INDEX(I18N_EN,MATCH("kpi.rh.headcount",I18N_KEY,0)),INDEX(I18N_FR,MATCH("kpi.rh.headcount",I18N_KEY,0))),"kpi.rh.headcount")&amp;" — 12 mois / 12M"</f>
        <v/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C106" s="43">
        <f>"▌ "&amp;IF(LANG="EN","Key gauges","Jauges clés")</f>
        <v/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C107" s="44">
        <f>IFERROR(IF(LANG="EN",INDEX(I18N_EN,MATCH("kpi.rh.payroll_var",I18N_KEY,0)),INDEX(I18N_FR,MATCH("kpi.rh.payroll_var",I18N_KEY,0))),"kpi.rh.payroll_var")</f>
        <v/>
      </c>
      <c r="D107" s="3" t="n"/>
      <c r="E107" s="3" t="n"/>
      <c r="F107" s="3" t="n"/>
      <c r="G107" s="44">
        <f>IFERROR(IF(LANG="EN",INDEX(I18N_EN,MATCH("kpi.rh.turnover",I18N_KEY,0)),INDEX(I18N_FR,MATCH("kpi.rh.turnover",I18N_KEY,0))),"kpi.rh.turnover")</f>
        <v/>
      </c>
      <c r="H107" s="3" t="n"/>
      <c r="I107" s="3" t="n"/>
      <c r="J107" s="3" t="n"/>
      <c r="K107" s="44">
        <f>IFERROR(IF(LANG="EN",INDEX(I18N_EN,MATCH("kpi.rh.absence",I18N_KEY,0)),INDEX(I18N_FR,MATCH("kpi.rh.absence",I18N_KEY,0))),"kpi.rh.absence")</f>
        <v/>
      </c>
      <c r="L107" s="3" t="n"/>
      <c r="M107" s="3" t="n"/>
      <c r="N107" s="3" t="n"/>
    </row>
    <row r="108"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C115" s="45">
        <f>IFERROR((AVERAGEIFS('M3 · Base mensuelle'!$D$9:$AM$9,HDR,"&gt;="&amp;P_START,HDR,"&lt;="&amp;P_END)),"")</f>
        <v/>
      </c>
      <c r="D115" s="3" t="n"/>
      <c r="E115" s="3" t="n"/>
      <c r="F115" s="3" t="n"/>
      <c r="G115" s="45">
        <f>IFERROR((AVERAGEIFS('M3 · Base mensuelle'!$D$10:$AM$10,HDR,"&gt;="&amp;P_START,HDR,"&lt;="&amp;P_END)),"")</f>
        <v/>
      </c>
      <c r="H115" s="3" t="n"/>
      <c r="I115" s="3" t="n"/>
      <c r="J115" s="3" t="n"/>
      <c r="K115" s="45">
        <f>IFERROR((AVERAGEIFS('M3 · Base mensuelle'!$D$11:$AM$11,HDR,"&gt;="&amp;P_START,HDR,"&lt;="&amp;P_END)),"")</f>
        <v/>
      </c>
      <c r="L115" s="3" t="n"/>
      <c r="M115" s="3" t="n"/>
      <c r="N115" s="3" t="n"/>
    </row>
    <row r="116"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 ht="19" customHeight="1">
      <c r="C119" s="46">
        <f>"▸  2.1  "&amp;IF(LANG="EN","Organizational Chart","Organigramme")</f>
        <v/>
      </c>
      <c r="D119" s="47" t="n"/>
      <c r="E119" s="47" t="n"/>
      <c r="F119" s="47" t="n"/>
      <c r="G119" s="47" t="n"/>
      <c r="H119" s="47" t="n"/>
      <c r="I119" s="47" t="n"/>
      <c r="J119" s="47" t="n"/>
      <c r="K119" s="47" t="n"/>
      <c r="L119" s="47" t="n"/>
      <c r="M119" s="47" t="n"/>
      <c r="N119" s="48" t="n"/>
      <c r="O119" s="1" t="n"/>
    </row>
    <row r="120">
      <c r="C120" s="49">
        <f>IF(LANG="EN","Centre Management","Direction du centre")</f>
        <v/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2" t="n"/>
    </row>
    <row r="121">
      <c r="C121" s="50" t="n"/>
      <c r="D121" s="51">
        <f>IF(LANG="EN","Property / Lease Manager","Property / Lease Manager")</f>
        <v/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2" t="n"/>
    </row>
    <row r="122">
      <c r="C122" s="50" t="n"/>
      <c r="D122" s="3" t="n"/>
      <c r="E122" s="52">
        <f>IF(LANG="EN","Leasing","Gestion locative")</f>
        <v/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2" t="n"/>
    </row>
    <row r="123">
      <c r="C123" s="50" t="n"/>
      <c r="D123" s="3" t="n"/>
      <c r="E123" s="52">
        <f>IF(LANG="EN","Finance &amp; Recovery","Finance &amp; Recouvrement")</f>
        <v/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2" t="n"/>
    </row>
    <row r="124">
      <c r="C124" s="50" t="n"/>
      <c r="D124" s="3" t="n"/>
      <c r="E124" s="52">
        <f>IF(LANG="EN","Marketing","Marketing")</f>
        <v/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2" t="n"/>
    </row>
    <row r="125">
      <c r="C125" s="50" t="n"/>
      <c r="D125" s="3" t="n"/>
      <c r="E125" s="52">
        <f>IF(LANG="EN","Security / HSSE","Sécurité / HSSE")</f>
        <v/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2" t="n"/>
    </row>
    <row r="126">
      <c r="C126" s="50" t="n"/>
      <c r="D126" s="3" t="n"/>
      <c r="E126" s="52">
        <f>IF(LANG="EN","Facility","Facility")</f>
        <v/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2" t="n"/>
    </row>
    <row r="127">
      <c r="C127" s="50" t="n"/>
      <c r="D127" s="51">
        <f>IF(LANG="EN","Support &amp; Administration","Support &amp; Administration")</f>
        <v/>
      </c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2" t="n"/>
    </row>
    <row r="128">
      <c r="C128" s="50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2" t="n"/>
    </row>
    <row r="129">
      <c r="C129" s="53">
        <f>"💬 "&amp;IFERROR(IF(LANG="EN",INDEX(I18N_EN,MATCH("col.comment",I18N_KEY,0)),INDEX(I18N_FR,MATCH("col.comment",I18N_KEY,0))),"col.comment")</f>
        <v/>
      </c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4" t="n"/>
      <c r="O129" s="5" t="n"/>
    </row>
    <row r="130">
      <c r="C130" s="55">
        <f>IF(LANG="EN","Org chart — demo.","Organigramme — démo.")</f>
        <v/>
      </c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7" t="n"/>
    </row>
    <row r="131">
      <c r="C131" s="50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2" t="n"/>
    </row>
    <row r="132">
      <c r="C132" s="58" t="n"/>
      <c r="D132" s="58" t="n"/>
      <c r="E132" s="58" t="n"/>
      <c r="F132" s="58" t="n"/>
      <c r="G132" s="58" t="n"/>
      <c r="H132" s="58" t="n"/>
      <c r="I132" s="58" t="n"/>
      <c r="J132" s="58" t="n"/>
      <c r="K132" s="58" t="n"/>
      <c r="L132" s="58" t="n"/>
      <c r="M132" s="58" t="n"/>
      <c r="N132" s="58" t="n"/>
      <c r="O132" s="59" t="n"/>
    </row>
    <row r="133">
      <c r="C133" s="60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22" t="n"/>
    </row>
    <row r="134"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 ht="19" customHeight="1">
      <c r="C135" s="46">
        <f>"▸  2.2  "&amp;IF(LANG="EN","Human Capital Dashboard","Tableau de bord Capital Humain")</f>
        <v/>
      </c>
      <c r="D135" s="47" t="n"/>
      <c r="E135" s="47" t="n"/>
      <c r="F135" s="47" t="n"/>
      <c r="G135" s="47" t="n"/>
      <c r="H135" s="47" t="n"/>
      <c r="I135" s="47" t="n"/>
      <c r="J135" s="47" t="n"/>
      <c r="K135" s="47" t="n"/>
      <c r="L135" s="47" t="n"/>
      <c r="M135" s="47" t="n"/>
      <c r="N135" s="48" t="n"/>
      <c r="O135" s="1" t="n"/>
    </row>
    <row r="136">
      <c r="C136" s="61">
        <f>IFERROR(IF(LANG="EN",INDEX(I18N_EN,MATCH("col.kpi",I18N_KEY,0)),INDEX(I18N_FR,MATCH("col.kpi",I18N_KEY,0))),"col.kpi")</f>
        <v/>
      </c>
      <c r="D136" s="62">
        <f>IFERROR(IF(LANG="EN",INDEX(I18N_EN,MATCH("col.unit",I18N_KEY,0)),INDEX(I18N_FR,MATCH("col.unit",I18N_KEY,0))),"col.unit")</f>
        <v/>
      </c>
      <c r="E136" s="62">
        <f>IFERROR(IF(LANG="EN",INDEX(I18N_EN,MATCH("col.current",I18N_KEY,0)),INDEX(I18N_FR,MATCH("col.current",I18N_KEY,0))),"col.current")</f>
        <v/>
      </c>
      <c r="F136" s="62">
        <f>IFERROR(IF(LANG="EN",INDEX(I18N_EN,MATCH("col.prev",I18N_KEY,0)),INDEX(I18N_FR,MATCH("col.prev",I18N_KEY,0))),"col.prev")</f>
        <v/>
      </c>
      <c r="G136" s="62">
        <f>IFERROR(IF(LANG="EN",INDEX(I18N_EN,MATCH("col.delta_prev",I18N_KEY,0)),INDEX(I18N_FR,MATCH("col.delta_prev",I18N_KEY,0))),"col.delta_prev")</f>
        <v/>
      </c>
      <c r="H136" s="62">
        <f>IFERROR(IF(LANG="EN",INDEX(I18N_EN,MATCH("col.py",I18N_KEY,0)),INDEX(I18N_FR,MATCH("col.py",I18N_KEY,0))),"col.py")</f>
        <v/>
      </c>
      <c r="I136" s="62">
        <f>IFERROR(IF(LANG="EN",INDEX(I18N_EN,MATCH("col.delta_py",I18N_KEY,0)),INDEX(I18N_FR,MATCH("col.delta_py",I18N_KEY,0))),"col.delta_py")</f>
        <v/>
      </c>
      <c r="J136" s="62">
        <f>IFERROR(IF(LANG="EN",INDEX(I18N_EN,MATCH("col.budget",I18N_KEY,0)),INDEX(I18N_FR,MATCH("col.budget",I18N_KEY,0))),"col.budget")</f>
        <v/>
      </c>
      <c r="K136" s="62">
        <f>IFERROR(IF(LANG="EN",INDEX(I18N_EN,MATCH("col.var",I18N_KEY,0)),INDEX(I18N_FR,MATCH("col.var",I18N_KEY,0))),"col.var")</f>
        <v/>
      </c>
      <c r="L136" s="62">
        <f>IFERROR(IF(LANG="EN",INDEX(I18N_EN,MATCH("col.rag",I18N_KEY,0)),INDEX(I18N_FR,MATCH("col.rag",I18N_KEY,0))),"col.rag")</f>
        <v/>
      </c>
      <c r="M136" s="3" t="n"/>
      <c r="N136" s="32" t="n"/>
    </row>
    <row r="137">
      <c r="C137" s="63">
        <f>IFERROR(IF(LANG="EN",INDEX(I18N_EN,MATCH("kpi.rh.headcount",I18N_KEY,0)),INDEX(I18N_FR,MATCH("kpi.rh.headcount",I18N_KEY,0))),"kpi.rh.headcount")</f>
        <v/>
      </c>
      <c r="D137" s="64" t="inlineStr">
        <is>
          <t>ETP</t>
        </is>
      </c>
      <c r="E137" s="65">
        <f>IFERROR((INDEX('M3 · Base mensuelle'!$D$4:$AM$4,MATCH(P_END,HDR,0))),"")</f>
        <v/>
      </c>
      <c r="F137" s="65">
        <f>IFERROR((INDEX('M3 · Base mensuelle'!$D$4:$AM$4,MATCH(PP_END,HDR,0))),"")</f>
        <v/>
      </c>
      <c r="G137" s="66">
        <f>IFERROR((E137)/(F137)-1,"")</f>
        <v/>
      </c>
      <c r="H137" s="65">
        <f>IFERROR((INDEX('M3 · Base mensuelle'!$D$4:$AM$4,MATCH(PY_END,HDR,0))),"")</f>
        <v/>
      </c>
      <c r="I137" s="66">
        <f>IFERROR((E137)/(H137)-1,"")</f>
        <v/>
      </c>
      <c r="J137" s="67" t="n"/>
      <c r="K137" s="66">
        <f>IFERROR((E137)/(J137)-1,"")</f>
        <v/>
      </c>
      <c r="L137" s="68">
        <f>IF(O137="","",IF(O137="green",IFERROR(IF(LANG="EN",INDEX(I18N_EN,MATCH("rag.green",I18N_KEY,0)),INDEX(I18N_FR,MATCH("rag.green",I18N_KEY,0))),"rag.green"),IF(O137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7" s="3" t="n"/>
      <c r="N137" s="32" t="n"/>
      <c r="O137" s="69">
        <f>IFERROR(IF(IF(N(J137)&gt;0,J137,H137)=0,"",IF(INDEX(RAG_SENS,MATCH("kpi.rh.headcount",RAG_KEY,0))="UP",IF((E137/IF(N(J137)&gt;0,J137,H137))&gt;=INDEX(RAG_SV,MATCH("kpi.rh.headcount",RAG_KEY,0)),"green",IF((E137/IF(N(J137)&gt;0,J137,H137))&gt;=INDEX(RAG_SA,MATCH("kpi.rh.headcount",RAG_KEY,0)),"amber","red")),IF((E137/IF(N(J137)&gt;0,J137,H137))&lt;=INDEX(RAG_SV,MATCH("kpi.rh.headcount",RAG_KEY,0)),"green",IF((E137/IF(N(J137)&gt;0,J137,H137))&lt;=INDEX(RAG_SA,MATCH("kpi.rh.headcount",RAG_KEY,0)),"amber","red")))),"")</f>
        <v/>
      </c>
    </row>
    <row r="138">
      <c r="C138" s="63">
        <f>IFERROR(IF(LANG="EN",INDEX(I18N_EN,MATCH("kpi.rh.fte_gap",I18N_KEY,0)),INDEX(I18N_FR,MATCH("kpi.rh.fte_gap",I18N_KEY,0))),"kpi.rh.fte_gap")</f>
        <v/>
      </c>
      <c r="D138" s="64" t="inlineStr">
        <is>
          <t>ETP</t>
        </is>
      </c>
      <c r="E138" s="65">
        <f>IFERROR((INDEX('M3 · Base mensuelle'!$D$5:$AM$5,MATCH(P_END,HDR,0))),"")</f>
        <v/>
      </c>
      <c r="F138" s="65">
        <f>IFERROR((INDEX('M3 · Base mensuelle'!$D$5:$AM$5,MATCH(PP_END,HDR,0))),"")</f>
        <v/>
      </c>
      <c r="G138" s="66">
        <f>IFERROR((E138)/(F138)-1,"")</f>
        <v/>
      </c>
      <c r="H138" s="65">
        <f>IFERROR((INDEX('M3 · Base mensuelle'!$D$5:$AM$5,MATCH(PY_END,HDR,0))),"")</f>
        <v/>
      </c>
      <c r="I138" s="66">
        <f>IFERROR((E138)/(H138)-1,"")</f>
        <v/>
      </c>
      <c r="J138" s="65">
        <f>IFERROR((SUMPRODUCT((BUD_MONTHS&gt;=MONTH(P_START))*(BUD_MONTHS&lt;=MONTH(P_END))*'M1 · Paramètres'!$H$6:$S$6)/SUMPRODUCT((BUD_MONTHS&gt;=MONTH(P_START))*(BUD_MONTHS&lt;=MONTH(P_END))*1)),"")</f>
        <v/>
      </c>
      <c r="K138" s="66">
        <f>IFERROR((E138)/(J138)-1,"")</f>
        <v/>
      </c>
      <c r="L138" s="68">
        <f>IF(O138="","",IF(O138="green",IFERROR(IF(LANG="EN",INDEX(I18N_EN,MATCH("rag.green",I18N_KEY,0)),INDEX(I18N_FR,MATCH("rag.green",I18N_KEY,0))),"rag.green"),IF(O138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8" s="3" t="n"/>
      <c r="N138" s="32" t="n"/>
      <c r="O138" s="69">
        <f>IFERROR(IF(IF(N(J138)&gt;0,J138,H138)=0,"",IF(INDEX(RAG_SENS,MATCH("kpi.rh.fte_gap",RAG_KEY,0))="UP",IF((E138/IF(N(J138)&gt;0,J138,H138))&gt;=INDEX(RAG_SV,MATCH("kpi.rh.fte_gap",RAG_KEY,0)),"green",IF((E138/IF(N(J138)&gt;0,J138,H138))&gt;=INDEX(RAG_SA,MATCH("kpi.rh.fte_gap",RAG_KEY,0)),"amber","red")),IF((E138/IF(N(J138)&gt;0,J138,H138))&lt;=INDEX(RAG_SV,MATCH("kpi.rh.fte_gap",RAG_KEY,0)),"green",IF((E138/IF(N(J138)&gt;0,J138,H138))&lt;=INDEX(RAG_SA,MATCH("kpi.rh.fte_gap",RAG_KEY,0)),"amber","red")))),"")</f>
        <v/>
      </c>
    </row>
    <row r="139">
      <c r="C139" s="63">
        <f>IFERROR(IF(LANG="EN",INDEX(I18N_EN,MATCH("kpi.rh.open_pos",I18N_KEY,0)),INDEX(I18N_FR,MATCH("kpi.rh.open_pos",I18N_KEY,0))),"kpi.rh.open_pos")</f>
        <v/>
      </c>
      <c r="D139" s="64" t="inlineStr">
        <is>
          <t>nb</t>
        </is>
      </c>
      <c r="E139" s="65">
        <f>IFERROR((INDEX('M3 · Base mensuelle'!$D$6:$AM$6,MATCH(P_END,HDR,0))),"")</f>
        <v/>
      </c>
      <c r="F139" s="65">
        <f>IFERROR((INDEX('M3 · Base mensuelle'!$D$6:$AM$6,MATCH(PP_END,HDR,0))),"")</f>
        <v/>
      </c>
      <c r="G139" s="66">
        <f>IFERROR((E139)/(F139)-1,"")</f>
        <v/>
      </c>
      <c r="H139" s="65">
        <f>IFERROR((INDEX('M3 · Base mensuelle'!$D$6:$AM$6,MATCH(PY_END,HDR,0))),"")</f>
        <v/>
      </c>
      <c r="I139" s="66">
        <f>IFERROR((E139)/(H139)-1,"")</f>
        <v/>
      </c>
      <c r="J139" s="67" t="n"/>
      <c r="K139" s="66">
        <f>IFERROR((E139)/(J139)-1,"")</f>
        <v/>
      </c>
      <c r="L139" s="68">
        <f>IF(O139="","",IF(O139="green",IFERROR(IF(LANG="EN",INDEX(I18N_EN,MATCH("rag.green",I18N_KEY,0)),INDEX(I18N_FR,MATCH("rag.green",I18N_KEY,0))),"rag.green"),IF(O139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9" s="3" t="n"/>
      <c r="N139" s="32" t="n"/>
      <c r="O139" s="69">
        <f>IFERROR(IF(IF(N(J139)&gt;0,J139,H139)=0,"",IF(INDEX(RAG_SENS,MATCH("kpi.rh.open_pos",RAG_KEY,0))="UP",IF((E139/IF(N(J139)&gt;0,J139,H139))&gt;=INDEX(RAG_SV,MATCH("kpi.rh.open_pos",RAG_KEY,0)),"green",IF((E139/IF(N(J139)&gt;0,J139,H139))&gt;=INDEX(RAG_SA,MATCH("kpi.rh.open_pos",RAG_KEY,0)),"amber","red")),IF((E139/IF(N(J139)&gt;0,J139,H139))&lt;=INDEX(RAG_SV,MATCH("kpi.rh.open_pos",RAG_KEY,0)),"green",IF((E139/IF(N(J139)&gt;0,J139,H139))&lt;=INDEX(RAG_SA,MATCH("kpi.rh.open_pos",RAG_KEY,0)),"amber","red")))),"")</f>
        <v/>
      </c>
    </row>
    <row r="140">
      <c r="C140" s="63">
        <f>IFERROR(IF(LANG="EN",INDEX(I18N_EN,MATCH("kpi.rh.ttf",I18N_KEY,0)),INDEX(I18N_FR,MATCH("kpi.rh.ttf",I18N_KEY,0))),"kpi.rh.ttf")</f>
        <v/>
      </c>
      <c r="D140" s="64" t="inlineStr">
        <is>
          <t>j</t>
        </is>
      </c>
      <c r="E140" s="65">
        <f>IFERROR((AVERAGEIFS('M3 · Base mensuelle'!$D$7:$AM$7,HDR,"&gt;="&amp;P_START,HDR,"&lt;="&amp;P_END)),"")</f>
        <v/>
      </c>
      <c r="F140" s="65">
        <f>IFERROR((AVERAGEIFS('M3 · Base mensuelle'!$D$7:$AM$7,HDR,"&gt;="&amp;PP_START,HDR,"&lt;="&amp;PP_END)),"")</f>
        <v/>
      </c>
      <c r="G140" s="66">
        <f>IFERROR((E140)/(F140)-1,"")</f>
        <v/>
      </c>
      <c r="H140" s="65">
        <f>IFERROR((AVERAGEIFS('M3 · Base mensuelle'!$D$7:$AM$7,HDR,"&gt;="&amp;PY_START,HDR,"&lt;="&amp;PY_END)),"")</f>
        <v/>
      </c>
      <c r="I140" s="66">
        <f>IFERROR((E140)/(H140)-1,"")</f>
        <v/>
      </c>
      <c r="J140" s="67" t="n"/>
      <c r="K140" s="66">
        <f>IFERROR((E140)/(J140)-1,"")</f>
        <v/>
      </c>
      <c r="L140" s="68">
        <f>IF(O140="","",IF(O140="green",IFERROR(IF(LANG="EN",INDEX(I18N_EN,MATCH("rag.green",I18N_KEY,0)),INDEX(I18N_FR,MATCH("rag.green",I18N_KEY,0))),"rag.green"),IF(O140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0" s="3" t="n"/>
      <c r="N140" s="32" t="n"/>
      <c r="O140" s="69">
        <f>IFERROR(IF(IF(N(J140)&gt;0,J140,H140)=0,"",IF(INDEX(RAG_SENS,MATCH("kpi.rh.ttf",RAG_KEY,0))="UP",IF((E140/IF(N(J140)&gt;0,J140,H140))&gt;=INDEX(RAG_SV,MATCH("kpi.rh.ttf",RAG_KEY,0)),"green",IF((E140/IF(N(J140)&gt;0,J140,H140))&gt;=INDEX(RAG_SA,MATCH("kpi.rh.ttf",RAG_KEY,0)),"amber","red")),IF((E140/IF(N(J140)&gt;0,J140,H140))&lt;=INDEX(RAG_SV,MATCH("kpi.rh.ttf",RAG_KEY,0)),"green",IF((E140/IF(N(J140)&gt;0,J140,H140))&lt;=INDEX(RAG_SA,MATCH("kpi.rh.ttf",RAG_KEY,0)),"amber","red")))),"")</f>
        <v/>
      </c>
    </row>
    <row r="141">
      <c r="C141" s="63">
        <f>IFERROR(IF(LANG="EN",INDEX(I18N_EN,MATCH("kpi.rh.payroll",I18N_KEY,0)),INDEX(I18N_FR,MATCH("kpi.rh.payroll",I18N_KEY,0))),"kpi.rh.payroll")</f>
        <v/>
      </c>
      <c r="D141" s="64" t="inlineStr">
        <is>
          <t>FCFA</t>
        </is>
      </c>
      <c r="E141" s="70">
        <f>IFERROR((SUMIFS('M3 · Base mensuelle'!$D$8:$AM$8,HDR,"&gt;="&amp;P_START,HDR,"&lt;="&amp;P_END))/1000000,"")</f>
        <v/>
      </c>
      <c r="F141" s="70">
        <f>IFERROR((SUMIFS('M3 · Base mensuelle'!$D$8:$AM$8,HDR,"&gt;="&amp;PP_START,HDR,"&lt;="&amp;PP_END))/1000000,"")</f>
        <v/>
      </c>
      <c r="G141" s="66">
        <f>IFERROR((E141)/(F141)-1,"")</f>
        <v/>
      </c>
      <c r="H141" s="70">
        <f>IFERROR((SUMIFS('M3 · Base mensuelle'!$D$8:$AM$8,HDR,"&gt;="&amp;PY_START,HDR,"&lt;="&amp;PY_END))/1000000,"")</f>
        <v/>
      </c>
      <c r="I141" s="66">
        <f>IFERROR((E141)/(H141)-1,"")</f>
        <v/>
      </c>
      <c r="J141" s="70">
        <f>IFERROR((SUMPRODUCT((BUD_MONTHS&gt;=MONTH(P_START))*(BUD_MONTHS&lt;=MONTH(P_END))*'M1 · Paramètres'!$H$9:$S$9))/1000000,"")</f>
        <v/>
      </c>
      <c r="K141" s="66">
        <f>IFERROR((E141)/(J141)-1,"")</f>
        <v/>
      </c>
      <c r="L141" s="68">
        <f>IF(O141="","",IF(O141="green",IFERROR(IF(LANG="EN",INDEX(I18N_EN,MATCH("rag.green",I18N_KEY,0)),INDEX(I18N_FR,MATCH("rag.green",I18N_KEY,0))),"rag.green"),IF(O141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1" s="3" t="n"/>
      <c r="N141" s="32" t="n"/>
      <c r="O141" s="69">
        <f>IFERROR(IF(IF(N(J141)&gt;0,J141,H141)=0,"",IF(INDEX(RAG_SENS,MATCH("kpi.rh.payroll",RAG_KEY,0))="UP",IF((E141/IF(N(J141)&gt;0,J141,H141))&gt;=INDEX(RAG_SV,MATCH("kpi.rh.payroll",RAG_KEY,0)),"green",IF((E141/IF(N(J141)&gt;0,J141,H141))&gt;=INDEX(RAG_SA,MATCH("kpi.rh.payroll",RAG_KEY,0)),"amber","red")),IF((E141/IF(N(J141)&gt;0,J141,H141))&lt;=INDEX(RAG_SV,MATCH("kpi.rh.payroll",RAG_KEY,0)),"green",IF((E141/IF(N(J141)&gt;0,J141,H141))&lt;=INDEX(RAG_SA,MATCH("kpi.rh.payroll",RAG_KEY,0)),"amber","red")))),"")</f>
        <v/>
      </c>
    </row>
    <row r="142">
      <c r="C142" s="63">
        <f>IFERROR(IF(LANG="EN",INDEX(I18N_EN,MATCH("kpi.rh.payroll_var",I18N_KEY,0)),INDEX(I18N_FR,MATCH("kpi.rh.payroll_var",I18N_KEY,0))),"kpi.rh.payroll_var")</f>
        <v/>
      </c>
      <c r="D142" s="64" t="inlineStr">
        <is>
          <t>%</t>
        </is>
      </c>
      <c r="E142" s="71">
        <f>IFERROR((AVERAGEIFS('M3 · Base mensuelle'!$D$9:$AM$9,HDR,"&gt;="&amp;P_START,HDR,"&lt;="&amp;P_END)),"")</f>
        <v/>
      </c>
      <c r="F142" s="71">
        <f>IFERROR((AVERAGEIFS('M3 · Base mensuelle'!$D$9:$AM$9,HDR,"&gt;="&amp;PP_START,HDR,"&lt;="&amp;PP_END)),"")</f>
        <v/>
      </c>
      <c r="G142" s="66">
        <f>IFERROR((E142)/(F142)-1,"")</f>
        <v/>
      </c>
      <c r="H142" s="71">
        <f>IFERROR((AVERAGEIFS('M3 · Base mensuelle'!$D$9:$AM$9,HDR,"&gt;="&amp;PY_START,HDR,"&lt;="&amp;PY_END)),"")</f>
        <v/>
      </c>
      <c r="I142" s="66">
        <f>IFERROR((E142)/(H142)-1,"")</f>
        <v/>
      </c>
      <c r="J142" s="67" t="n"/>
      <c r="K142" s="66">
        <f>IFERROR((E142)/(J142)-1,"")</f>
        <v/>
      </c>
      <c r="L142" s="68">
        <f>IF(O142="","",IF(O142="green",IFERROR(IF(LANG="EN",INDEX(I18N_EN,MATCH("rag.green",I18N_KEY,0)),INDEX(I18N_FR,MATCH("rag.green",I18N_KEY,0))),"rag.green"),IF(O142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2" s="3" t="n"/>
      <c r="N142" s="32" t="n"/>
      <c r="O142" s="69">
        <f>IFERROR(IF(IF(N(J142)&gt;0,J142,H142)=0,"",IF(INDEX(RAG_SENS,MATCH("kpi.rh.payroll_var",RAG_KEY,0))="UP",IF((E142/IF(N(J142)&gt;0,J142,H142))&gt;=INDEX(RAG_SV,MATCH("kpi.rh.payroll_var",RAG_KEY,0)),"green",IF((E142/IF(N(J142)&gt;0,J142,H142))&gt;=INDEX(RAG_SA,MATCH("kpi.rh.payroll_var",RAG_KEY,0)),"amber","red")),IF((E142/IF(N(J142)&gt;0,J142,H142))&lt;=INDEX(RAG_SV,MATCH("kpi.rh.payroll_var",RAG_KEY,0)),"green",IF((E142/IF(N(J142)&gt;0,J142,H142))&lt;=INDEX(RAG_SA,MATCH("kpi.rh.payroll_var",RAG_KEY,0)),"amber","red")))),"")</f>
        <v/>
      </c>
    </row>
    <row r="143">
      <c r="C143" s="63">
        <f>IFERROR(IF(LANG="EN",INDEX(I18N_EN,MATCH("kpi.rh.turnover",I18N_KEY,0)),INDEX(I18N_FR,MATCH("kpi.rh.turnover",I18N_KEY,0))),"kpi.rh.turnover")</f>
        <v/>
      </c>
      <c r="D143" s="64" t="inlineStr">
        <is>
          <t>%</t>
        </is>
      </c>
      <c r="E143" s="71">
        <f>IFERROR((AVERAGEIFS('M3 · Base mensuelle'!$D$10:$AM$10,HDR,"&gt;="&amp;P_START,HDR,"&lt;="&amp;P_END)),"")</f>
        <v/>
      </c>
      <c r="F143" s="71">
        <f>IFERROR((AVERAGEIFS('M3 · Base mensuelle'!$D$10:$AM$10,HDR,"&gt;="&amp;PP_START,HDR,"&lt;="&amp;PP_END)),"")</f>
        <v/>
      </c>
      <c r="G143" s="66">
        <f>IFERROR((E143)/(F143)-1,"")</f>
        <v/>
      </c>
      <c r="H143" s="71">
        <f>IFERROR((AVERAGEIFS('M3 · Base mensuelle'!$D$10:$AM$10,HDR,"&gt;="&amp;PY_START,HDR,"&lt;="&amp;PY_END)),"")</f>
        <v/>
      </c>
      <c r="I143" s="66">
        <f>IFERROR((E143)/(H143)-1,"")</f>
        <v/>
      </c>
      <c r="J143" s="67" t="n"/>
      <c r="K143" s="66">
        <f>IFERROR((E143)/(J143)-1,"")</f>
        <v/>
      </c>
      <c r="L143" s="68">
        <f>IF(O143="","",IF(O143="green",IFERROR(IF(LANG="EN",INDEX(I18N_EN,MATCH("rag.green",I18N_KEY,0)),INDEX(I18N_FR,MATCH("rag.green",I18N_KEY,0))),"rag.green"),IF(O143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3" s="3" t="n"/>
      <c r="N143" s="32" t="n"/>
      <c r="O143" s="69">
        <f>IFERROR(IF(IF(N(J143)&gt;0,J143,H143)=0,"",IF(INDEX(RAG_SENS,MATCH("kpi.rh.turnover",RAG_KEY,0))="UP",IF((E143/IF(N(J143)&gt;0,J143,H143))&gt;=INDEX(RAG_SV,MATCH("kpi.rh.turnover",RAG_KEY,0)),"green",IF((E143/IF(N(J143)&gt;0,J143,H143))&gt;=INDEX(RAG_SA,MATCH("kpi.rh.turnover",RAG_KEY,0)),"amber","red")),IF((E143/IF(N(J143)&gt;0,J143,H143))&lt;=INDEX(RAG_SV,MATCH("kpi.rh.turnover",RAG_KEY,0)),"green",IF((E143/IF(N(J143)&gt;0,J143,H143))&lt;=INDEX(RAG_SA,MATCH("kpi.rh.turnover",RAG_KEY,0)),"amber","red")))),"")</f>
        <v/>
      </c>
    </row>
    <row r="144">
      <c r="C144" s="63">
        <f>IFERROR(IF(LANG="EN",INDEX(I18N_EN,MATCH("kpi.rh.absence",I18N_KEY,0)),INDEX(I18N_FR,MATCH("kpi.rh.absence",I18N_KEY,0))),"kpi.rh.absence")</f>
        <v/>
      </c>
      <c r="D144" s="64" t="inlineStr">
        <is>
          <t>%</t>
        </is>
      </c>
      <c r="E144" s="71">
        <f>IFERROR((AVERAGEIFS('M3 · Base mensuelle'!$D$11:$AM$11,HDR,"&gt;="&amp;P_START,HDR,"&lt;="&amp;P_END)),"")</f>
        <v/>
      </c>
      <c r="F144" s="71">
        <f>IFERROR((AVERAGEIFS('M3 · Base mensuelle'!$D$11:$AM$11,HDR,"&gt;="&amp;PP_START,HDR,"&lt;="&amp;PP_END)),"")</f>
        <v/>
      </c>
      <c r="G144" s="66">
        <f>IFERROR((E144)/(F144)-1,"")</f>
        <v/>
      </c>
      <c r="H144" s="71">
        <f>IFERROR((AVERAGEIFS('M3 · Base mensuelle'!$D$11:$AM$11,HDR,"&gt;="&amp;PY_START,HDR,"&lt;="&amp;PY_END)),"")</f>
        <v/>
      </c>
      <c r="I144" s="66">
        <f>IFERROR((E144)/(H144)-1,"")</f>
        <v/>
      </c>
      <c r="J144" s="67" t="n"/>
      <c r="K144" s="66">
        <f>IFERROR((E144)/(J144)-1,"")</f>
        <v/>
      </c>
      <c r="L144" s="68">
        <f>IF(O144="","",IF(O144="green",IFERROR(IF(LANG="EN",INDEX(I18N_EN,MATCH("rag.green",I18N_KEY,0)),INDEX(I18N_FR,MATCH("rag.green",I18N_KEY,0))),"rag.green"),IF(O144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4" s="3" t="n"/>
      <c r="N144" s="32" t="n"/>
      <c r="O144" s="69">
        <f>IFERROR(IF(IF(N(J144)&gt;0,J144,H144)=0,"",IF(INDEX(RAG_SENS,MATCH("kpi.rh.absence",RAG_KEY,0))="UP",IF((E144/IF(N(J144)&gt;0,J144,H144))&gt;=INDEX(RAG_SV,MATCH("kpi.rh.absence",RAG_KEY,0)),"green",IF((E144/IF(N(J144)&gt;0,J144,H144))&gt;=INDEX(RAG_SA,MATCH("kpi.rh.absence",RAG_KEY,0)),"amber","red")),IF((E144/IF(N(J144)&gt;0,J144,H144))&lt;=INDEX(RAG_SV,MATCH("kpi.rh.absence",RAG_KEY,0)),"green",IF((E144/IF(N(J144)&gt;0,J144,H144))&lt;=INDEX(RAG_SA,MATCH("kpi.rh.absence",RAG_KEY,0)),"amber","red")))),"")</f>
        <v/>
      </c>
    </row>
    <row r="145">
      <c r="C145" s="63">
        <f>IFERROR(IF(LANG="EN",INDEX(I18N_EN,MATCH("kpi.rh.train_hours",I18N_KEY,0)),INDEX(I18N_FR,MATCH("kpi.rh.train_hours",I18N_KEY,0))),"kpi.rh.train_hours")</f>
        <v/>
      </c>
      <c r="D145" s="64" t="inlineStr">
        <is>
          <t>h</t>
        </is>
      </c>
      <c r="E145" s="65">
        <f>IFERROR((AVERAGEIFS('M3 · Base mensuelle'!$D$12:$AM$12,HDR,"&gt;="&amp;P_START,HDR,"&lt;="&amp;P_END)),"")</f>
        <v/>
      </c>
      <c r="F145" s="65">
        <f>IFERROR((AVERAGEIFS('M3 · Base mensuelle'!$D$12:$AM$12,HDR,"&gt;="&amp;PP_START,HDR,"&lt;="&amp;PP_END)),"")</f>
        <v/>
      </c>
      <c r="G145" s="66">
        <f>IFERROR((E145)/(F145)-1,"")</f>
        <v/>
      </c>
      <c r="H145" s="65">
        <f>IFERROR((AVERAGEIFS('M3 · Base mensuelle'!$D$12:$AM$12,HDR,"&gt;="&amp;PY_START,HDR,"&lt;="&amp;PY_END)),"")</f>
        <v/>
      </c>
      <c r="I145" s="66">
        <f>IFERROR((E145)/(H145)-1,"")</f>
        <v/>
      </c>
      <c r="J145" s="67" t="n"/>
      <c r="K145" s="66">
        <f>IFERROR((E145)/(J145)-1,"")</f>
        <v/>
      </c>
      <c r="L145" s="68">
        <f>IF(O145="","",IF(O145="green",IFERROR(IF(LANG="EN",INDEX(I18N_EN,MATCH("rag.green",I18N_KEY,0)),INDEX(I18N_FR,MATCH("rag.green",I18N_KEY,0))),"rag.green"),IF(O145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5" s="3" t="n"/>
      <c r="N145" s="32" t="n"/>
      <c r="O145" s="69">
        <f>IFERROR(IF(IF(N(J145)&gt;0,J145,H145)=0,"",IF(INDEX(RAG_SENS,MATCH("kpi.rh.train_hours",RAG_KEY,0))="UP",IF((E145/IF(N(J145)&gt;0,J145,H145))&gt;=INDEX(RAG_SV,MATCH("kpi.rh.train_hours",RAG_KEY,0)),"green",IF((E145/IF(N(J145)&gt;0,J145,H145))&gt;=INDEX(RAG_SA,MATCH("kpi.rh.train_hours",RAG_KEY,0)),"amber","red")),IF((E145/IF(N(J145)&gt;0,J145,H145))&lt;=INDEX(RAG_SV,MATCH("kpi.rh.train_hours",RAG_KEY,0)),"green",IF((E145/IF(N(J145)&gt;0,J145,H145))&lt;=INDEX(RAG_SA,MATCH("kpi.rh.train_hours",RAG_KEY,0)),"amber","red")))),"")</f>
        <v/>
      </c>
    </row>
    <row r="146">
      <c r="C146" s="63">
        <f>IFERROR(IF(LANG="EN",INDEX(I18N_EN,MATCH("kpi.rh.train_cover",I18N_KEY,0)),INDEX(I18N_FR,MATCH("kpi.rh.train_cover",I18N_KEY,0))),"kpi.rh.train_cover")</f>
        <v/>
      </c>
      <c r="D146" s="64" t="inlineStr">
        <is>
          <t>%</t>
        </is>
      </c>
      <c r="E146" s="71">
        <f>IFERROR((AVERAGEIFS('M3 · Base mensuelle'!$D$13:$AM$13,HDR,"&gt;="&amp;P_START,HDR,"&lt;="&amp;P_END)),"")</f>
        <v/>
      </c>
      <c r="F146" s="71">
        <f>IFERROR((AVERAGEIFS('M3 · Base mensuelle'!$D$13:$AM$13,HDR,"&gt;="&amp;PP_START,HDR,"&lt;="&amp;PP_END)),"")</f>
        <v/>
      </c>
      <c r="G146" s="66">
        <f>IFERROR((E146)/(F146)-1,"")</f>
        <v/>
      </c>
      <c r="H146" s="71">
        <f>IFERROR((AVERAGEIFS('M3 · Base mensuelle'!$D$13:$AM$13,HDR,"&gt;="&amp;PY_START,HDR,"&lt;="&amp;PY_END)),"")</f>
        <v/>
      </c>
      <c r="I146" s="66">
        <f>IFERROR((E146)/(H146)-1,"")</f>
        <v/>
      </c>
      <c r="J146" s="67" t="n"/>
      <c r="K146" s="66">
        <f>IFERROR((E146)/(J146)-1,"")</f>
        <v/>
      </c>
      <c r="L146" s="68">
        <f>IF(O146="","",IF(O146="green",IFERROR(IF(LANG="EN",INDEX(I18N_EN,MATCH("rag.green",I18N_KEY,0)),INDEX(I18N_FR,MATCH("rag.green",I18N_KEY,0))),"rag.green"),IF(O146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6" s="3" t="n"/>
      <c r="N146" s="32" t="n"/>
      <c r="O146" s="69">
        <f>IFERROR(IF(IF(N(J146)&gt;0,J146,H146)=0,"",IF(INDEX(RAG_SENS,MATCH("kpi.rh.train_cover",RAG_KEY,0))="UP",IF((E146/IF(N(J146)&gt;0,J146,H146))&gt;=INDEX(RAG_SV,MATCH("kpi.rh.train_cover",RAG_KEY,0)),"green",IF((E146/IF(N(J146)&gt;0,J146,H146))&gt;=INDEX(RAG_SA,MATCH("kpi.rh.train_cover",RAG_KEY,0)),"amber","red")),IF((E146/IF(N(J146)&gt;0,J146,H146))&lt;=INDEX(RAG_SV,MATCH("kpi.rh.train_cover",RAG_KEY,0)),"green",IF((E146/IF(N(J146)&gt;0,J146,H146))&lt;=INDEX(RAG_SA,MATCH("kpi.rh.train_cover",RAG_KEY,0)),"amber","red")))),"")</f>
        <v/>
      </c>
    </row>
    <row r="147">
      <c r="C147" s="72">
        <f>"◆ "&amp;IFERROR(IF(LANG="EN",INDEX(I18N_EN,MATCH("msg.highlights",I18N_KEY,0)),INDEX(I18N_FR,MATCH("msg.highlights",I18N_KEY,0))),"msg.highlights")</f>
        <v/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2" t="n"/>
    </row>
    <row r="148">
      <c r="C148" s="73">
        <f>IFERROR("▲ "&amp;INDEX(C137:C146,MATCH(MAX(G137:G146),G137:G146,0))&amp;"   "&amp;TEXT(MAX(G137:G146),"+0.0%;-0.0%"),"")</f>
        <v/>
      </c>
      <c r="D148" s="3" t="n"/>
      <c r="E148" s="3" t="n"/>
      <c r="F148" s="3" t="n"/>
      <c r="G148" s="3" t="n"/>
      <c r="H148" s="3" t="n"/>
      <c r="I148" s="74">
        <f>IFERROR("▼ "&amp;INDEX(C137:C146,MATCH(MIN(G137:G146),G137:G146,0))&amp;"   "&amp;TEXT(MIN(G137:G146),"+0.0%;-0.0%"),"")</f>
        <v/>
      </c>
      <c r="J148" s="3" t="n"/>
      <c r="K148" s="3" t="n"/>
      <c r="L148" s="3" t="n"/>
      <c r="M148" s="3" t="n"/>
      <c r="N148" s="32" t="n"/>
    </row>
    <row r="149">
      <c r="C149" s="53">
        <f>"💬 "&amp;IFERROR(IF(LANG="EN",INDEX(I18N_EN,MATCH("col.comment",I18N_KEY,0)),INDEX(I18N_FR,MATCH("col.comment",I18N_KEY,0))),"col.comment")</f>
        <v/>
      </c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4" t="n"/>
      <c r="O149" s="5" t="n"/>
    </row>
    <row r="150">
      <c r="C150" s="75">
        <f>IF('C1 · Capital Humain'!$D$20&lt;&gt;"",'C1 · Capital Humain'!$D$20,IFERROR(SUBSTITUTE(SUBSTITUTE(IF(G137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rh.headcount",I18N_KEY,0)),INDEX(I18N_FR,MATCH("kpi.rh.headcount",I18N_KEY,0))),"kpi.rh.headcount")),"{delta}",TEXT(ABS(G137),"0.0%")),""))</f>
        <v/>
      </c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7" t="n"/>
    </row>
    <row r="151">
      <c r="C151" s="50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2" t="n"/>
    </row>
    <row r="152">
      <c r="C152" s="58" t="n"/>
      <c r="D152" s="58" t="n"/>
      <c r="E152" s="58" t="n"/>
      <c r="F152" s="58" t="n"/>
      <c r="G152" s="58" t="n"/>
      <c r="H152" s="58" t="n"/>
      <c r="I152" s="58" t="n"/>
      <c r="J152" s="58" t="n"/>
      <c r="K152" s="58" t="n"/>
      <c r="L152" s="58" t="n"/>
      <c r="M152" s="58" t="n"/>
      <c r="N152" s="58" t="n"/>
      <c r="O152" s="59" t="n"/>
    </row>
    <row r="153">
      <c r="C153" s="60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22" t="n"/>
    </row>
    <row r="154"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 ht="19" customHeight="1">
      <c r="C155" s="46">
        <f>"🎯  2.3  "&amp;IF(LANG="EN","Budget vs Actual","Budget vs Réalisé")</f>
        <v/>
      </c>
      <c r="D155" s="47" t="n"/>
      <c r="E155" s="47" t="n"/>
      <c r="F155" s="47" t="n"/>
      <c r="G155" s="47" t="n"/>
      <c r="H155" s="47" t="n"/>
      <c r="I155" s="47" t="n"/>
      <c r="J155" s="47" t="n"/>
      <c r="K155" s="47" t="n"/>
      <c r="L155" s="47" t="n"/>
      <c r="M155" s="47" t="n"/>
      <c r="N155" s="48" t="n"/>
      <c r="O155" s="1" t="n"/>
    </row>
    <row r="156">
      <c r="C156" s="76">
        <f>"▌ "&amp;IF(LANG="EN","Actual vs Budget — 12 months","Réalisé vs Budget — 12 mois")</f>
        <v/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2" t="n"/>
    </row>
    <row r="157">
      <c r="C157" s="50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2" t="n"/>
    </row>
    <row r="158">
      <c r="C158" s="50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2" t="n"/>
    </row>
    <row r="159">
      <c r="C159" s="50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2" t="n"/>
    </row>
    <row r="160">
      <c r="C160" s="50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2" t="n"/>
    </row>
    <row r="161">
      <c r="C161" s="50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2" t="n"/>
    </row>
    <row r="162">
      <c r="C162" s="50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2" t="n"/>
    </row>
    <row r="163">
      <c r="C163" s="50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2" t="n"/>
    </row>
    <row r="164">
      <c r="C164" s="50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2" t="n"/>
    </row>
    <row r="165">
      <c r="C165" s="50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2" t="n"/>
    </row>
    <row r="166">
      <c r="C166" s="50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2" t="n"/>
    </row>
    <row r="167">
      <c r="C167" s="50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2" t="n"/>
    </row>
    <row r="168">
      <c r="C168" s="50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2" t="n"/>
    </row>
    <row r="169">
      <c r="C169" s="61">
        <f>IFERROR(IF(LANG="EN",INDEX(I18N_EN,MATCH("col.kpi",I18N_KEY,0)),INDEX(I18N_FR,MATCH("col.kpi",I18N_KEY,0))),"col.kpi")</f>
        <v/>
      </c>
      <c r="D169" s="62">
        <f>IFERROR(IF(LANG="EN",INDEX(I18N_EN,MATCH("col.unit",I18N_KEY,0)),INDEX(I18N_FR,MATCH("col.unit",I18N_KEY,0))),"col.unit")</f>
        <v/>
      </c>
      <c r="E169" s="62">
        <f>IFERROR(IF(LANG="EN",INDEX(I18N_EN,MATCH("col.current",I18N_KEY,0)),INDEX(I18N_FR,MATCH("col.current",I18N_KEY,0))),"col.current")</f>
        <v/>
      </c>
      <c r="F169" s="62">
        <f>IFERROR(IF(LANG="EN",INDEX(I18N_EN,MATCH("col.budget",I18N_KEY,0)),INDEX(I18N_FR,MATCH("col.budget",I18N_KEY,0))),"col.budget")</f>
        <v/>
      </c>
      <c r="G169" s="62">
        <f>IFERROR(IF(LANG="EN",INDEX(I18N_EN,MATCH("col.var",I18N_KEY,0)),INDEX(I18N_FR,MATCH("col.var",I18N_KEY,0))),"col.var")</f>
        <v/>
      </c>
      <c r="H169" s="62">
        <f>IFERROR(IF(LANG="EN",INDEX(I18N_EN,MATCH("col.rag",I18N_KEY,0)),INDEX(I18N_FR,MATCH("col.rag",I18N_KEY,0))),"col.rag")</f>
        <v/>
      </c>
      <c r="I169" s="3" t="n"/>
      <c r="J169" s="3" t="n"/>
      <c r="K169" s="3" t="n"/>
      <c r="L169" s="3" t="n"/>
      <c r="M169" s="3" t="n"/>
      <c r="N169" s="32" t="n"/>
    </row>
    <row r="170">
      <c r="C170" s="63">
        <f>IFERROR(IF(LANG="EN",INDEX(I18N_EN,MATCH("kpi.rh.fte_gap",I18N_KEY,0)),INDEX(I18N_FR,MATCH("kpi.rh.fte_gap",I18N_KEY,0))),"kpi.rh.fte_gap")</f>
        <v/>
      </c>
      <c r="D170" s="64" t="inlineStr">
        <is>
          <t>ETP</t>
        </is>
      </c>
      <c r="E170" s="65">
        <f>IFERROR((INDEX('M3 · Base mensuelle'!$D$5:$AM$5,MATCH(P_END,HDR,0))),"")</f>
        <v/>
      </c>
      <c r="F170" s="65">
        <f>IFERROR((SUMPRODUCT((BUD_MONTHS&gt;=MONTH(P_START))*(BUD_MONTHS&lt;=MONTH(P_END))*'M1 · Paramètres'!$H$6:$S$6)/SUMPRODUCT((BUD_MONTHS&gt;=MONTH(P_START))*(BUD_MONTHS&lt;=MONTH(P_END))*1)),"")</f>
        <v/>
      </c>
      <c r="G170" s="77">
        <f>IFERROR((E170)/(F170)-1,"")</f>
        <v/>
      </c>
      <c r="H170" s="68">
        <f>IF(P170="","",IF(P170="green",IFERROR(IF(LANG="EN",INDEX(I18N_EN,MATCH("rag.green",I18N_KEY,0)),INDEX(I18N_FR,MATCH("rag.green",I18N_KEY,0))),"rag.green"),IF(P170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70" s="3" t="n"/>
      <c r="J170" s="3" t="n"/>
      <c r="K170" s="3" t="n"/>
      <c r="L170" s="3" t="n"/>
      <c r="M170" s="3" t="n"/>
      <c r="N170" s="32" t="n"/>
      <c r="P170" s="69">
        <f>IFERROR(IF(F170=0,"",IF(INDEX(RAG_SENS,MATCH("kpi.rh.fte_gap",RAG_KEY,0))="UP",IF((E170/F170)&gt;=INDEX(RAG_SV,MATCH("kpi.rh.fte_gap",RAG_KEY,0)),"green",IF((E170/F170)&gt;=INDEX(RAG_SA,MATCH("kpi.rh.fte_gap",RAG_KEY,0)),"amber","red")),IF((E170/F170)&lt;=INDEX(RAG_SV,MATCH("kpi.rh.fte_gap",RAG_KEY,0)),"green",IF((E170/F170)&lt;=INDEX(RAG_SA,MATCH("kpi.rh.fte_gap",RAG_KEY,0)),"amber","red")))),"")</f>
        <v/>
      </c>
    </row>
    <row r="171">
      <c r="C171" s="63">
        <f>IFERROR(IF(LANG="EN",INDEX(I18N_EN,MATCH("kpi.rh.payroll",I18N_KEY,0)),INDEX(I18N_FR,MATCH("kpi.rh.payroll",I18N_KEY,0))),"kpi.rh.payroll")</f>
        <v/>
      </c>
      <c r="D171" s="64" t="inlineStr">
        <is>
          <t>FCFA</t>
        </is>
      </c>
      <c r="E171" s="70">
        <f>IFERROR((SUMIFS('M3 · Base mensuelle'!$D$8:$AM$8,HDR,"&gt;="&amp;P_START,HDR,"&lt;="&amp;P_END))/1000000,"")</f>
        <v/>
      </c>
      <c r="F171" s="70">
        <f>IFERROR((SUMPRODUCT((BUD_MONTHS&gt;=MONTH(P_START))*(BUD_MONTHS&lt;=MONTH(P_END))*'M1 · Paramètres'!$H$9:$S$9))/1000000,"")</f>
        <v/>
      </c>
      <c r="G171" s="77">
        <f>IFERROR((E171)/(F171)-1,"")</f>
        <v/>
      </c>
      <c r="H171" s="68">
        <f>IF(P171="","",IF(P171="green",IFERROR(IF(LANG="EN",INDEX(I18N_EN,MATCH("rag.green",I18N_KEY,0)),INDEX(I18N_FR,MATCH("rag.green",I18N_KEY,0))),"rag.green"),IF(P171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71" s="3" t="n"/>
      <c r="J171" s="3" t="n"/>
      <c r="K171" s="3" t="n"/>
      <c r="L171" s="3" t="n"/>
      <c r="M171" s="3" t="n"/>
      <c r="N171" s="32" t="n"/>
      <c r="P171" s="69">
        <f>IFERROR(IF(F171=0,"",IF(INDEX(RAG_SENS,MATCH("kpi.rh.payroll",RAG_KEY,0))="UP",IF((E171/F171)&gt;=INDEX(RAG_SV,MATCH("kpi.rh.payroll",RAG_KEY,0)),"green",IF((E171/F171)&gt;=INDEX(RAG_SA,MATCH("kpi.rh.payroll",RAG_KEY,0)),"amber","red")),IF((E171/F171)&lt;=INDEX(RAG_SV,MATCH("kpi.rh.payroll",RAG_KEY,0)),"green",IF((E171/F171)&lt;=INDEX(RAG_SA,MATCH("kpi.rh.payroll",RAG_KEY,0)),"amber","red")))),"")</f>
        <v/>
      </c>
    </row>
    <row r="172">
      <c r="C172" s="53">
        <f>"💬 "&amp;IFERROR(IF(LANG="EN",INDEX(I18N_EN,MATCH("col.comment",I18N_KEY,0)),INDEX(I18N_FR,MATCH("col.comment",I18N_KEY,0))),"col.comment")</f>
        <v/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4" t="n"/>
      <c r="O172" s="5" t="n"/>
    </row>
    <row r="173">
      <c r="C173" s="55">
        <f>IF(LANG="EN","Budget variance commentary.","Commentaire écart budgétaire.")</f>
        <v/>
      </c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7" t="n"/>
    </row>
    <row r="174">
      <c r="C174" s="50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2" t="n"/>
    </row>
    <row r="175">
      <c r="C175" s="58" t="n"/>
      <c r="D175" s="58" t="n"/>
      <c r="E175" s="58" t="n"/>
      <c r="F175" s="58" t="n"/>
      <c r="G175" s="58" t="n"/>
      <c r="H175" s="58" t="n"/>
      <c r="I175" s="58" t="n"/>
      <c r="J175" s="58" t="n"/>
      <c r="K175" s="58" t="n"/>
      <c r="L175" s="58" t="n"/>
      <c r="M175" s="58" t="n"/>
      <c r="N175" s="58" t="n"/>
      <c r="O175" s="59" t="n"/>
    </row>
    <row r="176">
      <c r="C176" s="60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22" t="n"/>
    </row>
    <row r="177"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</row>
    <row r="179"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 ht="28" customHeight="1">
      <c r="C180" s="9">
        <f>"         3.   "&amp;IFERROR(IF(LANG="EN",INDEX(I18N_EN,MATCH("dept.lease",I18N_KEY,0)),INDEX(I18N_FR,MATCH("dept.lease",I18N_KEY,0))),"dept.lease")&amp;"   ·   "&amp;IF(LANG="EN",INDEX(MOIS_EN,MONTH(PERIODE)),INDEX(MOIS_FR,MONTH(PERIODE)))&amp;" "&amp;YEAR(PERIODE)</f>
        <v/>
      </c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5">
        <f>"↑ "&amp;IFERROR(IF(LANG="EN",INDEX(I18N_EN,MATCH("nav.summary",I18N_KEY,0)),INDEX(I18N_FR,MATCH("nav.summary",I18N_KEY,0))),"nav.summary")</f>
        <v/>
      </c>
    </row>
    <row r="181">
      <c r="C181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 ht="5" customHeight="1">
      <c r="C183" s="17" t="n"/>
      <c r="D183" s="38" t="n"/>
      <c r="E183" s="38" t="n"/>
      <c r="F183" s="38" t="n"/>
      <c r="G183" s="38" t="n"/>
      <c r="H183" s="18" t="n"/>
      <c r="I183" s="17" t="n"/>
      <c r="J183" s="38" t="n"/>
      <c r="K183" s="38" t="n"/>
      <c r="L183" s="38" t="n"/>
      <c r="M183" s="38" t="n"/>
      <c r="N183" s="18" t="n"/>
    </row>
    <row r="184" ht="18" customHeight="1">
      <c r="C184" s="39">
        <f>"       "&amp;IFERROR(IF(LANG="EN",INDEX(I18N_EN,MATCH("kpi.lease.occ_gla",I18N_KEY,0)),INDEX(I18N_FR,MATCH("kpi.lease.occ_gla",I18N_KEY,0))),"kpi.lease.occ_gla")</f>
        <v/>
      </c>
      <c r="D184" s="40" t="n"/>
      <c r="E184" s="40" t="n"/>
      <c r="F184" s="40" t="n"/>
      <c r="G184" s="40" t="n"/>
      <c r="H184" s="20" t="n"/>
      <c r="I184" s="39">
        <f>"       "&amp;IFERROR(IF(LANG="EN",INDEX(I18N_EN,MATCH("kpi.lease.occ_unit",I18N_KEY,0)),INDEX(I18N_FR,MATCH("kpi.lease.occ_unit",I18N_KEY,0))),"kpi.lease.occ_unit")</f>
        <v/>
      </c>
      <c r="J184" s="40" t="n"/>
      <c r="K184" s="40" t="n"/>
      <c r="L184" s="40" t="n"/>
      <c r="M184" s="40" t="n"/>
      <c r="N184" s="20" t="n"/>
    </row>
    <row r="185" ht="42" customHeight="1">
      <c r="C185" s="79">
        <f>IFERROR((AVERAGEIFS('M3 · Base mensuelle'!$D$14:$AM$14,HDR,"&gt;="&amp;P_START,HDR,"&lt;="&amp;P_END)),"")</f>
        <v/>
      </c>
      <c r="D185" s="40" t="n"/>
      <c r="E185" s="40" t="n"/>
      <c r="F185" s="40" t="n"/>
      <c r="G185" s="40" t="n"/>
      <c r="H185" s="20" t="n"/>
      <c r="I185" s="79">
        <f>IFERROR((AVERAGEIFS('M3 · Base mensuelle'!$D$15:$AM$15,HDR,"&gt;="&amp;P_START,HDR,"&lt;="&amp;P_END)),"")</f>
        <v/>
      </c>
      <c r="J185" s="40" t="n"/>
      <c r="K185" s="40" t="n"/>
      <c r="L185" s="40" t="n"/>
      <c r="M185" s="40" t="n"/>
      <c r="N185" s="20" t="n"/>
    </row>
    <row r="186" ht="20" customHeight="1">
      <c r="C186" s="42">
        <f>IFERROR((IFERROR((AVERAGEIFS('M3 · Base mensuelle'!$D$14:$AM$14,HDR,"&gt;="&amp;P_START,HDR,"&lt;="&amp;P_END)),""))/(IFERROR((AVERAGEIFS('M3 · Base mensuelle'!$D$14:$AM$14,HDR,"&gt;="&amp;PP_START,HDR,"&lt;="&amp;PP_END)),""))-1,"")</f>
        <v/>
      </c>
      <c r="D186" s="36" t="n"/>
      <c r="E186" s="36" t="n"/>
      <c r="F186" s="36" t="n"/>
      <c r="G186" s="36" t="n"/>
      <c r="H186" s="22" t="n"/>
      <c r="I186" s="42">
        <f>IFERROR((IFERROR((AVERAGEIFS('M3 · Base mensuelle'!$D$15:$AM$15,HDR,"&gt;="&amp;P_START,HDR,"&lt;="&amp;P_END)),""))/(IFERROR((AVERAGEIFS('M3 · Base mensuelle'!$D$15:$AM$15,HDR,"&gt;="&amp;PP_START,HDR,"&lt;="&amp;PP_END)),""))-1,"")</f>
        <v/>
      </c>
      <c r="J186" s="36" t="n"/>
      <c r="K186" s="36" t="n"/>
      <c r="L186" s="36" t="n"/>
      <c r="M186" s="36" t="n"/>
      <c r="N186" s="22" t="n"/>
    </row>
    <row r="187"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 ht="5" customHeight="1">
      <c r="C188" s="17" t="n"/>
      <c r="D188" s="38" t="n"/>
      <c r="E188" s="38" t="n"/>
      <c r="F188" s="38" t="n"/>
      <c r="G188" s="38" t="n"/>
      <c r="H188" s="18" t="n"/>
      <c r="I188" s="17" t="n"/>
      <c r="J188" s="38" t="n"/>
      <c r="K188" s="38" t="n"/>
      <c r="L188" s="38" t="n"/>
      <c r="M188" s="38" t="n"/>
      <c r="N188" s="18" t="n"/>
    </row>
    <row r="189" ht="18" customHeight="1">
      <c r="C189" s="39">
        <f>"       "&amp;IFERROR(IF(LANG="EN",INDEX(I18N_EN,MATCH("kpi.lease.gla_vacant",I18N_KEY,0)),INDEX(I18N_FR,MATCH("kpi.lease.gla_vacant",I18N_KEY,0))),"kpi.lease.gla_vacant")</f>
        <v/>
      </c>
      <c r="D189" s="40" t="n"/>
      <c r="E189" s="40" t="n"/>
      <c r="F189" s="40" t="n"/>
      <c r="G189" s="40" t="n"/>
      <c r="H189" s="20" t="n"/>
      <c r="I189" s="39">
        <f>"       "&amp;IFERROR(IF(LANG="EN",INDEX(I18N_EN,MATCH("kpi.lease.ocr",I18N_KEY,0)),INDEX(I18N_FR,MATCH("kpi.lease.ocr",I18N_KEY,0))),"kpi.lease.ocr")</f>
        <v/>
      </c>
      <c r="J189" s="40" t="n"/>
      <c r="K189" s="40" t="n"/>
      <c r="L189" s="40" t="n"/>
      <c r="M189" s="40" t="n"/>
      <c r="N189" s="20" t="n"/>
    </row>
    <row r="190" ht="42" customHeight="1">
      <c r="C190" s="41">
        <f>IFERROR((INDEX('M3 · Base mensuelle'!$D$16:$AM$16,MATCH(P_END,HDR,0))),"")</f>
        <v/>
      </c>
      <c r="D190" s="40" t="n"/>
      <c r="E190" s="40" t="n"/>
      <c r="F190" s="40" t="n"/>
      <c r="G190" s="40" t="n"/>
      <c r="H190" s="20" t="n"/>
      <c r="I190" s="79">
        <f>IFERROR((AVERAGEIFS('M3 · Base mensuelle'!$D$17:$AM$17,HDR,"&gt;="&amp;P_START,HDR,"&lt;="&amp;P_END)),"")</f>
        <v/>
      </c>
      <c r="J190" s="40" t="n"/>
      <c r="K190" s="40" t="n"/>
      <c r="L190" s="40" t="n"/>
      <c r="M190" s="40" t="n"/>
      <c r="N190" s="20" t="n"/>
    </row>
    <row r="191" ht="20" customHeight="1">
      <c r="C191" s="42">
        <f>IFERROR((IFERROR((INDEX('M3 · Base mensuelle'!$D$16:$AM$16,MATCH(P_END,HDR,0))),""))/(IFERROR((INDEX('M3 · Base mensuelle'!$D$16:$AM$16,MATCH(PP_END,HDR,0))),""))-1,"")</f>
        <v/>
      </c>
      <c r="D191" s="36" t="n"/>
      <c r="E191" s="36" t="n"/>
      <c r="F191" s="36" t="n"/>
      <c r="G191" s="36" t="n"/>
      <c r="H191" s="22" t="n"/>
      <c r="I191" s="42">
        <f>IFERROR((IFERROR((AVERAGEIFS('M3 · Base mensuelle'!$D$17:$AM$17,HDR,"&gt;="&amp;P_START,HDR,"&lt;="&amp;P_END)),""))/(IFERROR((AVERAGEIFS('M3 · Base mensuelle'!$D$17:$AM$17,HDR,"&gt;="&amp;PP_START,HDR,"&lt;="&amp;PP_END)),""))-1,"")</f>
        <v/>
      </c>
      <c r="J191" s="36" t="n"/>
      <c r="K191" s="36" t="n"/>
      <c r="L191" s="36" t="n"/>
      <c r="M191" s="36" t="n"/>
      <c r="N191" s="22" t="n"/>
    </row>
    <row r="192"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C194" s="43">
        <f>"▌ "&amp;IFERROR(IF(LANG="EN",INDEX(I18N_EN,MATCH("kpi.lease.occ_gla",I18N_KEY,0)),INDEX(I18N_FR,MATCH("kpi.lease.occ_gla",I18N_KEY,0))),"kpi.lease.occ_gla")&amp;" — 12 mois / 12M"</f>
        <v/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C206" s="43">
        <f>"▌ "&amp;IF(LANG="EN","Key gauges","Jauges clés")</f>
        <v/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C207" s="44">
        <f>IFERROR(IF(LANG="EN",INDEX(I18N_EN,MATCH("kpi.lease.occ_gla",I18N_KEY,0)),INDEX(I18N_FR,MATCH("kpi.lease.occ_gla",I18N_KEY,0))),"kpi.lease.occ_gla")</f>
        <v/>
      </c>
      <c r="D207" s="3" t="n"/>
      <c r="E207" s="3" t="n"/>
      <c r="F207" s="3" t="n"/>
      <c r="G207" s="44">
        <f>IFERROR(IF(LANG="EN",INDEX(I18N_EN,MATCH("kpi.lease.occ_unit",I18N_KEY,0)),INDEX(I18N_FR,MATCH("kpi.lease.occ_unit",I18N_KEY,0))),"kpi.lease.occ_unit")</f>
        <v/>
      </c>
      <c r="H207" s="3" t="n"/>
      <c r="I207" s="3" t="n"/>
      <c r="J207" s="3" t="n"/>
      <c r="K207" s="44">
        <f>IFERROR(IF(LANG="EN",INDEX(I18N_EN,MATCH("kpi.lease.ocr",I18N_KEY,0)),INDEX(I18N_FR,MATCH("kpi.lease.ocr",I18N_KEY,0))),"kpi.lease.ocr")</f>
        <v/>
      </c>
      <c r="L207" s="3" t="n"/>
      <c r="M207" s="3" t="n"/>
      <c r="N207" s="3" t="n"/>
    </row>
    <row r="208"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C215" s="45">
        <f>IFERROR((AVERAGEIFS('M3 · Base mensuelle'!$D$14:$AM$14,HDR,"&gt;="&amp;P_START,HDR,"&lt;="&amp;P_END)),"")</f>
        <v/>
      </c>
      <c r="D215" s="3" t="n"/>
      <c r="E215" s="3" t="n"/>
      <c r="F215" s="3" t="n"/>
      <c r="G215" s="45">
        <f>IFERROR((AVERAGEIFS('M3 · Base mensuelle'!$D$15:$AM$15,HDR,"&gt;="&amp;P_START,HDR,"&lt;="&amp;P_END)),"")</f>
        <v/>
      </c>
      <c r="H215" s="3" t="n"/>
      <c r="I215" s="3" t="n"/>
      <c r="J215" s="3" t="n"/>
      <c r="K215" s="45">
        <f>IFERROR((AVERAGEIFS('M3 · Base mensuelle'!$D$17:$AM$17,HDR,"&gt;="&amp;P_START,HDR,"&lt;="&amp;P_END)),"")</f>
        <v/>
      </c>
      <c r="L215" s="3" t="n"/>
      <c r="M215" s="3" t="n"/>
      <c r="N215" s="3" t="n"/>
    </row>
    <row r="216"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 ht="19" customHeight="1">
      <c r="C219" s="46">
        <f>"▸  3.1  "&amp;IF(LANG="EN","Building Summary","Synthèse de l'immeuble")</f>
        <v/>
      </c>
      <c r="D219" s="47" t="n"/>
      <c r="E219" s="47" t="n"/>
      <c r="F219" s="47" t="n"/>
      <c r="G219" s="47" t="n"/>
      <c r="H219" s="47" t="n"/>
      <c r="I219" s="47" t="n"/>
      <c r="J219" s="47" t="n"/>
      <c r="K219" s="47" t="n"/>
      <c r="L219" s="47" t="n"/>
      <c r="M219" s="47" t="n"/>
      <c r="N219" s="48" t="n"/>
      <c r="O219" s="1" t="n"/>
    </row>
    <row r="220">
      <c r="C220" s="80" t="inlineStr">
        <is>
          <t>Élément / Item</t>
        </is>
      </c>
      <c r="D220" s="62" t="inlineStr">
        <is>
          <t>Valeur / Value</t>
        </is>
      </c>
      <c r="E220" s="81" t="inlineStr">
        <is>
          <t>Unité / Unit</t>
        </is>
      </c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2" t="n"/>
    </row>
    <row r="221">
      <c r="C221" s="82" t="inlineStr">
        <is>
          <t>GLA totale / Total GLA</t>
        </is>
      </c>
      <c r="D221" s="83" t="n">
        <v>18000</v>
      </c>
      <c r="E221" s="84" t="inlineStr">
        <is>
          <t>m²</t>
        </is>
      </c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2" t="n"/>
    </row>
    <row r="222">
      <c r="C222" s="82" t="inlineStr">
        <is>
          <t>Unités / Units</t>
        </is>
      </c>
      <c r="D222" s="83" t="n">
        <v>96</v>
      </c>
      <c r="E222" s="84" t="inlineStr">
        <is>
          <t>nb</t>
        </is>
      </c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2" t="n"/>
    </row>
    <row r="223">
      <c r="C223" s="82" t="inlineStr">
        <is>
          <t>Unités louées / Let units</t>
        </is>
      </c>
      <c r="D223" s="83" t="n">
        <v>86</v>
      </c>
      <c r="E223" s="84" t="inlineStr">
        <is>
          <t>nb</t>
        </is>
      </c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2" t="n"/>
    </row>
    <row r="224">
      <c r="C224" s="82" t="inlineStr">
        <is>
          <t>GLA vacante / Vacant GLA</t>
        </is>
      </c>
      <c r="D224" s="83" t="n">
        <v>1800</v>
      </c>
      <c r="E224" s="84" t="inlineStr">
        <is>
          <t>m²</t>
        </is>
      </c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2" t="n"/>
    </row>
    <row r="225">
      <c r="C225" s="82" t="inlineStr">
        <is>
          <t>Niveaux / Floors</t>
        </is>
      </c>
      <c r="D225" s="83" t="n">
        <v>3</v>
      </c>
      <c r="E225" s="84" t="inlineStr">
        <is>
          <t>nb</t>
        </is>
      </c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2" t="n"/>
    </row>
    <row r="226">
      <c r="C226" s="82" t="inlineStr">
        <is>
          <t>Places de parking / Parking bays</t>
        </is>
      </c>
      <c r="D226" s="83" t="n">
        <v>450</v>
      </c>
      <c r="E226" s="84" t="inlineStr">
        <is>
          <t>nb</t>
        </is>
      </c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2" t="n"/>
    </row>
    <row r="227">
      <c r="C227" s="82" t="inlineStr">
        <is>
          <t>Locataires actifs / Active tenants</t>
        </is>
      </c>
      <c r="D227" s="83" t="n">
        <v>92</v>
      </c>
      <c r="E227" s="84" t="inlineStr">
        <is>
          <t>nb</t>
        </is>
      </c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2" t="n"/>
    </row>
    <row r="228">
      <c r="C228" s="50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2" t="n"/>
    </row>
    <row r="229">
      <c r="C229" s="50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2" t="n"/>
    </row>
    <row r="230">
      <c r="C230" s="50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2" t="n"/>
    </row>
    <row r="231">
      <c r="C231" s="50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2" t="n"/>
    </row>
    <row r="232">
      <c r="C232" s="50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2" t="n"/>
    </row>
    <row r="233">
      <c r="C233" s="50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2" t="n"/>
    </row>
    <row r="234">
      <c r="C234" s="50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2" t="n"/>
    </row>
    <row r="235">
      <c r="C235" s="50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2" t="n"/>
    </row>
    <row r="236">
      <c r="C236" s="50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2" t="n"/>
    </row>
    <row r="237">
      <c r="C237" s="53">
        <f>"💬 "&amp;IFERROR(IF(LANG="EN",INDEX(I18N_EN,MATCH("col.comment",I18N_KEY,0)),INDEX(I18N_FR,MATCH("col.comment",I18N_KEY,0))),"col.comment")</f>
        <v/>
      </c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4" t="n"/>
      <c r="O237" s="5" t="n"/>
    </row>
    <row r="238">
      <c r="C238" s="55">
        <f>IF(LANG="EN","Commentary / data source: management systems (demo).","Commentaire / source : systèmes de gestion (démo).")</f>
        <v/>
      </c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7" t="n"/>
    </row>
    <row r="239">
      <c r="C239" s="50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2" t="n"/>
    </row>
    <row r="240">
      <c r="C240" s="58" t="n"/>
      <c r="D240" s="58" t="n"/>
      <c r="E240" s="58" t="n"/>
      <c r="F240" s="58" t="n"/>
      <c r="G240" s="58" t="n"/>
      <c r="H240" s="58" t="n"/>
      <c r="I240" s="58" t="n"/>
      <c r="J240" s="58" t="n"/>
      <c r="K240" s="58" t="n"/>
      <c r="L240" s="58" t="n"/>
      <c r="M240" s="58" t="n"/>
      <c r="N240" s="58" t="n"/>
      <c r="O240" s="59" t="n"/>
    </row>
    <row r="241">
      <c r="C241" s="60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22" t="n"/>
    </row>
    <row r="242"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 ht="19" customHeight="1">
      <c r="C243" s="46">
        <f>"▸  3.2  "&amp;IF(LANG="EN","Rental Trading","Activité locative")</f>
        <v/>
      </c>
      <c r="D243" s="47" t="n"/>
      <c r="E243" s="47" t="n"/>
      <c r="F243" s="47" t="n"/>
      <c r="G243" s="47" t="n"/>
      <c r="H243" s="47" t="n"/>
      <c r="I243" s="47" t="n"/>
      <c r="J243" s="47" t="n"/>
      <c r="K243" s="47" t="n"/>
      <c r="L243" s="47" t="n"/>
      <c r="M243" s="47" t="n"/>
      <c r="N243" s="48" t="n"/>
      <c r="O243" s="1" t="n"/>
    </row>
    <row r="244">
      <c r="C244" s="61">
        <f>IFERROR(IF(LANG="EN",INDEX(I18N_EN,MATCH("col.kpi",I18N_KEY,0)),INDEX(I18N_FR,MATCH("col.kpi",I18N_KEY,0))),"col.kpi")</f>
        <v/>
      </c>
      <c r="D244" s="62">
        <f>IFERROR(IF(LANG="EN",INDEX(I18N_EN,MATCH("col.unit",I18N_KEY,0)),INDEX(I18N_FR,MATCH("col.unit",I18N_KEY,0))),"col.unit")</f>
        <v/>
      </c>
      <c r="E244" s="62">
        <f>IFERROR(IF(LANG="EN",INDEX(I18N_EN,MATCH("col.current",I18N_KEY,0)),INDEX(I18N_FR,MATCH("col.current",I18N_KEY,0))),"col.current")</f>
        <v/>
      </c>
      <c r="F244" s="62">
        <f>IFERROR(IF(LANG="EN",INDEX(I18N_EN,MATCH("col.prev",I18N_KEY,0)),INDEX(I18N_FR,MATCH("col.prev",I18N_KEY,0))),"col.prev")</f>
        <v/>
      </c>
      <c r="G244" s="62">
        <f>IFERROR(IF(LANG="EN",INDEX(I18N_EN,MATCH("col.delta_prev",I18N_KEY,0)),INDEX(I18N_FR,MATCH("col.delta_prev",I18N_KEY,0))),"col.delta_prev")</f>
        <v/>
      </c>
      <c r="H244" s="62">
        <f>IFERROR(IF(LANG="EN",INDEX(I18N_EN,MATCH("col.py",I18N_KEY,0)),INDEX(I18N_FR,MATCH("col.py",I18N_KEY,0))),"col.py")</f>
        <v/>
      </c>
      <c r="I244" s="62">
        <f>IFERROR(IF(LANG="EN",INDEX(I18N_EN,MATCH("col.delta_py",I18N_KEY,0)),INDEX(I18N_FR,MATCH("col.delta_py",I18N_KEY,0))),"col.delta_py")</f>
        <v/>
      </c>
      <c r="J244" s="62">
        <f>IFERROR(IF(LANG="EN",INDEX(I18N_EN,MATCH("col.budget",I18N_KEY,0)),INDEX(I18N_FR,MATCH("col.budget",I18N_KEY,0))),"col.budget")</f>
        <v/>
      </c>
      <c r="K244" s="62">
        <f>IFERROR(IF(LANG="EN",INDEX(I18N_EN,MATCH("col.var",I18N_KEY,0)),INDEX(I18N_FR,MATCH("col.var",I18N_KEY,0))),"col.var")</f>
        <v/>
      </c>
      <c r="L244" s="62">
        <f>IFERROR(IF(LANG="EN",INDEX(I18N_EN,MATCH("col.rag",I18N_KEY,0)),INDEX(I18N_FR,MATCH("col.rag",I18N_KEY,0))),"col.rag")</f>
        <v/>
      </c>
      <c r="M244" s="3" t="n"/>
      <c r="N244" s="32" t="n"/>
    </row>
    <row r="245">
      <c r="C245" s="63">
        <f>IFERROR(IF(LANG="EN",INDEX(I18N_EN,MATCH("kpi.lease.occ_gla",I18N_KEY,0)),INDEX(I18N_FR,MATCH("kpi.lease.occ_gla",I18N_KEY,0))),"kpi.lease.occ_gla")</f>
        <v/>
      </c>
      <c r="D245" s="64" t="inlineStr">
        <is>
          <t>%</t>
        </is>
      </c>
      <c r="E245" s="71">
        <f>IFERROR((AVERAGEIFS('M3 · Base mensuelle'!$D$14:$AM$14,HDR,"&gt;="&amp;P_START,HDR,"&lt;="&amp;P_END)),"")</f>
        <v/>
      </c>
      <c r="F245" s="71">
        <f>IFERROR((AVERAGEIFS('M3 · Base mensuelle'!$D$14:$AM$14,HDR,"&gt;="&amp;PP_START,HDR,"&lt;="&amp;PP_END)),"")</f>
        <v/>
      </c>
      <c r="G245" s="66">
        <f>IFERROR((E245)/(F245)-1,"")</f>
        <v/>
      </c>
      <c r="H245" s="71">
        <f>IFERROR((AVERAGEIFS('M3 · Base mensuelle'!$D$14:$AM$14,HDR,"&gt;="&amp;PY_START,HDR,"&lt;="&amp;PY_END)),"")</f>
        <v/>
      </c>
      <c r="I245" s="66">
        <f>IFERROR((E245)/(H245)-1,"")</f>
        <v/>
      </c>
      <c r="J245" s="71">
        <f>IFERROR((SUMPRODUCT((BUD_MONTHS&gt;=MONTH(P_START))*(BUD_MONTHS&lt;=MONTH(P_END))*'M1 · Paramètres'!$H$15:$S$15)/SUMPRODUCT((BUD_MONTHS&gt;=MONTH(P_START))*(BUD_MONTHS&lt;=MONTH(P_END))*1)),"")</f>
        <v/>
      </c>
      <c r="K245" s="66">
        <f>IFERROR((E245)/(J245)-1,"")</f>
        <v/>
      </c>
      <c r="L245" s="68">
        <f>IF(O245="","",IF(O245="green",IFERROR(IF(LANG="EN",INDEX(I18N_EN,MATCH("rag.green",I18N_KEY,0)),INDEX(I18N_FR,MATCH("rag.green",I18N_KEY,0))),"rag.green"),IF(O245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245" s="3" t="n"/>
      <c r="N245" s="32" t="n"/>
      <c r="O245" s="69">
        <f>IFERROR(IF(IF(N(J245)&gt;0,J245,H245)=0,"",IF(INDEX(RAG_SENS,MATCH("kpi.lease.occ_gla",RAG_KEY,0))="UP",IF((E245/IF(N(J245)&gt;0,J245,H245))&gt;=INDEX(RAG_SV,MATCH("kpi.lease.occ_gla",RAG_KEY,0)),"green",IF((E245/IF(N(J245)&gt;0,J245,H245))&gt;=INDEX(RAG_SA,MATCH("kpi.lease.occ_gla",RAG_KEY,0)),"amber","red")),IF((E245/IF(N(J245)&gt;0,J245,H245))&lt;=INDEX(RAG_SV,MATCH("kpi.lease.occ_gla",RAG_KEY,0)),"green",IF((E245/IF(N(J245)&gt;0,J245,H245))&lt;=INDEX(RAG_SA,MATCH("kpi.lease.occ_gla",RAG_KEY,0)),"amber","red")))),"")</f>
        <v/>
      </c>
    </row>
    <row r="246">
      <c r="C246" s="63">
        <f>IFERROR(IF(LANG="EN",INDEX(I18N_EN,MATCH("kpi.lease.occ_unit",I18N_KEY,0)),INDEX(I18N_FR,MATCH("kpi.lease.occ_unit",I18N_KEY,0))),"kpi.lease.occ_unit")</f>
        <v/>
      </c>
      <c r="D246" s="64" t="inlineStr">
        <is>
          <t>%</t>
        </is>
      </c>
      <c r="E246" s="71">
        <f>IFERROR((AVERAGEIFS('M3 · Base mensuelle'!$D$15:$AM$15,HDR,"&gt;="&amp;P_START,HDR,"&lt;="&amp;P_END)),"")</f>
        <v/>
      </c>
      <c r="F246" s="71">
        <f>IFERROR((AVERAGEIFS('M3 · Base mensuelle'!$D$15:$AM$15,HDR,"&gt;="&amp;PP_START,HDR,"&lt;="&amp;PP_END)),"")</f>
        <v/>
      </c>
      <c r="G246" s="66">
        <f>IFERROR((E246)/(F246)-1,"")</f>
        <v/>
      </c>
      <c r="H246" s="71">
        <f>IFERROR((AVERAGEIFS('M3 · Base mensuelle'!$D$15:$AM$15,HDR,"&gt;="&amp;PY_START,HDR,"&lt;="&amp;PY_END)),"")</f>
        <v/>
      </c>
      <c r="I246" s="66">
        <f>IFERROR((E246)/(H246)-1,"")</f>
        <v/>
      </c>
      <c r="J246" s="67" t="n"/>
      <c r="K246" s="66">
        <f>IFERROR((E246)/(J246)-1,"")</f>
        <v/>
      </c>
      <c r="L246" s="68">
        <f>IF(O246="","",IF(O246="green",IFERROR(IF(LANG="EN",INDEX(I18N_EN,MATCH("rag.green",I18N_KEY,0)),INDEX(I18N_FR,MATCH("rag.green",I18N_KEY,0))),"rag.green"),IF(O246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246" s="3" t="n"/>
      <c r="N246" s="32" t="n"/>
      <c r="O246" s="69">
        <f>IFERROR(IF(IF(N(J246)&gt;0,J246,H246)=0,"",IF(INDEX(RAG_SENS,MATCH("kpi.lease.occ_unit",RAG_KEY,0))="UP",IF((E246/IF(N(J246)&gt;0,J246,H246))&gt;=INDEX(RAG_SV,MATCH("kpi.lease.occ_unit",RAG_KEY,0)),"green",IF((E246/IF(N(J246)&gt;0,J246,H246))&gt;=INDEX(RAG_SA,MATCH("kpi.lease.occ_unit",RAG_KEY,0)),"amber","red")),IF((E246/IF(N(J246)&gt;0,J246,H246))&lt;=INDEX(RAG_SV,MATCH("kpi.lease.occ_unit",RAG_KEY,0)),"green",IF((E246/IF(N(J246)&gt;0,J246,H246))&lt;=INDEX(RAG_SA,MATCH("kpi.lease.occ_unit",RAG_KEY,0)),"amber","red")))),"")</f>
        <v/>
      </c>
    </row>
    <row r="247">
      <c r="C247" s="63">
        <f>IFERROR(IF(LANG="EN",INDEX(I18N_EN,MATCH("kpi.lease.passing",I18N_KEY,0)),INDEX(I18N_FR,MATCH("kpi.lease.passing",I18N_KEY,0))),"kpi.lease.passing")</f>
        <v/>
      </c>
      <c r="D247" s="64" t="inlineStr">
        <is>
          <t>FCFA</t>
        </is>
      </c>
      <c r="E247" s="70">
        <f>IFERROR((INDEX('M3 · Base mensuelle'!$D$18:$AM$18,MATCH(P_END,HDR,0)))/1000000,"")</f>
        <v/>
      </c>
      <c r="F247" s="70">
        <f>IFERROR((INDEX('M3 · Base mensuelle'!$D$18:$AM$18,MATCH(PP_END,HDR,0)))/1000000,"")</f>
        <v/>
      </c>
      <c r="G247" s="66">
        <f>IFERROR((E247)/(F247)-1,"")</f>
        <v/>
      </c>
      <c r="H247" s="70">
        <f>IFERROR((INDEX('M3 · Base mensuelle'!$D$18:$AM$18,MATCH(PY_END,HDR,0)))/1000000,"")</f>
        <v/>
      </c>
      <c r="I247" s="66">
        <f>IFERROR((E247)/(H247)-1,"")</f>
        <v/>
      </c>
      <c r="J247" s="70">
        <f>IFERROR((SUMPRODUCT((BUD_MONTHS&gt;=MONTH(P_START))*(BUD_MONTHS&lt;=MONTH(P_END))*'M1 · Paramètres'!$H$19:$S$19)/SUMPRODUCT((BUD_MONTHS&gt;=MONTH(P_START))*(BUD_MONTHS&lt;=MONTH(P_END))*1))/1000000,"")</f>
        <v/>
      </c>
      <c r="K247" s="66">
        <f>IFERROR((E247)/(J247)-1,"")</f>
        <v/>
      </c>
      <c r="L247" s="68">
        <f>IF(O247="","",IF(O247="green",IFERROR(IF(LANG="EN",INDEX(I18N_EN,MATCH("rag.green",I18N_KEY,0)),INDEX(I18N_FR,MATCH("rag.green",I18N_KEY,0))),"rag.green"),IF(O247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247" s="3" t="n"/>
      <c r="N247" s="32" t="n"/>
      <c r="O247" s="69">
        <f>IFERROR(IF(IF(N(J247)&gt;0,J247,H247)=0,"",IF(INDEX(RAG_SENS,MATCH("kpi.lease.passing",RAG_KEY,0))="UP",IF((E247/IF(N(J247)&gt;0,J247,H247))&gt;=INDEX(RAG_SV,MATCH("kpi.lease.passing",RAG_KEY,0)),"green",IF((E247/IF(N(J247)&gt;0,J247,H247))&gt;=INDEX(RAG_SA,MATCH("kpi.lease.passing",RAG_KEY,0)),"amber","red")),IF((E247/IF(N(J247)&gt;0,J247,H247))&lt;=INDEX(RAG_SV,MATCH("kpi.lease.passing",RAG_KEY,0)),"green",IF((E247/IF(N(J247)&gt;0,J247,H247))&lt;=INDEX(RAG_SA,MATCH("kpi.lease.passing",RAG_KEY,0)),"amber","red")))),"")</f>
        <v/>
      </c>
    </row>
    <row r="248">
      <c r="C248" s="63">
        <f>IFERROR(IF(LANG="EN",INDEX(I18N_EN,MATCH("kpi.lease.erv",I18N_KEY,0)),INDEX(I18N_FR,MATCH("kpi.lease.erv",I18N_KEY,0))),"kpi.lease.erv")</f>
        <v/>
      </c>
      <c r="D248" s="64" t="inlineStr">
        <is>
          <t>FCFA</t>
        </is>
      </c>
      <c r="E248" s="70">
        <f>IFERROR((INDEX('M3 · Base mensuelle'!$D$19:$AM$19,MATCH(P_END,HDR,0)))/1000000,"")</f>
        <v/>
      </c>
      <c r="F248" s="70">
        <f>IFERROR((INDEX('M3 · Base mensuelle'!$D$19:$AM$19,MATCH(PP_END,HDR,0)))/1000000,"")</f>
        <v/>
      </c>
      <c r="G248" s="66">
        <f>IFERROR((E248)/(F248)-1,"")</f>
        <v/>
      </c>
      <c r="H248" s="70">
        <f>IFERROR((INDEX('M3 · Base mensuelle'!$D$19:$AM$19,MATCH(PY_END,HDR,0)))/1000000,"")</f>
        <v/>
      </c>
      <c r="I248" s="66">
        <f>IFERROR((E248)/(H248)-1,"")</f>
        <v/>
      </c>
      <c r="J248" s="67" t="n"/>
      <c r="K248" s="66">
        <f>IFERROR((E248)/(J248)-1,"")</f>
        <v/>
      </c>
      <c r="L248" s="68">
        <f>IF(O248="","",IF(O248="green",IFERROR(IF(LANG="EN",INDEX(I18N_EN,MATCH("rag.green",I18N_KEY,0)),INDEX(I18N_FR,MATCH("rag.green",I18N_KEY,0))),"rag.green"),IF(O248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248" s="3" t="n"/>
      <c r="N248" s="32" t="n"/>
      <c r="O248" s="69">
        <f>IFERROR(IF(IF(N(J248)&gt;0,J248,H248)=0,"",IF(INDEX(RAG_SENS,MATCH("kpi.lease.erv",RAG_KEY,0))="UP",IF((E248/IF(N(J248)&gt;0,J248,H248))&gt;=INDEX(RAG_SV,MATCH("kpi.lease.erv",RAG_KEY,0)),"green",IF((E248/IF(N(J248)&gt;0,J248,H248))&gt;=INDEX(RAG_SA,MATCH("kpi.lease.erv",RAG_KEY,0)),"amber","red")),IF((E248/IF(N(J248)&gt;0,J248,H248))&lt;=INDEX(RAG_SV,MATCH("kpi.lease.erv",RAG_KEY,0)),"green",IF((E248/IF(N(J248)&gt;0,J248,H248))&lt;=INDEX(RAG_SA,MATCH("kpi.lease.erv",RAG_KEY,0)),"amber","red")))),"")</f>
        <v/>
      </c>
    </row>
    <row r="249">
      <c r="C249" s="63">
        <f>IFERROR(IF(LANG="EN",INDEX(I18N_EN,MATCH("kpi.lease.rent_sqm",I18N_KEY,0)),INDEX(I18N_FR,MATCH("kpi.lease.rent_sqm",I18N_KEY,0))),"kpi.lease.rent_sqm")</f>
        <v/>
      </c>
      <c r="D249" s="64" t="inlineStr">
        <is>
          <t>FCFA/m²</t>
        </is>
      </c>
      <c r="E249" s="85">
        <f>IFERROR((AVERAGEIFS('M3 · Base mensuelle'!$D$24:$AM$24,HDR,"&gt;="&amp;P_START,HDR,"&lt;="&amp;P_END)),"")</f>
        <v/>
      </c>
      <c r="F249" s="85">
        <f>IFERROR((AVERAGEIFS('M3 · Base mensuelle'!$D$24:$AM$24,HDR,"&gt;="&amp;PP_START,HDR,"&lt;="&amp;PP_END)),"")</f>
        <v/>
      </c>
      <c r="G249" s="66">
        <f>IFERROR((E249)/(F249)-1,"")</f>
        <v/>
      </c>
      <c r="H249" s="85">
        <f>IFERROR((AVERAGEIFS('M3 · Base mensuelle'!$D$24:$AM$24,HDR,"&gt;="&amp;PY_START,HDR,"&lt;="&amp;PY_END)),"")</f>
        <v/>
      </c>
      <c r="I249" s="66">
        <f>IFERROR((E249)/(H249)-1,"")</f>
        <v/>
      </c>
      <c r="J249" s="85">
        <f>IFERROR((SUMPRODUCT((BUD_MONTHS&gt;=MONTH(P_START))*(BUD_MONTHS&lt;=MONTH(P_END))*'M1 · Paramètres'!$H$25:$S$25)/SUMPRODUCT((BUD_MONTHS&gt;=MONTH(P_START))*(BUD_MONTHS&lt;=MONTH(P_END))*1)),"")</f>
        <v/>
      </c>
      <c r="K249" s="66">
        <f>IFERROR((E249)/(J249)-1,"")</f>
        <v/>
      </c>
      <c r="L249" s="68">
        <f>IF(O249="","",IF(O249="green",IFERROR(IF(LANG="EN",INDEX(I18N_EN,MATCH("rag.green",I18N_KEY,0)),INDEX(I18N_FR,MATCH("rag.green",I18N_KEY,0))),"rag.green"),IF(O249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249" s="3" t="n"/>
      <c r="N249" s="32" t="n"/>
      <c r="O249" s="69">
        <f>IFERROR(IF(IF(N(J249)&gt;0,J249,H249)=0,"",IF(INDEX(RAG_SENS,MATCH("kpi.lease.rent_sqm",RAG_KEY,0))="UP",IF((E249/IF(N(J249)&gt;0,J249,H249))&gt;=INDEX(RAG_SV,MATCH("kpi.lease.rent_sqm",RAG_KEY,0)),"green",IF((E249/IF(N(J249)&gt;0,J249,H249))&gt;=INDEX(RAG_SA,MATCH("kpi.lease.rent_sqm",RAG_KEY,0)),"amber","red")),IF((E249/IF(N(J249)&gt;0,J249,H249))&lt;=INDEX(RAG_SV,MATCH("kpi.lease.rent_sqm",RAG_KEY,0)),"green",IF((E249/IF(N(J249)&gt;0,J249,H249))&lt;=INDEX(RAG_SA,MATCH("kpi.lease.rent_sqm",RAG_KEY,0)),"amber","red")))),"")</f>
        <v/>
      </c>
    </row>
    <row r="250">
      <c r="C250" s="72">
        <f>"◆ "&amp;IFERROR(IF(LANG="EN",INDEX(I18N_EN,MATCH("msg.highlights",I18N_KEY,0)),INDEX(I18N_FR,MATCH("msg.highlights",I18N_KEY,0))),"msg.highlights")</f>
        <v/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2" t="n"/>
    </row>
    <row r="251">
      <c r="C251" s="73">
        <f>IFERROR("▲ "&amp;INDEX(C245:C249,MATCH(MAX(G245:G249),G245:G249,0))&amp;"   "&amp;TEXT(MAX(G245:G249),"+0.0%;-0.0%"),"")</f>
        <v/>
      </c>
      <c r="D251" s="3" t="n"/>
      <c r="E251" s="3" t="n"/>
      <c r="F251" s="3" t="n"/>
      <c r="G251" s="3" t="n"/>
      <c r="H251" s="3" t="n"/>
      <c r="I251" s="74">
        <f>IFERROR("▼ "&amp;INDEX(C245:C249,MATCH(MIN(G245:G249),G245:G249,0))&amp;"   "&amp;TEXT(MIN(G245:G249),"+0.0%;-0.0%"),"")</f>
        <v/>
      </c>
      <c r="J251" s="3" t="n"/>
      <c r="K251" s="3" t="n"/>
      <c r="L251" s="3" t="n"/>
      <c r="M251" s="3" t="n"/>
      <c r="N251" s="32" t="n"/>
    </row>
    <row r="252">
      <c r="C252" s="53">
        <f>"💬 "&amp;IFERROR(IF(LANG="EN",INDEX(I18N_EN,MATCH("col.comment",I18N_KEY,0)),INDEX(I18N_FR,MATCH("col.comment",I18N_KEY,0))),"col.comment")</f>
        <v/>
      </c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4" t="n"/>
      <c r="O252" s="5" t="n"/>
    </row>
    <row r="253">
      <c r="C253" s="75">
        <f>IF('C2 · Lease'!$D$22&lt;&gt;"",'C2 · Lease'!$D$22,IFERROR(SUBSTITUTE(SUBSTITUTE(IF(G245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lease.occ_gla",I18N_KEY,0)),INDEX(I18N_FR,MATCH("kpi.lease.occ_gla",I18N_KEY,0))),"kpi.lease.occ_gla")),"{delta}",TEXT(ABS(G245),"0.0%")),""))</f>
        <v/>
      </c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7" t="n"/>
    </row>
    <row r="254">
      <c r="C254" s="50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2" t="n"/>
    </row>
    <row r="255">
      <c r="C255" s="58" t="n"/>
      <c r="D255" s="58" t="n"/>
      <c r="E255" s="58" t="n"/>
      <c r="F255" s="58" t="n"/>
      <c r="G255" s="58" t="n"/>
      <c r="H255" s="58" t="n"/>
      <c r="I255" s="58" t="n"/>
      <c r="J255" s="58" t="n"/>
      <c r="K255" s="58" t="n"/>
      <c r="L255" s="58" t="n"/>
      <c r="M255" s="58" t="n"/>
      <c r="N255" s="58" t="n"/>
      <c r="O255" s="59" t="n"/>
    </row>
    <row r="256">
      <c r="C256" s="60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22" t="n"/>
    </row>
    <row r="257"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 ht="19" customHeight="1">
      <c r="C258" s="46">
        <f>"▸  3.3  "&amp;IF(LANG="EN","Targeted Rent Roll (net of service charges)","Rent roll cible (net de charges)")</f>
        <v/>
      </c>
      <c r="D258" s="47" t="n"/>
      <c r="E258" s="47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8" t="n"/>
      <c r="O258" s="1" t="n"/>
    </row>
    <row r="259">
      <c r="C259" s="80" t="inlineStr">
        <is>
          <t>Zone</t>
        </is>
      </c>
      <c r="D259" s="62" t="inlineStr">
        <is>
          <t>GLA (m²)</t>
        </is>
      </c>
      <c r="E259" s="62" t="inlineStr">
        <is>
          <t>Loyer cible / Target rent</t>
        </is>
      </c>
      <c r="F259" s="62" t="inlineStr">
        <is>
          <t>Réalisé / Achieved</t>
        </is>
      </c>
      <c r="G259" s="62" t="inlineStr">
        <is>
          <t>Atteinte / Achievement</t>
        </is>
      </c>
      <c r="H259" s="3" t="n"/>
      <c r="I259" s="3" t="n"/>
      <c r="J259" s="3" t="n"/>
      <c r="K259" s="3" t="n"/>
      <c r="L259" s="3" t="n"/>
      <c r="M259" s="3" t="n"/>
      <c r="N259" s="32" t="n"/>
    </row>
    <row r="260">
      <c r="C260" s="82" t="inlineStr">
        <is>
          <t>RDC / Ground floor</t>
        </is>
      </c>
      <c r="D260" s="83" t="n">
        <v>6500</v>
      </c>
      <c r="E260" s="83" t="n">
        <v>52000000</v>
      </c>
      <c r="F260" s="83" t="n">
        <v>49000000</v>
      </c>
      <c r="G260" s="86" t="n">
        <v>0.9399999999999999</v>
      </c>
      <c r="H260" s="3" t="n"/>
      <c r="I260" s="3" t="n"/>
      <c r="J260" s="3" t="n"/>
      <c r="K260" s="3" t="n"/>
      <c r="L260" s="3" t="n"/>
      <c r="M260" s="3" t="n"/>
      <c r="N260" s="32" t="n"/>
    </row>
    <row r="261">
      <c r="C261" s="82" t="inlineStr">
        <is>
          <t>Niveau 1 / Level 1</t>
        </is>
      </c>
      <c r="D261" s="83" t="n">
        <v>5800</v>
      </c>
      <c r="E261" s="83" t="n">
        <v>41000000</v>
      </c>
      <c r="F261" s="83" t="n">
        <v>38500000</v>
      </c>
      <c r="G261" s="86" t="n">
        <v>0.9399999999999999</v>
      </c>
      <c r="H261" s="3" t="n"/>
      <c r="I261" s="3" t="n"/>
      <c r="J261" s="3" t="n"/>
      <c r="K261" s="3" t="n"/>
      <c r="L261" s="3" t="n"/>
      <c r="M261" s="3" t="n"/>
      <c r="N261" s="32" t="n"/>
    </row>
    <row r="262">
      <c r="C262" s="82" t="inlineStr">
        <is>
          <t>Niveau 2 / Level 2</t>
        </is>
      </c>
      <c r="D262" s="83" t="n">
        <v>4200</v>
      </c>
      <c r="E262" s="83" t="n">
        <v>28000000</v>
      </c>
      <c r="F262" s="83" t="n">
        <v>24000000</v>
      </c>
      <c r="G262" s="86" t="n">
        <v>0.857</v>
      </c>
      <c r="H262" s="3" t="n"/>
      <c r="I262" s="3" t="n"/>
      <c r="J262" s="3" t="n"/>
      <c r="K262" s="3" t="n"/>
      <c r="L262" s="3" t="n"/>
      <c r="M262" s="3" t="n"/>
      <c r="N262" s="32" t="n"/>
    </row>
    <row r="263">
      <c r="C263" s="82" t="inlineStr">
        <is>
          <t>Food court</t>
        </is>
      </c>
      <c r="D263" s="83" t="n">
        <v>1000</v>
      </c>
      <c r="E263" s="83" t="n">
        <v>9000000</v>
      </c>
      <c r="F263" s="83" t="n">
        <v>8800000</v>
      </c>
      <c r="G263" s="86" t="n">
        <v>0.978</v>
      </c>
      <c r="H263" s="3" t="n"/>
      <c r="I263" s="3" t="n"/>
      <c r="J263" s="3" t="n"/>
      <c r="K263" s="3" t="n"/>
      <c r="L263" s="3" t="n"/>
      <c r="M263" s="3" t="n"/>
      <c r="N263" s="32" t="n"/>
    </row>
    <row r="264">
      <c r="C264" s="82" t="inlineStr">
        <is>
          <t>Kiosques / Kiosks</t>
        </is>
      </c>
      <c r="D264" s="83" t="n">
        <v>500</v>
      </c>
      <c r="E264" s="83" t="n">
        <v>4500000</v>
      </c>
      <c r="F264" s="83" t="n">
        <v>3900000</v>
      </c>
      <c r="G264" s="86" t="n">
        <v>0.867</v>
      </c>
      <c r="H264" s="3" t="n"/>
      <c r="I264" s="3" t="n"/>
      <c r="J264" s="3" t="n"/>
      <c r="K264" s="3" t="n"/>
      <c r="L264" s="3" t="n"/>
      <c r="M264" s="3" t="n"/>
      <c r="N264" s="32" t="n"/>
    </row>
    <row r="265">
      <c r="C265" s="50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2" t="n"/>
    </row>
    <row r="266">
      <c r="C266" s="50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2" t="n"/>
    </row>
    <row r="267">
      <c r="C267" s="50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2" t="n"/>
    </row>
    <row r="268">
      <c r="C268" s="50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2" t="n"/>
    </row>
    <row r="269">
      <c r="C269" s="50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2" t="n"/>
    </row>
    <row r="270">
      <c r="C270" s="50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2" t="n"/>
    </row>
    <row r="271">
      <c r="C271" s="50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2" t="n"/>
    </row>
    <row r="272">
      <c r="C272" s="50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2" t="n"/>
    </row>
    <row r="273">
      <c r="C273" s="53">
        <f>"💬 "&amp;IFERROR(IF(LANG="EN",INDEX(I18N_EN,MATCH("col.comment",I18N_KEY,0)),INDEX(I18N_FR,MATCH("col.comment",I18N_KEY,0))),"col.comment")</f>
        <v/>
      </c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4" t="n"/>
      <c r="O273" s="5" t="n"/>
    </row>
    <row r="274">
      <c r="C274" s="55">
        <f>IF(LANG="EN","Commentary / data source: management systems (demo).","Commentaire / source : systèmes de gestion (démo).")</f>
        <v/>
      </c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7" t="n"/>
    </row>
    <row r="275">
      <c r="C275" s="50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2" t="n"/>
    </row>
    <row r="276">
      <c r="C276" s="58" t="n"/>
      <c r="D276" s="58" t="n"/>
      <c r="E276" s="58" t="n"/>
      <c r="F276" s="58" t="n"/>
      <c r="G276" s="58" t="n"/>
      <c r="H276" s="58" t="n"/>
      <c r="I276" s="58" t="n"/>
      <c r="J276" s="58" t="n"/>
      <c r="K276" s="58" t="n"/>
      <c r="L276" s="58" t="n"/>
      <c r="M276" s="58" t="n"/>
      <c r="N276" s="58" t="n"/>
      <c r="O276" s="59" t="n"/>
    </row>
    <row r="277">
      <c r="C277" s="60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22" t="n"/>
    </row>
    <row r="278"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 ht="19" customHeight="1">
      <c r="C279" s="46">
        <f>"▸  3.4  "&amp;IF(LANG="EN","Top 10 Tenant Breakdown","Top 10 locataires")</f>
        <v/>
      </c>
      <c r="D279" s="47" t="n"/>
      <c r="E279" s="47" t="n"/>
      <c r="F279" s="47" t="n"/>
      <c r="G279" s="47" t="n"/>
      <c r="H279" s="47" t="n"/>
      <c r="I279" s="47" t="n"/>
      <c r="J279" s="47" t="n"/>
      <c r="K279" s="47" t="n"/>
      <c r="L279" s="47" t="n"/>
      <c r="M279" s="47" t="n"/>
      <c r="N279" s="48" t="n"/>
      <c r="O279" s="1" t="n"/>
    </row>
    <row r="280">
      <c r="C280" s="80" t="inlineStr">
        <is>
          <t>Locataire / Tenant</t>
        </is>
      </c>
      <c r="D280" s="81" t="inlineStr">
        <is>
          <t>Secteur / Sector</t>
        </is>
      </c>
      <c r="E280" s="62" t="inlineStr">
        <is>
          <t>GLA (m²)</t>
        </is>
      </c>
      <c r="F280" s="62" t="inlineStr">
        <is>
          <t>Loyer mensuel / Monthly rent</t>
        </is>
      </c>
      <c r="G280" s="62" t="inlineStr">
        <is>
          <t>% Rent roll</t>
        </is>
      </c>
      <c r="H280" s="3" t="n"/>
      <c r="I280" s="3" t="n"/>
      <c r="J280" s="3" t="n"/>
      <c r="K280" s="3" t="n"/>
      <c r="L280" s="3" t="n"/>
      <c r="M280" s="3" t="n"/>
      <c r="N280" s="32" t="n"/>
    </row>
    <row r="281">
      <c r="C281" s="82" t="inlineStr">
        <is>
          <t>Carrefour</t>
        </is>
      </c>
      <c r="D281" s="84" t="inlineStr">
        <is>
          <t>Alimentaire / Grocery</t>
        </is>
      </c>
      <c r="E281" s="83" t="n">
        <v>4200</v>
      </c>
      <c r="F281" s="83" t="n">
        <v>38000000</v>
      </c>
      <c r="G281" s="86" t="n">
        <v>0.28</v>
      </c>
      <c r="H281" s="3" t="n"/>
      <c r="I281" s="3" t="n"/>
      <c r="J281" s="3" t="n"/>
      <c r="K281" s="3" t="n"/>
      <c r="L281" s="3" t="n"/>
      <c r="M281" s="3" t="n"/>
      <c r="N281" s="32" t="n"/>
    </row>
    <row r="282">
      <c r="C282" s="82" t="inlineStr">
        <is>
          <t>Cinéma Pathé</t>
        </is>
      </c>
      <c r="D282" s="84" t="inlineStr">
        <is>
          <t>Loisirs / Leisure</t>
        </is>
      </c>
      <c r="E282" s="83" t="n">
        <v>2100</v>
      </c>
      <c r="F282" s="83" t="n">
        <v>16000000</v>
      </c>
      <c r="G282" s="86" t="n">
        <v>0.12</v>
      </c>
      <c r="H282" s="3" t="n"/>
      <c r="I282" s="3" t="n"/>
      <c r="J282" s="3" t="n"/>
      <c r="K282" s="3" t="n"/>
      <c r="L282" s="3" t="n"/>
      <c r="M282" s="3" t="n"/>
      <c r="N282" s="32" t="n"/>
    </row>
    <row r="283">
      <c r="C283" s="82" t="inlineStr">
        <is>
          <t>Zara</t>
        </is>
      </c>
      <c r="D283" s="84" t="inlineStr">
        <is>
          <t>Mode / Fashion</t>
        </is>
      </c>
      <c r="E283" s="83" t="n">
        <v>780</v>
      </c>
      <c r="F283" s="83" t="n">
        <v>11200000</v>
      </c>
      <c r="G283" s="86" t="n">
        <v>0.083</v>
      </c>
      <c r="H283" s="3" t="n"/>
      <c r="I283" s="3" t="n"/>
      <c r="J283" s="3" t="n"/>
      <c r="K283" s="3" t="n"/>
      <c r="L283" s="3" t="n"/>
      <c r="M283" s="3" t="n"/>
      <c r="N283" s="32" t="n"/>
    </row>
    <row r="284">
      <c r="C284" s="82" t="inlineStr">
        <is>
          <t>Nike</t>
        </is>
      </c>
      <c r="D284" s="84" t="inlineStr">
        <is>
          <t>Mode / Fashion</t>
        </is>
      </c>
      <c r="E284" s="83" t="n">
        <v>460</v>
      </c>
      <c r="F284" s="83" t="n">
        <v>8700000</v>
      </c>
      <c r="G284" s="86" t="n">
        <v>0.064</v>
      </c>
      <c r="H284" s="3" t="n"/>
      <c r="I284" s="3" t="n"/>
      <c r="J284" s="3" t="n"/>
      <c r="K284" s="3" t="n"/>
      <c r="L284" s="3" t="n"/>
      <c r="M284" s="3" t="n"/>
      <c r="N284" s="32" t="n"/>
    </row>
    <row r="285">
      <c r="C285" s="82" t="inlineStr">
        <is>
          <t>KFC</t>
        </is>
      </c>
      <c r="D285" s="84" t="inlineStr">
        <is>
          <t>Restauration / F&amp;B</t>
        </is>
      </c>
      <c r="E285" s="83" t="n">
        <v>320</v>
      </c>
      <c r="F285" s="83" t="n">
        <v>7800000</v>
      </c>
      <c r="G285" s="86" t="n">
        <v>0.058</v>
      </c>
      <c r="H285" s="3" t="n"/>
      <c r="I285" s="3" t="n"/>
      <c r="J285" s="3" t="n"/>
      <c r="K285" s="3" t="n"/>
      <c r="L285" s="3" t="n"/>
      <c r="M285" s="3" t="n"/>
      <c r="N285" s="32" t="n"/>
    </row>
    <row r="286">
      <c r="C286" s="82" t="inlineStr">
        <is>
          <t>Game</t>
        </is>
      </c>
      <c r="D286" s="84" t="inlineStr">
        <is>
          <t>Électronique / Electronics</t>
        </is>
      </c>
      <c r="E286" s="83" t="n">
        <v>640</v>
      </c>
      <c r="F286" s="83" t="n">
        <v>7300000</v>
      </c>
      <c r="G286" s="86" t="n">
        <v>0.054</v>
      </c>
      <c r="H286" s="3" t="n"/>
      <c r="I286" s="3" t="n"/>
      <c r="J286" s="3" t="n"/>
      <c r="K286" s="3" t="n"/>
      <c r="L286" s="3" t="n"/>
      <c r="M286" s="3" t="n"/>
      <c r="N286" s="32" t="n"/>
    </row>
    <row r="287">
      <c r="C287" s="82" t="inlineStr">
        <is>
          <t>Orange</t>
        </is>
      </c>
      <c r="D287" s="84" t="inlineStr">
        <is>
          <t>Télécom</t>
        </is>
      </c>
      <c r="E287" s="83" t="n">
        <v>180</v>
      </c>
      <c r="F287" s="83" t="n">
        <v>6200000</v>
      </c>
      <c r="G287" s="86" t="n">
        <v>0.046</v>
      </c>
      <c r="H287" s="3" t="n"/>
      <c r="I287" s="3" t="n"/>
      <c r="J287" s="3" t="n"/>
      <c r="K287" s="3" t="n"/>
      <c r="L287" s="3" t="n"/>
      <c r="M287" s="3" t="n"/>
      <c r="N287" s="32" t="n"/>
    </row>
    <row r="288">
      <c r="C288" s="82" t="inlineStr">
        <is>
          <t>Adidas</t>
        </is>
      </c>
      <c r="D288" s="84" t="inlineStr">
        <is>
          <t>Mode / Fashion</t>
        </is>
      </c>
      <c r="E288" s="83" t="n">
        <v>520</v>
      </c>
      <c r="F288" s="83" t="n">
        <v>9500000</v>
      </c>
      <c r="G288" s="86" t="n">
        <v>0.07000000000000001</v>
      </c>
      <c r="H288" s="3" t="n"/>
      <c r="I288" s="3" t="n"/>
      <c r="J288" s="3" t="n"/>
      <c r="K288" s="3" t="n"/>
      <c r="L288" s="3" t="n"/>
      <c r="M288" s="3" t="n"/>
      <c r="N288" s="32" t="n"/>
    </row>
    <row r="289">
      <c r="C289" s="82" t="inlineStr">
        <is>
          <t>Pharmacie Plaza</t>
        </is>
      </c>
      <c r="D289" s="84" t="inlineStr">
        <is>
          <t>Santé / Health</t>
        </is>
      </c>
      <c r="E289" s="83" t="n">
        <v>160</v>
      </c>
      <c r="F289" s="83" t="n">
        <v>3100000</v>
      </c>
      <c r="G289" s="86" t="n">
        <v>0.023</v>
      </c>
      <c r="H289" s="3" t="n"/>
      <c r="I289" s="3" t="n"/>
      <c r="J289" s="3" t="n"/>
      <c r="K289" s="3" t="n"/>
      <c r="L289" s="3" t="n"/>
      <c r="M289" s="3" t="n"/>
      <c r="N289" s="32" t="n"/>
    </row>
    <row r="290">
      <c r="C290" s="82" t="inlineStr">
        <is>
          <t>Jumia Pay</t>
        </is>
      </c>
      <c r="D290" s="84" t="inlineStr">
        <is>
          <t>Services</t>
        </is>
      </c>
      <c r="E290" s="83" t="n">
        <v>90</v>
      </c>
      <c r="F290" s="83" t="n">
        <v>2400000</v>
      </c>
      <c r="G290" s="86" t="n">
        <v>0.018</v>
      </c>
      <c r="H290" s="3" t="n"/>
      <c r="I290" s="3" t="n"/>
      <c r="J290" s="3" t="n"/>
      <c r="K290" s="3" t="n"/>
      <c r="L290" s="3" t="n"/>
      <c r="M290" s="3" t="n"/>
      <c r="N290" s="32" t="n"/>
    </row>
    <row r="291">
      <c r="C291" s="50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2" t="n"/>
    </row>
    <row r="292">
      <c r="C292" s="50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2" t="n"/>
    </row>
    <row r="293">
      <c r="C293" s="50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2" t="n"/>
    </row>
    <row r="294">
      <c r="C294" s="50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2" t="n"/>
    </row>
    <row r="295">
      <c r="C295" s="50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2" t="n"/>
    </row>
    <row r="296">
      <c r="C296" s="50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2" t="n"/>
    </row>
    <row r="297">
      <c r="C297" s="50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2" t="n"/>
    </row>
    <row r="298">
      <c r="C298" s="50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2" t="n"/>
    </row>
    <row r="299">
      <c r="C299" s="50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2" t="n"/>
    </row>
    <row r="300">
      <c r="C300" s="50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2" t="n"/>
    </row>
    <row r="301">
      <c r="C301" s="50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2" t="n"/>
    </row>
    <row r="302">
      <c r="C302" s="50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2" t="n"/>
    </row>
    <row r="303">
      <c r="C303" s="53">
        <f>"💬 "&amp;IFERROR(IF(LANG="EN",INDEX(I18N_EN,MATCH("col.comment",I18N_KEY,0)),INDEX(I18N_FR,MATCH("col.comment",I18N_KEY,0))),"col.comment")</f>
        <v/>
      </c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4" t="n"/>
      <c r="O303" s="5" t="n"/>
    </row>
    <row r="304">
      <c r="C304" s="55">
        <f>IF(LANG="EN","Commentary / data source: management systems (demo).","Commentaire / source : systèmes de gestion (démo).")</f>
        <v/>
      </c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7" t="n"/>
    </row>
    <row r="305">
      <c r="C305" s="50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2" t="n"/>
    </row>
    <row r="306">
      <c r="C306" s="58" t="n"/>
      <c r="D306" s="58" t="n"/>
      <c r="E306" s="58" t="n"/>
      <c r="F306" s="58" t="n"/>
      <c r="G306" s="58" t="n"/>
      <c r="H306" s="58" t="n"/>
      <c r="I306" s="58" t="n"/>
      <c r="J306" s="58" t="n"/>
      <c r="K306" s="58" t="n"/>
      <c r="L306" s="58" t="n"/>
      <c r="M306" s="58" t="n"/>
      <c r="N306" s="58" t="n"/>
      <c r="O306" s="59" t="n"/>
    </row>
    <row r="307">
      <c r="C307" s="60" t="n"/>
      <c r="D307" s="3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22" t="n"/>
    </row>
    <row r="308"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 ht="19" customHeight="1">
      <c r="C309" s="46">
        <f>"▸  3.5  "&amp;IF(LANG="EN","Prospective Tenants","Locataires prospects")</f>
        <v/>
      </c>
      <c r="D309" s="47" t="n"/>
      <c r="E309" s="47" t="n"/>
      <c r="F309" s="47" t="n"/>
      <c r="G309" s="47" t="n"/>
      <c r="H309" s="47" t="n"/>
      <c r="I309" s="47" t="n"/>
      <c r="J309" s="47" t="n"/>
      <c r="K309" s="47" t="n"/>
      <c r="L309" s="47" t="n"/>
      <c r="M309" s="47" t="n"/>
      <c r="N309" s="48" t="n"/>
      <c r="O309" s="1" t="n"/>
    </row>
    <row r="310">
      <c r="C310" s="80" t="inlineStr">
        <is>
          <t>Prospect</t>
        </is>
      </c>
      <c r="D310" s="81" t="inlineStr">
        <is>
          <t>Secteur / Sector</t>
        </is>
      </c>
      <c r="E310" s="62" t="inlineStr">
        <is>
          <t>GLA (m²)</t>
        </is>
      </c>
      <c r="F310" s="62" t="inlineStr">
        <is>
          <t>Valeur locative / Rental value</t>
        </is>
      </c>
      <c r="G310" s="81" t="inlineStr">
        <is>
          <t>Étape / Stage</t>
        </is>
      </c>
      <c r="H310" s="62" t="inlineStr">
        <is>
          <t>Proba</t>
        </is>
      </c>
      <c r="I310" s="3" t="n"/>
      <c r="J310" s="3" t="n"/>
      <c r="K310" s="3" t="n"/>
      <c r="L310" s="3" t="n"/>
      <c r="M310" s="3" t="n"/>
      <c r="N310" s="32" t="n"/>
    </row>
    <row r="311">
      <c r="C311" s="82" t="inlineStr">
        <is>
          <t>H&amp;M</t>
        </is>
      </c>
      <c r="D311" s="84" t="inlineStr">
        <is>
          <t>Mode / Fashion</t>
        </is>
      </c>
      <c r="E311" s="83" t="n">
        <v>900</v>
      </c>
      <c r="F311" s="83" t="n">
        <v>12500000</v>
      </c>
      <c r="G311" s="84" t="inlineStr">
        <is>
          <t>Négociation / Negotiation</t>
        </is>
      </c>
      <c r="H311" s="86" t="n">
        <v>0.6</v>
      </c>
      <c r="I311" s="3" t="n"/>
      <c r="J311" s="3" t="n"/>
      <c r="K311" s="3" t="n"/>
      <c r="L311" s="3" t="n"/>
      <c r="M311" s="3" t="n"/>
      <c r="N311" s="32" t="n"/>
    </row>
    <row r="312">
      <c r="C312" s="82" t="inlineStr">
        <is>
          <t>Burger King</t>
        </is>
      </c>
      <c r="D312" s="84" t="inlineStr">
        <is>
          <t>F&amp;B</t>
        </is>
      </c>
      <c r="E312" s="83" t="n">
        <v>300</v>
      </c>
      <c r="F312" s="83" t="n">
        <v>7200000</v>
      </c>
      <c r="G312" s="84" t="inlineStr">
        <is>
          <t>STP / Subject-to</t>
        </is>
      </c>
      <c r="H312" s="86" t="n">
        <v>0.75</v>
      </c>
      <c r="I312" s="3" t="n"/>
      <c r="J312" s="3" t="n"/>
      <c r="K312" s="3" t="n"/>
      <c r="L312" s="3" t="n"/>
      <c r="M312" s="3" t="n"/>
      <c r="N312" s="32" t="n"/>
    </row>
    <row r="313">
      <c r="C313" s="82" t="inlineStr">
        <is>
          <t>Decathlon</t>
        </is>
      </c>
      <c r="D313" s="84" t="inlineStr">
        <is>
          <t>Sport</t>
        </is>
      </c>
      <c r="E313" s="83" t="n">
        <v>1500</v>
      </c>
      <c r="F313" s="83" t="n">
        <v>15000000</v>
      </c>
      <c r="G313" s="84" t="inlineStr">
        <is>
          <t>LOI</t>
        </is>
      </c>
      <c r="H313" s="86" t="n">
        <v>0.4</v>
      </c>
      <c r="I313" s="3" t="n"/>
      <c r="J313" s="3" t="n"/>
      <c r="K313" s="3" t="n"/>
      <c r="L313" s="3" t="n"/>
      <c r="M313" s="3" t="n"/>
      <c r="N313" s="32" t="n"/>
    </row>
    <row r="314">
      <c r="C314" s="82" t="inlineStr">
        <is>
          <t>Yves Rocher</t>
        </is>
      </c>
      <c r="D314" s="84" t="inlineStr">
        <is>
          <t>Beauté / Beauty</t>
        </is>
      </c>
      <c r="E314" s="83" t="n">
        <v>120</v>
      </c>
      <c r="F314" s="83" t="n">
        <v>2600000</v>
      </c>
      <c r="G314" s="84" t="inlineStr">
        <is>
          <t>STP / Subject-to</t>
        </is>
      </c>
      <c r="H314" s="86" t="n">
        <v>0.8</v>
      </c>
      <c r="I314" s="3" t="n"/>
      <c r="J314" s="3" t="n"/>
      <c r="K314" s="3" t="n"/>
      <c r="L314" s="3" t="n"/>
      <c r="M314" s="3" t="n"/>
      <c r="N314" s="32" t="n"/>
    </row>
    <row r="315">
      <c r="C315" s="82" t="inlineStr">
        <is>
          <t>Apple Premium</t>
        </is>
      </c>
      <c r="D315" s="84" t="inlineStr">
        <is>
          <t>Électronique</t>
        </is>
      </c>
      <c r="E315" s="83" t="n">
        <v>250</v>
      </c>
      <c r="F315" s="83" t="n">
        <v>9000000</v>
      </c>
      <c r="G315" s="84" t="inlineStr">
        <is>
          <t>Prospection / Prospecting</t>
        </is>
      </c>
      <c r="H315" s="86" t="n">
        <v>0.3</v>
      </c>
      <c r="I315" s="3" t="n"/>
      <c r="J315" s="3" t="n"/>
      <c r="K315" s="3" t="n"/>
      <c r="L315" s="3" t="n"/>
      <c r="M315" s="3" t="n"/>
      <c r="N315" s="32" t="n"/>
    </row>
    <row r="316">
      <c r="C316" s="50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2" t="n"/>
    </row>
    <row r="317">
      <c r="C317" s="50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2" t="n"/>
    </row>
    <row r="318">
      <c r="C318" s="50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2" t="n"/>
    </row>
    <row r="319">
      <c r="C319" s="50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2" t="n"/>
    </row>
    <row r="320">
      <c r="C320" s="50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2" t="n"/>
    </row>
    <row r="321">
      <c r="C321" s="50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2" t="n"/>
    </row>
    <row r="322">
      <c r="C322" s="50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2" t="n"/>
    </row>
    <row r="323">
      <c r="C323" s="50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2" t="n"/>
    </row>
    <row r="324">
      <c r="C324" s="53">
        <f>"💬 "&amp;IFERROR(IF(LANG="EN",INDEX(I18N_EN,MATCH("col.comment",I18N_KEY,0)),INDEX(I18N_FR,MATCH("col.comment",I18N_KEY,0))),"col.comment")</f>
        <v/>
      </c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4" t="n"/>
      <c r="O324" s="5" t="n"/>
    </row>
    <row r="325">
      <c r="C325" s="55">
        <f>IF(LANG="EN","Commentary / data source: management systems (demo).","Commentaire / source : systèmes de gestion (démo).")</f>
        <v/>
      </c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7" t="n"/>
    </row>
    <row r="326">
      <c r="C326" s="50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2" t="n"/>
    </row>
    <row r="327">
      <c r="C327" s="58" t="n"/>
      <c r="D327" s="58" t="n"/>
      <c r="E327" s="58" t="n"/>
      <c r="F327" s="58" t="n"/>
      <c r="G327" s="58" t="n"/>
      <c r="H327" s="58" t="n"/>
      <c r="I327" s="58" t="n"/>
      <c r="J327" s="58" t="n"/>
      <c r="K327" s="58" t="n"/>
      <c r="L327" s="58" t="n"/>
      <c r="M327" s="58" t="n"/>
      <c r="N327" s="58" t="n"/>
      <c r="O327" s="59" t="n"/>
    </row>
    <row r="328">
      <c r="C328" s="60" t="n"/>
      <c r="D328" s="3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22" t="n"/>
    </row>
    <row r="329"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 ht="19" customHeight="1">
      <c r="C330" s="46">
        <f>"▸  3.6  "&amp;IF(LANG="EN","Weighted Average Lease Expiry","Durée résiduelle moyenne (WALE)")</f>
        <v/>
      </c>
      <c r="D330" s="47" t="n"/>
      <c r="E330" s="47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8" t="n"/>
      <c r="O330" s="1" t="n"/>
    </row>
    <row r="331">
      <c r="C331" s="80" t="inlineStr">
        <is>
          <t>Année / Year</t>
        </is>
      </c>
      <c r="D331" s="62" t="inlineStr">
        <is>
          <t>Baux / Leases</t>
        </is>
      </c>
      <c r="E331" s="62" t="inlineStr">
        <is>
          <t>GLA (m²)</t>
        </is>
      </c>
      <c r="F331" s="62" t="inlineStr">
        <is>
          <t>Loyer / Rent</t>
        </is>
      </c>
      <c r="G331" s="62" t="inlineStr">
        <is>
          <t>% du total / of total</t>
        </is>
      </c>
      <c r="H331" s="3" t="n"/>
      <c r="I331" s="3" t="n"/>
      <c r="J331" s="3" t="n"/>
      <c r="K331" s="3" t="n"/>
      <c r="L331" s="3" t="n"/>
      <c r="M331" s="3" t="n"/>
      <c r="N331" s="32" t="n"/>
    </row>
    <row r="332">
      <c r="C332" s="82" t="inlineStr">
        <is>
          <t>2026</t>
        </is>
      </c>
      <c r="D332" s="83" t="n">
        <v>18</v>
      </c>
      <c r="E332" s="83" t="n">
        <v>3200</v>
      </c>
      <c r="F332" s="83" t="n">
        <v>42000000</v>
      </c>
      <c r="G332" s="86" t="n">
        <v>0.21</v>
      </c>
      <c r="H332" s="3" t="n"/>
      <c r="I332" s="3" t="n"/>
      <c r="J332" s="3" t="n"/>
      <c r="K332" s="3" t="n"/>
      <c r="L332" s="3" t="n"/>
      <c r="M332" s="3" t="n"/>
      <c r="N332" s="32" t="n"/>
    </row>
    <row r="333">
      <c r="C333" s="82" t="inlineStr">
        <is>
          <t>2027</t>
        </is>
      </c>
      <c r="D333" s="83" t="n">
        <v>22</v>
      </c>
      <c r="E333" s="83" t="n">
        <v>4100</v>
      </c>
      <c r="F333" s="83" t="n">
        <v>55000000</v>
      </c>
      <c r="G333" s="86" t="n">
        <v>0.27</v>
      </c>
      <c r="H333" s="3" t="n"/>
      <c r="I333" s="3" t="n"/>
      <c r="J333" s="3" t="n"/>
      <c r="K333" s="3" t="n"/>
      <c r="L333" s="3" t="n"/>
      <c r="M333" s="3" t="n"/>
      <c r="N333" s="32" t="n"/>
    </row>
    <row r="334">
      <c r="C334" s="82" t="inlineStr">
        <is>
          <t>2028</t>
        </is>
      </c>
      <c r="D334" s="83" t="n">
        <v>15</v>
      </c>
      <c r="E334" s="83" t="n">
        <v>2800</v>
      </c>
      <c r="F334" s="83" t="n">
        <v>33000000</v>
      </c>
      <c r="G334" s="86" t="n">
        <v>0.16</v>
      </c>
      <c r="H334" s="3" t="n"/>
      <c r="I334" s="3" t="n"/>
      <c r="J334" s="3" t="n"/>
      <c r="K334" s="3" t="n"/>
      <c r="L334" s="3" t="n"/>
      <c r="M334" s="3" t="n"/>
      <c r="N334" s="32" t="n"/>
    </row>
    <row r="335">
      <c r="C335" s="82" t="inlineStr">
        <is>
          <t>2029</t>
        </is>
      </c>
      <c r="D335" s="83" t="n">
        <v>20</v>
      </c>
      <c r="E335" s="83" t="n">
        <v>3900</v>
      </c>
      <c r="F335" s="83" t="n">
        <v>41000000</v>
      </c>
      <c r="G335" s="86" t="n">
        <v>0.2</v>
      </c>
      <c r="H335" s="3" t="n"/>
      <c r="I335" s="3" t="n"/>
      <c r="J335" s="3" t="n"/>
      <c r="K335" s="3" t="n"/>
      <c r="L335" s="3" t="n"/>
      <c r="M335" s="3" t="n"/>
      <c r="N335" s="32" t="n"/>
    </row>
    <row r="336">
      <c r="C336" s="82" t="inlineStr">
        <is>
          <t>2030+</t>
        </is>
      </c>
      <c r="D336" s="83" t="n">
        <v>21</v>
      </c>
      <c r="E336" s="83" t="n">
        <v>3000</v>
      </c>
      <c r="F336" s="83" t="n">
        <v>32000000</v>
      </c>
      <c r="G336" s="86" t="n">
        <v>0.16</v>
      </c>
      <c r="H336" s="3" t="n"/>
      <c r="I336" s="3" t="n"/>
      <c r="J336" s="3" t="n"/>
      <c r="K336" s="3" t="n"/>
      <c r="L336" s="3" t="n"/>
      <c r="M336" s="3" t="n"/>
      <c r="N336" s="32" t="n"/>
    </row>
    <row r="337">
      <c r="C337" s="50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2" t="n"/>
    </row>
    <row r="338">
      <c r="C338" s="50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2" t="n"/>
    </row>
    <row r="339">
      <c r="C339" s="50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2" t="n"/>
    </row>
    <row r="340">
      <c r="C340" s="50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2" t="n"/>
    </row>
    <row r="341">
      <c r="C341" s="50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2" t="n"/>
    </row>
    <row r="342">
      <c r="C342" s="50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2" t="n"/>
    </row>
    <row r="343">
      <c r="C343" s="50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2" t="n"/>
    </row>
    <row r="344">
      <c r="C344" s="50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2" t="n"/>
    </row>
    <row r="345">
      <c r="C345" s="53">
        <f>"💬 "&amp;IFERROR(IF(LANG="EN",INDEX(I18N_EN,MATCH("col.comment",I18N_KEY,0)),INDEX(I18N_FR,MATCH("col.comment",I18N_KEY,0))),"col.comment")</f>
        <v/>
      </c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4" t="n"/>
      <c r="O345" s="5" t="n"/>
    </row>
    <row r="346">
      <c r="C346" s="55">
        <f>IF(LANG="EN","Commentary / data source: management systems (demo).","Commentaire / source : systèmes de gestion (démo).")</f>
        <v/>
      </c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7" t="n"/>
    </row>
    <row r="347">
      <c r="C347" s="50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2" t="n"/>
    </row>
    <row r="348">
      <c r="C348" s="58" t="n"/>
      <c r="D348" s="58" t="n"/>
      <c r="E348" s="58" t="n"/>
      <c r="F348" s="58" t="n"/>
      <c r="G348" s="58" t="n"/>
      <c r="H348" s="58" t="n"/>
      <c r="I348" s="58" t="n"/>
      <c r="J348" s="58" t="n"/>
      <c r="K348" s="58" t="n"/>
      <c r="L348" s="58" t="n"/>
      <c r="M348" s="58" t="n"/>
      <c r="N348" s="58" t="n"/>
      <c r="O348" s="59" t="n"/>
    </row>
    <row r="349">
      <c r="C349" s="60" t="n"/>
      <c r="D349" s="3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22" t="n"/>
    </row>
    <row r="350"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 ht="19" customHeight="1">
      <c r="C351" s="46">
        <f>"▸  3.7  "&amp;IF(LANG="EN","Lease Renewal / Disposal Cases","Renouvellements / sorties")</f>
        <v/>
      </c>
      <c r="D351" s="47" t="n"/>
      <c r="E351" s="47" t="n"/>
      <c r="F351" s="47" t="n"/>
      <c r="G351" s="47" t="n"/>
      <c r="H351" s="47" t="n"/>
      <c r="I351" s="47" t="n"/>
      <c r="J351" s="47" t="n"/>
      <c r="K351" s="47" t="n"/>
      <c r="L351" s="47" t="n"/>
      <c r="M351" s="47" t="n"/>
      <c r="N351" s="48" t="n"/>
      <c r="O351" s="1" t="n"/>
    </row>
    <row r="352">
      <c r="C352" s="80" t="inlineStr">
        <is>
          <t>Réf / Ref</t>
        </is>
      </c>
      <c r="D352" s="81" t="inlineStr">
        <is>
          <t>Locataire / Tenant</t>
        </is>
      </c>
      <c r="E352" s="81" t="inlineStr">
        <is>
          <t>Type</t>
        </is>
      </c>
      <c r="F352" s="62" t="inlineStr">
        <is>
          <t>GLA (m²)</t>
        </is>
      </c>
      <c r="G352" s="62" t="inlineStr">
        <is>
          <t>Loyer / Rent</t>
        </is>
      </c>
      <c r="H352" s="81" t="inlineStr">
        <is>
          <t>Statut / Status</t>
        </is>
      </c>
      <c r="I352" s="3" t="n"/>
      <c r="J352" s="3" t="n"/>
      <c r="K352" s="3" t="n"/>
      <c r="L352" s="3" t="n"/>
      <c r="M352" s="3" t="n"/>
      <c r="N352" s="32" t="n"/>
    </row>
    <row r="353">
      <c r="C353" s="82" t="inlineStr">
        <is>
          <t>RN-001</t>
        </is>
      </c>
      <c r="D353" s="84" t="inlineStr">
        <is>
          <t>KFC</t>
        </is>
      </c>
      <c r="E353" s="84" t="inlineStr">
        <is>
          <t>Renewal</t>
        </is>
      </c>
      <c r="F353" s="83" t="n">
        <v>320</v>
      </c>
      <c r="G353" s="83" t="n">
        <v>7800000</v>
      </c>
      <c r="H353" s="84" t="inlineStr">
        <is>
          <t>Signé / Signed</t>
        </is>
      </c>
      <c r="I353" s="3" t="n"/>
      <c r="J353" s="3" t="n"/>
      <c r="K353" s="3" t="n"/>
      <c r="L353" s="3" t="n"/>
      <c r="M353" s="3" t="n"/>
      <c r="N353" s="32" t="n"/>
    </row>
    <row r="354">
      <c r="C354" s="82" t="inlineStr">
        <is>
          <t>RN-002</t>
        </is>
      </c>
      <c r="D354" s="84" t="inlineStr">
        <is>
          <t>Orange</t>
        </is>
      </c>
      <c r="E354" s="84" t="inlineStr">
        <is>
          <t>Renewal</t>
        </is>
      </c>
      <c r="F354" s="83" t="n">
        <v>180</v>
      </c>
      <c r="G354" s="83" t="n">
        <v>6200000</v>
      </c>
      <c r="H354" s="84" t="inlineStr">
        <is>
          <t>En cours / Ongoing</t>
        </is>
      </c>
      <c r="I354" s="3" t="n"/>
      <c r="J354" s="3" t="n"/>
      <c r="K354" s="3" t="n"/>
      <c r="L354" s="3" t="n"/>
      <c r="M354" s="3" t="n"/>
      <c r="N354" s="32" t="n"/>
    </row>
    <row r="355">
      <c r="C355" s="82" t="inlineStr">
        <is>
          <t>DS-001</t>
        </is>
      </c>
      <c r="D355" s="84" t="inlineStr">
        <is>
          <t>Mango</t>
        </is>
      </c>
      <c r="E355" s="84" t="inlineStr">
        <is>
          <t>Disposal</t>
        </is>
      </c>
      <c r="F355" s="83" t="n">
        <v>420</v>
      </c>
      <c r="G355" s="83" t="n">
        <v>0</v>
      </c>
      <c r="H355" s="84" t="inlineStr">
        <is>
          <t>Sortie / Exit</t>
        </is>
      </c>
      <c r="I355" s="3" t="n"/>
      <c r="J355" s="3" t="n"/>
      <c r="K355" s="3" t="n"/>
      <c r="L355" s="3" t="n"/>
      <c r="M355" s="3" t="n"/>
      <c r="N355" s="32" t="n"/>
    </row>
    <row r="356">
      <c r="C356" s="82" t="inlineStr">
        <is>
          <t>RN-003</t>
        </is>
      </c>
      <c r="D356" s="84" t="inlineStr">
        <is>
          <t>Game</t>
        </is>
      </c>
      <c r="E356" s="84" t="inlineStr">
        <is>
          <t>Renewal</t>
        </is>
      </c>
      <c r="F356" s="83" t="n">
        <v>640</v>
      </c>
      <c r="G356" s="83" t="n">
        <v>7300000</v>
      </c>
      <c r="H356" s="84" t="inlineStr">
        <is>
          <t>Signé / Signed</t>
        </is>
      </c>
      <c r="I356" s="3" t="n"/>
      <c r="J356" s="3" t="n"/>
      <c r="K356" s="3" t="n"/>
      <c r="L356" s="3" t="n"/>
      <c r="M356" s="3" t="n"/>
      <c r="N356" s="32" t="n"/>
    </row>
    <row r="357">
      <c r="C357" s="82" t="inlineStr">
        <is>
          <t>DS-002</t>
        </is>
      </c>
      <c r="D357" s="84" t="inlineStr">
        <is>
          <t>Celio</t>
        </is>
      </c>
      <c r="E357" s="84" t="inlineStr">
        <is>
          <t>Disposal</t>
        </is>
      </c>
      <c r="F357" s="83" t="n">
        <v>260</v>
      </c>
      <c r="G357" s="83" t="n">
        <v>0</v>
      </c>
      <c r="H357" s="84" t="inlineStr">
        <is>
          <t>Préavis / Notice</t>
        </is>
      </c>
      <c r="I357" s="3" t="n"/>
      <c r="J357" s="3" t="n"/>
      <c r="K357" s="3" t="n"/>
      <c r="L357" s="3" t="n"/>
      <c r="M357" s="3" t="n"/>
      <c r="N357" s="32" t="n"/>
    </row>
    <row r="358">
      <c r="C358" s="50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2" t="n"/>
    </row>
    <row r="359">
      <c r="C359" s="50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2" t="n"/>
    </row>
    <row r="360">
      <c r="C360" s="50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2" t="n"/>
    </row>
    <row r="361">
      <c r="C361" s="50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2" t="n"/>
    </row>
    <row r="362">
      <c r="C362" s="50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2" t="n"/>
    </row>
    <row r="363">
      <c r="C363" s="50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2" t="n"/>
    </row>
    <row r="364">
      <c r="C364" s="50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2" t="n"/>
    </row>
    <row r="365">
      <c r="C365" s="50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2" t="n"/>
    </row>
    <row r="366">
      <c r="C366" s="53">
        <f>"💬 "&amp;IFERROR(IF(LANG="EN",INDEX(I18N_EN,MATCH("col.comment",I18N_KEY,0)),INDEX(I18N_FR,MATCH("col.comment",I18N_KEY,0))),"col.comment")</f>
        <v/>
      </c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4" t="n"/>
      <c r="O366" s="5" t="n"/>
    </row>
    <row r="367">
      <c r="C367" s="55">
        <f>IF(LANG="EN","Commentary / data source: management systems (demo).","Commentaire / source : systèmes de gestion (démo).")</f>
        <v/>
      </c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7" t="n"/>
    </row>
    <row r="368">
      <c r="C368" s="50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2" t="n"/>
    </row>
    <row r="369">
      <c r="C369" s="58" t="n"/>
      <c r="D369" s="58" t="n"/>
      <c r="E369" s="58" t="n"/>
      <c r="F369" s="58" t="n"/>
      <c r="G369" s="58" t="n"/>
      <c r="H369" s="58" t="n"/>
      <c r="I369" s="58" t="n"/>
      <c r="J369" s="58" t="n"/>
      <c r="K369" s="58" t="n"/>
      <c r="L369" s="58" t="n"/>
      <c r="M369" s="58" t="n"/>
      <c r="N369" s="58" t="n"/>
      <c r="O369" s="59" t="n"/>
    </row>
    <row r="370">
      <c r="C370" s="60" t="n"/>
      <c r="D370" s="3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22" t="n"/>
    </row>
    <row r="371"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 ht="19" customHeight="1">
      <c r="C372" s="46">
        <f>"▸  3.8  "&amp;IF(LANG="EN","Contracted Rent Roll","Rent roll contractuel")</f>
        <v/>
      </c>
      <c r="D372" s="47" t="n"/>
      <c r="E372" s="47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8" t="n"/>
      <c r="O372" s="1" t="n"/>
    </row>
    <row r="373">
      <c r="C373" s="80" t="inlineStr">
        <is>
          <t>Mois / Month</t>
        </is>
      </c>
      <c r="D373" s="62" t="inlineStr">
        <is>
          <t>Loyer contractuel / Contracted</t>
        </is>
      </c>
      <c r="E373" s="62" t="inlineStr">
        <is>
          <t>Charges / Service charges</t>
        </is>
      </c>
      <c r="F373" s="62" t="inlineStr">
        <is>
          <t>Net</t>
        </is>
      </c>
      <c r="G373" s="3" t="n"/>
      <c r="H373" s="3" t="n"/>
      <c r="I373" s="3" t="n"/>
      <c r="J373" s="3" t="n"/>
      <c r="K373" s="3" t="n"/>
      <c r="L373" s="3" t="n"/>
      <c r="M373" s="3" t="n"/>
      <c r="N373" s="32" t="n"/>
    </row>
    <row r="374">
      <c r="C374" s="82" t="inlineStr">
        <is>
          <t>2026-01</t>
        </is>
      </c>
      <c r="D374" s="83" t="n">
        <v>132000000</v>
      </c>
      <c r="E374" s="83" t="n">
        <v>18000000</v>
      </c>
      <c r="F374" s="83" t="n">
        <v>114000000</v>
      </c>
      <c r="G374" s="3" t="n"/>
      <c r="H374" s="3" t="n"/>
      <c r="I374" s="3" t="n"/>
      <c r="J374" s="3" t="n"/>
      <c r="K374" s="3" t="n"/>
      <c r="L374" s="3" t="n"/>
      <c r="M374" s="3" t="n"/>
      <c r="N374" s="32" t="n"/>
    </row>
    <row r="375">
      <c r="C375" s="82" t="inlineStr">
        <is>
          <t>2026-02</t>
        </is>
      </c>
      <c r="D375" s="83" t="n">
        <v>133000000</v>
      </c>
      <c r="E375" s="83" t="n">
        <v>18100000</v>
      </c>
      <c r="F375" s="83" t="n">
        <v>114900000</v>
      </c>
      <c r="G375" s="3" t="n"/>
      <c r="H375" s="3" t="n"/>
      <c r="I375" s="3" t="n"/>
      <c r="J375" s="3" t="n"/>
      <c r="K375" s="3" t="n"/>
      <c r="L375" s="3" t="n"/>
      <c r="M375" s="3" t="n"/>
      <c r="N375" s="32" t="n"/>
    </row>
    <row r="376">
      <c r="C376" s="82" t="inlineStr">
        <is>
          <t>2026-03</t>
        </is>
      </c>
      <c r="D376" s="83" t="n">
        <v>134500000</v>
      </c>
      <c r="E376" s="83" t="n">
        <v>18200000</v>
      </c>
      <c r="F376" s="83" t="n">
        <v>116300000</v>
      </c>
      <c r="G376" s="3" t="n"/>
      <c r="H376" s="3" t="n"/>
      <c r="I376" s="3" t="n"/>
      <c r="J376" s="3" t="n"/>
      <c r="K376" s="3" t="n"/>
      <c r="L376" s="3" t="n"/>
      <c r="M376" s="3" t="n"/>
      <c r="N376" s="32" t="n"/>
    </row>
    <row r="377">
      <c r="C377" s="82" t="inlineStr">
        <is>
          <t>2026-04</t>
        </is>
      </c>
      <c r="D377" s="83" t="n">
        <v>135000000</v>
      </c>
      <c r="E377" s="83" t="n">
        <v>18300000</v>
      </c>
      <c r="F377" s="83" t="n">
        <v>116700000</v>
      </c>
      <c r="G377" s="3" t="n"/>
      <c r="H377" s="3" t="n"/>
      <c r="I377" s="3" t="n"/>
      <c r="J377" s="3" t="n"/>
      <c r="K377" s="3" t="n"/>
      <c r="L377" s="3" t="n"/>
      <c r="M377" s="3" t="n"/>
      <c r="N377" s="32" t="n"/>
    </row>
    <row r="378">
      <c r="C378" s="82" t="inlineStr">
        <is>
          <t>2026-05</t>
        </is>
      </c>
      <c r="D378" s="83" t="n">
        <v>137000000</v>
      </c>
      <c r="E378" s="83" t="n">
        <v>18400000</v>
      </c>
      <c r="F378" s="83" t="n">
        <v>118600000</v>
      </c>
      <c r="G378" s="3" t="n"/>
      <c r="H378" s="3" t="n"/>
      <c r="I378" s="3" t="n"/>
      <c r="J378" s="3" t="n"/>
      <c r="K378" s="3" t="n"/>
      <c r="L378" s="3" t="n"/>
      <c r="M378" s="3" t="n"/>
      <c r="N378" s="32" t="n"/>
    </row>
    <row r="379">
      <c r="C379" s="82" t="inlineStr">
        <is>
          <t>2026-06</t>
        </is>
      </c>
      <c r="D379" s="83" t="n">
        <v>138500000</v>
      </c>
      <c r="E379" s="83" t="n">
        <v>18500000</v>
      </c>
      <c r="F379" s="83" t="n">
        <v>120000000</v>
      </c>
      <c r="G379" s="3" t="n"/>
      <c r="H379" s="3" t="n"/>
      <c r="I379" s="3" t="n"/>
      <c r="J379" s="3" t="n"/>
      <c r="K379" s="3" t="n"/>
      <c r="L379" s="3" t="n"/>
      <c r="M379" s="3" t="n"/>
      <c r="N379" s="32" t="n"/>
    </row>
    <row r="380">
      <c r="C380" s="50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2" t="n"/>
    </row>
    <row r="381">
      <c r="C381" s="50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2" t="n"/>
    </row>
    <row r="382">
      <c r="C382" s="50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2" t="n"/>
    </row>
    <row r="383">
      <c r="C383" s="50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2" t="n"/>
    </row>
    <row r="384">
      <c r="C384" s="50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2" t="n"/>
    </row>
    <row r="385">
      <c r="C385" s="50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2" t="n"/>
    </row>
    <row r="386">
      <c r="C386" s="50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2" t="n"/>
    </row>
    <row r="387">
      <c r="C387" s="50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2" t="n"/>
    </row>
    <row r="388">
      <c r="C388" s="53">
        <f>"💬 "&amp;IFERROR(IF(LANG="EN",INDEX(I18N_EN,MATCH("col.comment",I18N_KEY,0)),INDEX(I18N_FR,MATCH("col.comment",I18N_KEY,0))),"col.comment")</f>
        <v/>
      </c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4" t="n"/>
      <c r="O388" s="5" t="n"/>
    </row>
    <row r="389">
      <c r="C389" s="55">
        <f>IF(LANG="EN","Commentary / data source: management systems (demo).","Commentaire / source : systèmes de gestion (démo).")</f>
        <v/>
      </c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7" t="n"/>
    </row>
    <row r="390">
      <c r="C390" s="50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2" t="n"/>
    </row>
    <row r="391">
      <c r="C391" s="58" t="n"/>
      <c r="D391" s="58" t="n"/>
      <c r="E391" s="58" t="n"/>
      <c r="F391" s="58" t="n"/>
      <c r="G391" s="58" t="n"/>
      <c r="H391" s="58" t="n"/>
      <c r="I391" s="58" t="n"/>
      <c r="J391" s="58" t="n"/>
      <c r="K391" s="58" t="n"/>
      <c r="L391" s="58" t="n"/>
      <c r="M391" s="58" t="n"/>
      <c r="N391" s="58" t="n"/>
      <c r="O391" s="59" t="n"/>
    </row>
    <row r="392">
      <c r="C392" s="60" t="n"/>
      <c r="D392" s="3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22" t="n"/>
    </row>
    <row r="393"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 ht="19" customHeight="1">
      <c r="C394" s="46">
        <f>"▸  3.9  "&amp;IF(LANG="EN","Projected Rent Roll","Rent roll projeté")</f>
        <v/>
      </c>
      <c r="D394" s="47" t="n"/>
      <c r="E394" s="47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8" t="n"/>
      <c r="O394" s="1" t="n"/>
    </row>
    <row r="395">
      <c r="C395" s="80" t="inlineStr">
        <is>
          <t>Période / Period</t>
        </is>
      </c>
      <c r="D395" s="62" t="inlineStr">
        <is>
          <t>Rent roll projeté / Projected</t>
        </is>
      </c>
      <c r="E395" s="81" t="inlineStr">
        <is>
          <t>Hypothèse / Assumption</t>
        </is>
      </c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2" t="n"/>
    </row>
    <row r="396">
      <c r="C396" s="82" t="inlineStr">
        <is>
          <t>T1 2026 / Q1</t>
        </is>
      </c>
      <c r="D396" s="83" t="n">
        <v>132000000</v>
      </c>
      <c r="E396" s="84" t="inlineStr">
        <is>
          <t>Base</t>
        </is>
      </c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2" t="n"/>
    </row>
    <row r="397">
      <c r="C397" s="82" t="inlineStr">
        <is>
          <t>T2 2026 / Q2</t>
        </is>
      </c>
      <c r="D397" s="83" t="n">
        <v>136000000</v>
      </c>
      <c r="E397" s="84" t="inlineStr">
        <is>
          <t>+ New In H&amp;M</t>
        </is>
      </c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2" t="n"/>
    </row>
    <row r="398">
      <c r="C398" s="82" t="inlineStr">
        <is>
          <t>T3 2026 / Q3</t>
        </is>
      </c>
      <c r="D398" s="83" t="n">
        <v>140000000</v>
      </c>
      <c r="E398" s="84" t="inlineStr">
        <is>
          <t>+ Burger King</t>
        </is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2" t="n"/>
    </row>
    <row r="399">
      <c r="C399" s="82" t="inlineStr">
        <is>
          <t>T4 2026 / Q4</t>
        </is>
      </c>
      <c r="D399" s="83" t="n">
        <v>143000000</v>
      </c>
      <c r="E399" s="84" t="inlineStr">
        <is>
          <t>Renouvellements / Renewals</t>
        </is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2" t="n"/>
    </row>
    <row r="400">
      <c r="C400" s="50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2" t="n"/>
    </row>
    <row r="401">
      <c r="C401" s="50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2" t="n"/>
    </row>
    <row r="402">
      <c r="C402" s="50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2" t="n"/>
    </row>
    <row r="403">
      <c r="C403" s="50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2" t="n"/>
    </row>
    <row r="404">
      <c r="C404" s="50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2" t="n"/>
    </row>
    <row r="405">
      <c r="C405" s="50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2" t="n"/>
    </row>
    <row r="406">
      <c r="C406" s="50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2" t="n"/>
    </row>
    <row r="407">
      <c r="C407" s="50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2" t="n"/>
    </row>
    <row r="408">
      <c r="C408" s="53">
        <f>"💬 "&amp;IFERROR(IF(LANG="EN",INDEX(I18N_EN,MATCH("col.comment",I18N_KEY,0)),INDEX(I18N_FR,MATCH("col.comment",I18N_KEY,0))),"col.comment")</f>
        <v/>
      </c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4" t="n"/>
      <c r="O408" s="5" t="n"/>
    </row>
    <row r="409">
      <c r="C409" s="55">
        <f>IF(LANG="EN","Commentary / data source: management systems (demo).","Commentaire / source : systèmes de gestion (démo).")</f>
        <v/>
      </c>
      <c r="D409" s="56" t="n"/>
      <c r="E409" s="56" t="n"/>
      <c r="F409" s="56" t="n"/>
      <c r="G409" s="56" t="n"/>
      <c r="H409" s="56" t="n"/>
      <c r="I409" s="56" t="n"/>
      <c r="J409" s="56" t="n"/>
      <c r="K409" s="56" t="n"/>
      <c r="L409" s="56" t="n"/>
      <c r="M409" s="56" t="n"/>
      <c r="N409" s="56" t="n"/>
      <c r="O409" s="57" t="n"/>
    </row>
    <row r="410">
      <c r="C410" s="50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2" t="n"/>
    </row>
    <row r="411">
      <c r="C411" s="58" t="n"/>
      <c r="D411" s="58" t="n"/>
      <c r="E411" s="58" t="n"/>
      <c r="F411" s="58" t="n"/>
      <c r="G411" s="58" t="n"/>
      <c r="H411" s="58" t="n"/>
      <c r="I411" s="58" t="n"/>
      <c r="J411" s="58" t="n"/>
      <c r="K411" s="58" t="n"/>
      <c r="L411" s="58" t="n"/>
      <c r="M411" s="58" t="n"/>
      <c r="N411" s="58" t="n"/>
      <c r="O411" s="59" t="n"/>
    </row>
    <row r="412">
      <c r="C412" s="60" t="n"/>
      <c r="D412" s="3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22" t="n"/>
    </row>
    <row r="413"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</row>
    <row r="414" ht="19" customHeight="1">
      <c r="C414" s="46">
        <f>"▸  3.10  "&amp;IF(LANG="EN","Rent Roll Analysis","Analyse du rent roll")</f>
        <v/>
      </c>
      <c r="D414" s="47" t="n"/>
      <c r="E414" s="47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8" t="n"/>
      <c r="O414" s="1" t="n"/>
    </row>
    <row r="415">
      <c r="C415" s="61">
        <f>IFERROR(IF(LANG="EN",INDEX(I18N_EN,MATCH("col.kpi",I18N_KEY,0)),INDEX(I18N_FR,MATCH("col.kpi",I18N_KEY,0))),"col.kpi")</f>
        <v/>
      </c>
      <c r="D415" s="62">
        <f>IFERROR(IF(LANG="EN",INDEX(I18N_EN,MATCH("col.unit",I18N_KEY,0)),INDEX(I18N_FR,MATCH("col.unit",I18N_KEY,0))),"col.unit")</f>
        <v/>
      </c>
      <c r="E415" s="62">
        <f>IFERROR(IF(LANG="EN",INDEX(I18N_EN,MATCH("col.current",I18N_KEY,0)),INDEX(I18N_FR,MATCH("col.current",I18N_KEY,0))),"col.current")</f>
        <v/>
      </c>
      <c r="F415" s="62">
        <f>IFERROR(IF(LANG="EN",INDEX(I18N_EN,MATCH("col.prev",I18N_KEY,0)),INDEX(I18N_FR,MATCH("col.prev",I18N_KEY,0))),"col.prev")</f>
        <v/>
      </c>
      <c r="G415" s="62">
        <f>IFERROR(IF(LANG="EN",INDEX(I18N_EN,MATCH("col.delta_prev",I18N_KEY,0)),INDEX(I18N_FR,MATCH("col.delta_prev",I18N_KEY,0))),"col.delta_prev")</f>
        <v/>
      </c>
      <c r="H415" s="62">
        <f>IFERROR(IF(LANG="EN",INDEX(I18N_EN,MATCH("col.py",I18N_KEY,0)),INDEX(I18N_FR,MATCH("col.py",I18N_KEY,0))),"col.py")</f>
        <v/>
      </c>
      <c r="I415" s="62">
        <f>IFERROR(IF(LANG="EN",INDEX(I18N_EN,MATCH("col.delta_py",I18N_KEY,0)),INDEX(I18N_FR,MATCH("col.delta_py",I18N_KEY,0))),"col.delta_py")</f>
        <v/>
      </c>
      <c r="J415" s="62">
        <f>IFERROR(IF(LANG="EN",INDEX(I18N_EN,MATCH("col.budget",I18N_KEY,0)),INDEX(I18N_FR,MATCH("col.budget",I18N_KEY,0))),"col.budget")</f>
        <v/>
      </c>
      <c r="K415" s="62">
        <f>IFERROR(IF(LANG="EN",INDEX(I18N_EN,MATCH("col.var",I18N_KEY,0)),INDEX(I18N_FR,MATCH("col.var",I18N_KEY,0))),"col.var")</f>
        <v/>
      </c>
      <c r="L415" s="62">
        <f>IFERROR(IF(LANG="EN",INDEX(I18N_EN,MATCH("col.rag",I18N_KEY,0)),INDEX(I18N_FR,MATCH("col.rag",I18N_KEY,0))),"col.rag")</f>
        <v/>
      </c>
      <c r="M415" s="3" t="n"/>
      <c r="N415" s="32" t="n"/>
    </row>
    <row r="416">
      <c r="C416" s="63">
        <f>IFERROR(IF(LANG="EN",INDEX(I18N_EN,MATCH("kpi.lease.ocr",I18N_KEY,0)),INDEX(I18N_FR,MATCH("kpi.lease.ocr",I18N_KEY,0))),"kpi.lease.ocr")</f>
        <v/>
      </c>
      <c r="D416" s="64" t="inlineStr">
        <is>
          <t>%</t>
        </is>
      </c>
      <c r="E416" s="71">
        <f>IFERROR((AVERAGEIFS('M3 · Base mensuelle'!$D$17:$AM$17,HDR,"&gt;="&amp;P_START,HDR,"&lt;="&amp;P_END)),"")</f>
        <v/>
      </c>
      <c r="F416" s="71">
        <f>IFERROR((AVERAGEIFS('M3 · Base mensuelle'!$D$17:$AM$17,HDR,"&gt;="&amp;PP_START,HDR,"&lt;="&amp;PP_END)),"")</f>
        <v/>
      </c>
      <c r="G416" s="66">
        <f>IFERROR((E416)/(F416)-1,"")</f>
        <v/>
      </c>
      <c r="H416" s="71">
        <f>IFERROR((AVERAGEIFS('M3 · Base mensuelle'!$D$17:$AM$17,HDR,"&gt;="&amp;PY_START,HDR,"&lt;="&amp;PY_END)),"")</f>
        <v/>
      </c>
      <c r="I416" s="66">
        <f>IFERROR((E416)/(H416)-1,"")</f>
        <v/>
      </c>
      <c r="J416" s="71">
        <f>IFERROR((SUMPRODUCT((BUD_MONTHS&gt;=MONTH(P_START))*(BUD_MONTHS&lt;=MONTH(P_END))*'M1 · Paramètres'!$H$18:$S$18)/SUMPRODUCT((BUD_MONTHS&gt;=MONTH(P_START))*(BUD_MONTHS&lt;=MONTH(P_END))*1)),"")</f>
        <v/>
      </c>
      <c r="K416" s="66">
        <f>IFERROR((E416)/(J416)-1,"")</f>
        <v/>
      </c>
      <c r="L416" s="68">
        <f>IF(O416="","",IF(O416="green",IFERROR(IF(LANG="EN",INDEX(I18N_EN,MATCH("rag.green",I18N_KEY,0)),INDEX(I18N_FR,MATCH("rag.green",I18N_KEY,0))),"rag.green"),IF(O416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16" s="3" t="n"/>
      <c r="N416" s="32" t="n"/>
      <c r="O416" s="69">
        <f>IFERROR(IF(IF(N(J416)&gt;0,J416,H416)=0,"",IF(INDEX(RAG_SENS,MATCH("kpi.lease.ocr",RAG_KEY,0))="UP",IF((E416/IF(N(J416)&gt;0,J416,H416))&gt;=INDEX(RAG_SV,MATCH("kpi.lease.ocr",RAG_KEY,0)),"green",IF((E416/IF(N(J416)&gt;0,J416,H416))&gt;=INDEX(RAG_SA,MATCH("kpi.lease.ocr",RAG_KEY,0)),"amber","red")),IF((E416/IF(N(J416)&gt;0,J416,H416))&lt;=INDEX(RAG_SV,MATCH("kpi.lease.ocr",RAG_KEY,0)),"green",IF((E416/IF(N(J416)&gt;0,J416,H416))&lt;=INDEX(RAG_SA,MATCH("kpi.lease.ocr",RAG_KEY,0)),"amber","red")))),"")</f>
        <v/>
      </c>
    </row>
    <row r="417">
      <c r="C417" s="63">
        <f>IFERROR(IF(LANG="EN",INDEX(I18N_EN,MATCH("kpi.lease.reversion",I18N_KEY,0)),INDEX(I18N_FR,MATCH("kpi.lease.reversion",I18N_KEY,0))),"kpi.lease.reversion")</f>
        <v/>
      </c>
      <c r="D417" s="64" t="inlineStr">
        <is>
          <t>%</t>
        </is>
      </c>
      <c r="E417" s="71">
        <f>IFERROR((AVERAGEIFS('M3 · Base mensuelle'!$D$20:$AM$20,HDR,"&gt;="&amp;P_START,HDR,"&lt;="&amp;P_END)),"")</f>
        <v/>
      </c>
      <c r="F417" s="71">
        <f>IFERROR((AVERAGEIFS('M3 · Base mensuelle'!$D$20:$AM$20,HDR,"&gt;="&amp;PP_START,HDR,"&lt;="&amp;PP_END)),"")</f>
        <v/>
      </c>
      <c r="G417" s="66">
        <f>IFERROR((E417)/(F417)-1,"")</f>
        <v/>
      </c>
      <c r="H417" s="71">
        <f>IFERROR((AVERAGEIFS('M3 · Base mensuelle'!$D$20:$AM$20,HDR,"&gt;="&amp;PY_START,HDR,"&lt;="&amp;PY_END)),"")</f>
        <v/>
      </c>
      <c r="I417" s="66">
        <f>IFERROR((E417)/(H417)-1,"")</f>
        <v/>
      </c>
      <c r="J417" s="67" t="n"/>
      <c r="K417" s="66">
        <f>IFERROR((E417)/(J417)-1,"")</f>
        <v/>
      </c>
      <c r="L417" s="68">
        <f>IF(O417="","",IF(O417="green",IFERROR(IF(LANG="EN",INDEX(I18N_EN,MATCH("rag.green",I18N_KEY,0)),INDEX(I18N_FR,MATCH("rag.green",I18N_KEY,0))),"rag.green"),IF(O417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17" s="3" t="n"/>
      <c r="N417" s="32" t="n"/>
      <c r="O417" s="69">
        <f>IFERROR(IF(IF(N(J417)&gt;0,J417,H417)=0,"",IF(INDEX(RAG_SENS,MATCH("kpi.lease.reversion",RAG_KEY,0))="UP",IF((E417/IF(N(J417)&gt;0,J417,H417))&gt;=INDEX(RAG_SV,MATCH("kpi.lease.reversion",RAG_KEY,0)),"green",IF((E417/IF(N(J417)&gt;0,J417,H417))&gt;=INDEX(RAG_SA,MATCH("kpi.lease.reversion",RAG_KEY,0)),"amber","red")),IF((E417/IF(N(J417)&gt;0,J417,H417))&lt;=INDEX(RAG_SV,MATCH("kpi.lease.reversion",RAG_KEY,0)),"green",IF((E417/IF(N(J417)&gt;0,J417,H417))&lt;=INDEX(RAG_SA,MATCH("kpi.lease.reversion",RAG_KEY,0)),"amber","red")))),"")</f>
        <v/>
      </c>
    </row>
    <row r="418">
      <c r="C418" s="63">
        <f>IFERROR(IF(LANG="EN",INDEX(I18N_EN,MATCH("kpi.lease.vac_age",I18N_KEY,0)),INDEX(I18N_FR,MATCH("kpi.lease.vac_age",I18N_KEY,0))),"kpi.lease.vac_age")</f>
        <v/>
      </c>
      <c r="D418" s="64" t="inlineStr">
        <is>
          <t>mois</t>
        </is>
      </c>
      <c r="E418" s="65">
        <f>IFERROR((AVERAGEIFS('M3 · Base mensuelle'!$D$21:$AM$21,HDR,"&gt;="&amp;P_START,HDR,"&lt;="&amp;P_END)),"")</f>
        <v/>
      </c>
      <c r="F418" s="65">
        <f>IFERROR((AVERAGEIFS('M3 · Base mensuelle'!$D$21:$AM$21,HDR,"&gt;="&amp;PP_START,HDR,"&lt;="&amp;PP_END)),"")</f>
        <v/>
      </c>
      <c r="G418" s="66">
        <f>IFERROR((E418)/(F418)-1,"")</f>
        <v/>
      </c>
      <c r="H418" s="65">
        <f>IFERROR((AVERAGEIFS('M3 · Base mensuelle'!$D$21:$AM$21,HDR,"&gt;="&amp;PY_START,HDR,"&lt;="&amp;PY_END)),"")</f>
        <v/>
      </c>
      <c r="I418" s="66">
        <f>IFERROR((E418)/(H418)-1,"")</f>
        <v/>
      </c>
      <c r="J418" s="67" t="n"/>
      <c r="K418" s="66">
        <f>IFERROR((E418)/(J418)-1,"")</f>
        <v/>
      </c>
      <c r="L418" s="68">
        <f>IF(O418="","",IF(O418="green",IFERROR(IF(LANG="EN",INDEX(I18N_EN,MATCH("rag.green",I18N_KEY,0)),INDEX(I18N_FR,MATCH("rag.green",I18N_KEY,0))),"rag.green"),IF(O418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18" s="3" t="n"/>
      <c r="N418" s="32" t="n"/>
      <c r="O418" s="69">
        <f>IFERROR(IF(IF(N(J418)&gt;0,J418,H418)=0,"",IF(INDEX(RAG_SENS,MATCH("kpi.lease.vac_age",RAG_KEY,0))="UP",IF((E418/IF(N(J418)&gt;0,J418,H418))&gt;=INDEX(RAG_SV,MATCH("kpi.lease.vac_age",RAG_KEY,0)),"green",IF((E418/IF(N(J418)&gt;0,J418,H418))&gt;=INDEX(RAG_SA,MATCH("kpi.lease.vac_age",RAG_KEY,0)),"amber","red")),IF((E418/IF(N(J418)&gt;0,J418,H418))&lt;=INDEX(RAG_SV,MATCH("kpi.lease.vac_age",RAG_KEY,0)),"green",IF((E418/IF(N(J418)&gt;0,J418,H418))&lt;=INDEX(RAG_SA,MATCH("kpi.lease.vac_age",RAG_KEY,0)),"amber","red")))),"")</f>
        <v/>
      </c>
    </row>
    <row r="419">
      <c r="C419" s="63">
        <f>IFERROR(IF(LANG="EN",INDEX(I18N_EN,MATCH("kpi.lease.gla_vacant",I18N_KEY,0)),INDEX(I18N_FR,MATCH("kpi.lease.gla_vacant",I18N_KEY,0))),"kpi.lease.gla_vacant")</f>
        <v/>
      </c>
      <c r="D419" s="64" t="inlineStr">
        <is>
          <t>m²</t>
        </is>
      </c>
      <c r="E419" s="65">
        <f>IFERROR((INDEX('M3 · Base mensuelle'!$D$16:$AM$16,MATCH(P_END,HDR,0))),"")</f>
        <v/>
      </c>
      <c r="F419" s="65">
        <f>IFERROR((INDEX('M3 · Base mensuelle'!$D$16:$AM$16,MATCH(PP_END,HDR,0))),"")</f>
        <v/>
      </c>
      <c r="G419" s="66">
        <f>IFERROR((E419)/(F419)-1,"")</f>
        <v/>
      </c>
      <c r="H419" s="65">
        <f>IFERROR((INDEX('M3 · Base mensuelle'!$D$16:$AM$16,MATCH(PY_END,HDR,0))),"")</f>
        <v/>
      </c>
      <c r="I419" s="66">
        <f>IFERROR((E419)/(H419)-1,"")</f>
        <v/>
      </c>
      <c r="J419" s="67" t="n"/>
      <c r="K419" s="66">
        <f>IFERROR((E419)/(J419)-1,"")</f>
        <v/>
      </c>
      <c r="L419" s="68">
        <f>IF(O419="","",IF(O419="green",IFERROR(IF(LANG="EN",INDEX(I18N_EN,MATCH("rag.green",I18N_KEY,0)),INDEX(I18N_FR,MATCH("rag.green",I18N_KEY,0))),"rag.green"),IF(O419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19" s="3" t="n"/>
      <c r="N419" s="32" t="n"/>
      <c r="O419" s="69">
        <f>IFERROR(IF(IF(N(J419)&gt;0,J419,H419)=0,"",IF(INDEX(RAG_SENS,MATCH("kpi.lease.gla_vacant",RAG_KEY,0))="UP",IF((E419/IF(N(J419)&gt;0,J419,H419))&gt;=INDEX(RAG_SV,MATCH("kpi.lease.gla_vacant",RAG_KEY,0)),"green",IF((E419/IF(N(J419)&gt;0,J419,H419))&gt;=INDEX(RAG_SA,MATCH("kpi.lease.gla_vacant",RAG_KEY,0)),"amber","red")),IF((E419/IF(N(J419)&gt;0,J419,H419))&lt;=INDEX(RAG_SV,MATCH("kpi.lease.gla_vacant",RAG_KEY,0)),"green",IF((E419/IF(N(J419)&gt;0,J419,H419))&lt;=INDEX(RAG_SA,MATCH("kpi.lease.gla_vacant",RAG_KEY,0)),"amber","red")))),"")</f>
        <v/>
      </c>
    </row>
    <row r="420">
      <c r="C420" s="63">
        <f>IFERROR(IF(LANG="EN",INDEX(I18N_EN,MATCH("kpi.lease.retention",I18N_KEY,0)),INDEX(I18N_FR,MATCH("kpi.lease.retention",I18N_KEY,0))),"kpi.lease.retention")</f>
        <v/>
      </c>
      <c r="D420" s="64" t="inlineStr">
        <is>
          <t>%</t>
        </is>
      </c>
      <c r="E420" s="71">
        <f>IFERROR((AVERAGEIFS('M3 · Base mensuelle'!$D$22:$AM$22,HDR,"&gt;="&amp;P_START,HDR,"&lt;="&amp;P_END)),"")</f>
        <v/>
      </c>
      <c r="F420" s="71">
        <f>IFERROR((AVERAGEIFS('M3 · Base mensuelle'!$D$22:$AM$22,HDR,"&gt;="&amp;PP_START,HDR,"&lt;="&amp;PP_END)),"")</f>
        <v/>
      </c>
      <c r="G420" s="66">
        <f>IFERROR((E420)/(F420)-1,"")</f>
        <v/>
      </c>
      <c r="H420" s="71">
        <f>IFERROR((AVERAGEIFS('M3 · Base mensuelle'!$D$22:$AM$22,HDR,"&gt;="&amp;PY_START,HDR,"&lt;="&amp;PY_END)),"")</f>
        <v/>
      </c>
      <c r="I420" s="66">
        <f>IFERROR((E420)/(H420)-1,"")</f>
        <v/>
      </c>
      <c r="J420" s="67" t="n"/>
      <c r="K420" s="66">
        <f>IFERROR((E420)/(J420)-1,"")</f>
        <v/>
      </c>
      <c r="L420" s="68">
        <f>IF(O420="","",IF(O420="green",IFERROR(IF(LANG="EN",INDEX(I18N_EN,MATCH("rag.green",I18N_KEY,0)),INDEX(I18N_FR,MATCH("rag.green",I18N_KEY,0))),"rag.green"),IF(O420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20" s="3" t="n"/>
      <c r="N420" s="32" t="n"/>
      <c r="O420" s="69">
        <f>IFERROR(IF(IF(N(J420)&gt;0,J420,H420)=0,"",IF(INDEX(RAG_SENS,MATCH("kpi.lease.retention",RAG_KEY,0))="UP",IF((E420/IF(N(J420)&gt;0,J420,H420))&gt;=INDEX(RAG_SV,MATCH("kpi.lease.retention",RAG_KEY,0)),"green",IF((E420/IF(N(J420)&gt;0,J420,H420))&gt;=INDEX(RAG_SA,MATCH("kpi.lease.retention",RAG_KEY,0)),"amber","red")),IF((E420/IF(N(J420)&gt;0,J420,H420))&lt;=INDEX(RAG_SV,MATCH("kpi.lease.retention",RAG_KEY,0)),"green",IF((E420/IF(N(J420)&gt;0,J420,H420))&lt;=INDEX(RAG_SA,MATCH("kpi.lease.retention",RAG_KEY,0)),"amber","red")))),"")</f>
        <v/>
      </c>
    </row>
    <row r="421">
      <c r="C421" s="63">
        <f>IFERROR(IF(LANG="EN",INDEX(I18N_EN,MATCH("kpi.lease.incentives",I18N_KEY,0)),INDEX(I18N_FR,MATCH("kpi.lease.incentives",I18N_KEY,0))),"kpi.lease.incentives")</f>
        <v/>
      </c>
      <c r="D421" s="64" t="inlineStr">
        <is>
          <t>FCFA</t>
        </is>
      </c>
      <c r="E421" s="70">
        <f>IFERROR((SUMIFS('M3 · Base mensuelle'!$D$23:$AM$23,HDR,"&gt;="&amp;P_START,HDR,"&lt;="&amp;P_END))/1000000,"")</f>
        <v/>
      </c>
      <c r="F421" s="70">
        <f>IFERROR((SUMIFS('M3 · Base mensuelle'!$D$23:$AM$23,HDR,"&gt;="&amp;PP_START,HDR,"&lt;="&amp;PP_END))/1000000,"")</f>
        <v/>
      </c>
      <c r="G421" s="66">
        <f>IFERROR((E421)/(F421)-1,"")</f>
        <v/>
      </c>
      <c r="H421" s="70">
        <f>IFERROR((SUMIFS('M3 · Base mensuelle'!$D$23:$AM$23,HDR,"&gt;="&amp;PY_START,HDR,"&lt;="&amp;PY_END))/1000000,"")</f>
        <v/>
      </c>
      <c r="I421" s="66">
        <f>IFERROR((E421)/(H421)-1,"")</f>
        <v/>
      </c>
      <c r="J421" s="70">
        <f>IFERROR((SUMPRODUCT((BUD_MONTHS&gt;=MONTH(P_START))*(BUD_MONTHS&lt;=MONTH(P_END))*'M1 · Paramètres'!$H$24:$S$24))/1000000,"")</f>
        <v/>
      </c>
      <c r="K421" s="66">
        <f>IFERROR((E421)/(J421)-1,"")</f>
        <v/>
      </c>
      <c r="L421" s="68">
        <f>IF(O421="","",IF(O421="green",IFERROR(IF(LANG="EN",INDEX(I18N_EN,MATCH("rag.green",I18N_KEY,0)),INDEX(I18N_FR,MATCH("rag.green",I18N_KEY,0))),"rag.green"),IF(O421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21" s="3" t="n"/>
      <c r="N421" s="32" t="n"/>
      <c r="O421" s="69">
        <f>IFERROR(IF(IF(N(J421)&gt;0,J421,H421)=0,"",IF(INDEX(RAG_SENS,MATCH("kpi.lease.incentives",RAG_KEY,0))="UP",IF((E421/IF(N(J421)&gt;0,J421,H421))&gt;=INDEX(RAG_SV,MATCH("kpi.lease.incentives",RAG_KEY,0)),"green",IF((E421/IF(N(J421)&gt;0,J421,H421))&gt;=INDEX(RAG_SA,MATCH("kpi.lease.incentives",RAG_KEY,0)),"amber","red")),IF((E421/IF(N(J421)&gt;0,J421,H421))&lt;=INDEX(RAG_SV,MATCH("kpi.lease.incentives",RAG_KEY,0)),"green",IF((E421/IF(N(J421)&gt;0,J421,H421))&lt;=INDEX(RAG_SA,MATCH("kpi.lease.incentives",RAG_KEY,0)),"amber","red")))),"")</f>
        <v/>
      </c>
    </row>
    <row r="422">
      <c r="C422" s="63">
        <f>IFERROR(IF(LANG="EN",INDEX(I18N_EN,MATCH("kpi.lease.walt",I18N_KEY,0)),INDEX(I18N_FR,MATCH("kpi.lease.walt",I18N_KEY,0))),"kpi.lease.walt")</f>
        <v/>
      </c>
      <c r="D422" s="64" t="inlineStr">
        <is>
          <t>ans</t>
        </is>
      </c>
      <c r="E422" s="65">
        <f>IFERROR((AVERAGEIFS('M3 · Base mensuelle'!$D$25:$AM$25,HDR,"&gt;="&amp;P_START,HDR,"&lt;="&amp;P_END)),"")</f>
        <v/>
      </c>
      <c r="F422" s="65">
        <f>IFERROR((AVERAGEIFS('M3 · Base mensuelle'!$D$25:$AM$25,HDR,"&gt;="&amp;PP_START,HDR,"&lt;="&amp;PP_END)),"")</f>
        <v/>
      </c>
      <c r="G422" s="66">
        <f>IFERROR((E422)/(F422)-1,"")</f>
        <v/>
      </c>
      <c r="H422" s="65">
        <f>IFERROR((AVERAGEIFS('M3 · Base mensuelle'!$D$25:$AM$25,HDR,"&gt;="&amp;PY_START,HDR,"&lt;="&amp;PY_END)),"")</f>
        <v/>
      </c>
      <c r="I422" s="66">
        <f>IFERROR((E422)/(H422)-1,"")</f>
        <v/>
      </c>
      <c r="J422" s="67" t="n"/>
      <c r="K422" s="66">
        <f>IFERROR((E422)/(J422)-1,"")</f>
        <v/>
      </c>
      <c r="L422" s="68">
        <f>IF(O422="","",IF(O422="green",IFERROR(IF(LANG="EN",INDEX(I18N_EN,MATCH("rag.green",I18N_KEY,0)),INDEX(I18N_FR,MATCH("rag.green",I18N_KEY,0))),"rag.green"),IF(O422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422" s="3" t="n"/>
      <c r="N422" s="32" t="n"/>
      <c r="O422" s="69">
        <f>IFERROR(IF(IF(N(J422)&gt;0,J422,H422)=0,"",IF(INDEX(RAG_SENS,MATCH("kpi.lease.walt",RAG_KEY,0))="UP",IF((E422/IF(N(J422)&gt;0,J422,H422))&gt;=INDEX(RAG_SV,MATCH("kpi.lease.walt",RAG_KEY,0)),"green",IF((E422/IF(N(J422)&gt;0,J422,H422))&gt;=INDEX(RAG_SA,MATCH("kpi.lease.walt",RAG_KEY,0)),"amber","red")),IF((E422/IF(N(J422)&gt;0,J422,H422))&lt;=INDEX(RAG_SV,MATCH("kpi.lease.walt",RAG_KEY,0)),"green",IF((E422/IF(N(J422)&gt;0,J422,H422))&lt;=INDEX(RAG_SA,MATCH("kpi.lease.walt",RAG_KEY,0)),"amber","red")))),"")</f>
        <v/>
      </c>
    </row>
    <row r="423">
      <c r="C423" s="72">
        <f>"◆ "&amp;IFERROR(IF(LANG="EN",INDEX(I18N_EN,MATCH("msg.highlights",I18N_KEY,0)),INDEX(I18N_FR,MATCH("msg.highlights",I18N_KEY,0))),"msg.highlights")</f>
        <v/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2" t="n"/>
    </row>
    <row r="424">
      <c r="C424" s="73">
        <f>IFERROR("▲ "&amp;INDEX(C416:C422,MATCH(MAX(G416:G422),G416:G422,0))&amp;"   "&amp;TEXT(MAX(G416:G422),"+0.0%;-0.0%"),"")</f>
        <v/>
      </c>
      <c r="D424" s="3" t="n"/>
      <c r="E424" s="3" t="n"/>
      <c r="F424" s="3" t="n"/>
      <c r="G424" s="3" t="n"/>
      <c r="H424" s="3" t="n"/>
      <c r="I424" s="74">
        <f>IFERROR("▼ "&amp;INDEX(C416:C422,MATCH(MIN(G416:G422),G416:G422,0))&amp;"   "&amp;TEXT(MIN(G416:G422),"+0.0%;-0.0%"),"")</f>
        <v/>
      </c>
      <c r="J424" s="3" t="n"/>
      <c r="K424" s="3" t="n"/>
      <c r="L424" s="3" t="n"/>
      <c r="M424" s="3" t="n"/>
      <c r="N424" s="32" t="n"/>
    </row>
    <row r="425">
      <c r="C425" s="53">
        <f>"💬 "&amp;IFERROR(IF(LANG="EN",INDEX(I18N_EN,MATCH("col.comment",I18N_KEY,0)),INDEX(I18N_FR,MATCH("col.comment",I18N_KEY,0))),"col.comment")</f>
        <v/>
      </c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4" t="n"/>
      <c r="O425" s="5" t="n"/>
    </row>
    <row r="426">
      <c r="C426" s="75">
        <f>IF('C2 · Lease'!$D$25&lt;&gt;"",'C2 · Lease'!$D$25,IFERROR(SUBSTITUTE(SUBSTITUTE(IF(G416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lease.ocr",I18N_KEY,0)),INDEX(I18N_FR,MATCH("kpi.lease.ocr",I18N_KEY,0))),"kpi.lease.ocr")),"{delta}",TEXT(ABS(G416),"0.0%")),""))</f>
        <v/>
      </c>
      <c r="D426" s="56" t="n"/>
      <c r="E426" s="56" t="n"/>
      <c r="F426" s="56" t="n"/>
      <c r="G426" s="56" t="n"/>
      <c r="H426" s="56" t="n"/>
      <c r="I426" s="56" t="n"/>
      <c r="J426" s="56" t="n"/>
      <c r="K426" s="56" t="n"/>
      <c r="L426" s="56" t="n"/>
      <c r="M426" s="56" t="n"/>
      <c r="N426" s="56" t="n"/>
      <c r="O426" s="57" t="n"/>
    </row>
    <row r="427">
      <c r="C427" s="50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2" t="n"/>
    </row>
    <row r="428">
      <c r="C428" s="58" t="n"/>
      <c r="D428" s="58" t="n"/>
      <c r="E428" s="58" t="n"/>
      <c r="F428" s="58" t="n"/>
      <c r="G428" s="58" t="n"/>
      <c r="H428" s="58" t="n"/>
      <c r="I428" s="58" t="n"/>
      <c r="J428" s="58" t="n"/>
      <c r="K428" s="58" t="n"/>
      <c r="L428" s="58" t="n"/>
      <c r="M428" s="58" t="n"/>
      <c r="N428" s="58" t="n"/>
      <c r="O428" s="59" t="n"/>
    </row>
    <row r="429">
      <c r="C429" s="60" t="n"/>
      <c r="D429" s="3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22" t="n"/>
    </row>
    <row r="430"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</row>
    <row r="431" ht="19" customHeight="1">
      <c r="C431" s="46">
        <f>"🎯  3.11  "&amp;IF(LANG="EN","Budget vs Actual","Budget vs Réalisé")</f>
        <v/>
      </c>
      <c r="D431" s="47" t="n"/>
      <c r="E431" s="47" t="n"/>
      <c r="F431" s="47" t="n"/>
      <c r="G431" s="47" t="n"/>
      <c r="H431" s="47" t="n"/>
      <c r="I431" s="47" t="n"/>
      <c r="J431" s="47" t="n"/>
      <c r="K431" s="47" t="n"/>
      <c r="L431" s="47" t="n"/>
      <c r="M431" s="47" t="n"/>
      <c r="N431" s="48" t="n"/>
      <c r="O431" s="1" t="n"/>
    </row>
    <row r="432">
      <c r="C432" s="76">
        <f>"▌ "&amp;IF(LANG="EN","Actual vs Budget — 12 months","Réalisé vs Budget — 12 mois")</f>
        <v/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2" t="n"/>
    </row>
    <row r="433">
      <c r="C433" s="50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2" t="n"/>
    </row>
    <row r="434">
      <c r="C434" s="50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2" t="n"/>
    </row>
    <row r="435">
      <c r="C435" s="50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2" t="n"/>
    </row>
    <row r="436">
      <c r="C436" s="50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2" t="n"/>
    </row>
    <row r="437">
      <c r="C437" s="50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2" t="n"/>
    </row>
    <row r="438">
      <c r="C438" s="50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2" t="n"/>
    </row>
    <row r="439">
      <c r="C439" s="50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2" t="n"/>
    </row>
    <row r="440">
      <c r="C440" s="50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2" t="n"/>
    </row>
    <row r="441">
      <c r="C441" s="50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2" t="n"/>
    </row>
    <row r="442">
      <c r="C442" s="50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2" t="n"/>
    </row>
    <row r="443">
      <c r="C443" s="50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2" t="n"/>
    </row>
    <row r="444">
      <c r="C444" s="50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2" t="n"/>
    </row>
    <row r="445">
      <c r="C445" s="61">
        <f>IFERROR(IF(LANG="EN",INDEX(I18N_EN,MATCH("col.kpi",I18N_KEY,0)),INDEX(I18N_FR,MATCH("col.kpi",I18N_KEY,0))),"col.kpi")</f>
        <v/>
      </c>
      <c r="D445" s="62">
        <f>IFERROR(IF(LANG="EN",INDEX(I18N_EN,MATCH("col.unit",I18N_KEY,0)),INDEX(I18N_FR,MATCH("col.unit",I18N_KEY,0))),"col.unit")</f>
        <v/>
      </c>
      <c r="E445" s="62">
        <f>IFERROR(IF(LANG="EN",INDEX(I18N_EN,MATCH("col.current",I18N_KEY,0)),INDEX(I18N_FR,MATCH("col.current",I18N_KEY,0))),"col.current")</f>
        <v/>
      </c>
      <c r="F445" s="62">
        <f>IFERROR(IF(LANG="EN",INDEX(I18N_EN,MATCH("col.budget",I18N_KEY,0)),INDEX(I18N_FR,MATCH("col.budget",I18N_KEY,0))),"col.budget")</f>
        <v/>
      </c>
      <c r="G445" s="62">
        <f>IFERROR(IF(LANG="EN",INDEX(I18N_EN,MATCH("col.var",I18N_KEY,0)),INDEX(I18N_FR,MATCH("col.var",I18N_KEY,0))),"col.var")</f>
        <v/>
      </c>
      <c r="H445" s="62">
        <f>IFERROR(IF(LANG="EN",INDEX(I18N_EN,MATCH("col.rag",I18N_KEY,0)),INDEX(I18N_FR,MATCH("col.rag",I18N_KEY,0))),"col.rag")</f>
        <v/>
      </c>
      <c r="I445" s="3" t="n"/>
      <c r="J445" s="3" t="n"/>
      <c r="K445" s="3" t="n"/>
      <c r="L445" s="3" t="n"/>
      <c r="M445" s="3" t="n"/>
      <c r="N445" s="32" t="n"/>
    </row>
    <row r="446">
      <c r="C446" s="63">
        <f>IFERROR(IF(LANG="EN",INDEX(I18N_EN,MATCH("kpi.lease.occ_gla",I18N_KEY,0)),INDEX(I18N_FR,MATCH("kpi.lease.occ_gla",I18N_KEY,0))),"kpi.lease.occ_gla")</f>
        <v/>
      </c>
      <c r="D446" s="64" t="inlineStr">
        <is>
          <t>%</t>
        </is>
      </c>
      <c r="E446" s="71">
        <f>IFERROR((AVERAGEIFS('M3 · Base mensuelle'!$D$14:$AM$14,HDR,"&gt;="&amp;P_START,HDR,"&lt;="&amp;P_END)),"")</f>
        <v/>
      </c>
      <c r="F446" s="71">
        <f>IFERROR((SUMPRODUCT((BUD_MONTHS&gt;=MONTH(P_START))*(BUD_MONTHS&lt;=MONTH(P_END))*'M1 · Paramètres'!$H$15:$S$15)/SUMPRODUCT((BUD_MONTHS&gt;=MONTH(P_START))*(BUD_MONTHS&lt;=MONTH(P_END))*1)),"")</f>
        <v/>
      </c>
      <c r="G446" s="77">
        <f>IFERROR((E446)/(F446)-1,"")</f>
        <v/>
      </c>
      <c r="H446" s="68">
        <f>IF(P446="","",IF(P446="green",IFERROR(IF(LANG="EN",INDEX(I18N_EN,MATCH("rag.green",I18N_KEY,0)),INDEX(I18N_FR,MATCH("rag.green",I18N_KEY,0))),"rag.green"),IF(P446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446" s="3" t="n"/>
      <c r="J446" s="3" t="n"/>
      <c r="K446" s="3" t="n"/>
      <c r="L446" s="3" t="n"/>
      <c r="M446" s="3" t="n"/>
      <c r="N446" s="32" t="n"/>
      <c r="P446" s="69">
        <f>IFERROR(IF(F446=0,"",IF(INDEX(RAG_SENS,MATCH("kpi.lease.occ_gla",RAG_KEY,0))="UP",IF((E446/F446)&gt;=INDEX(RAG_SV,MATCH("kpi.lease.occ_gla",RAG_KEY,0)),"green",IF((E446/F446)&gt;=INDEX(RAG_SA,MATCH("kpi.lease.occ_gla",RAG_KEY,0)),"amber","red")),IF((E446/F446)&lt;=INDEX(RAG_SV,MATCH("kpi.lease.occ_gla",RAG_KEY,0)),"green",IF((E446/F446)&lt;=INDEX(RAG_SA,MATCH("kpi.lease.occ_gla",RAG_KEY,0)),"amber","red")))),"")</f>
        <v/>
      </c>
    </row>
    <row r="447">
      <c r="C447" s="63">
        <f>IFERROR(IF(LANG="EN",INDEX(I18N_EN,MATCH("kpi.lease.ocr",I18N_KEY,0)),INDEX(I18N_FR,MATCH("kpi.lease.ocr",I18N_KEY,0))),"kpi.lease.ocr")</f>
        <v/>
      </c>
      <c r="D447" s="64" t="inlineStr">
        <is>
          <t>%</t>
        </is>
      </c>
      <c r="E447" s="71">
        <f>IFERROR((AVERAGEIFS('M3 · Base mensuelle'!$D$17:$AM$17,HDR,"&gt;="&amp;P_START,HDR,"&lt;="&amp;P_END)),"")</f>
        <v/>
      </c>
      <c r="F447" s="71">
        <f>IFERROR((SUMPRODUCT((BUD_MONTHS&gt;=MONTH(P_START))*(BUD_MONTHS&lt;=MONTH(P_END))*'M1 · Paramètres'!$H$18:$S$18)/SUMPRODUCT((BUD_MONTHS&gt;=MONTH(P_START))*(BUD_MONTHS&lt;=MONTH(P_END))*1)),"")</f>
        <v/>
      </c>
      <c r="G447" s="77">
        <f>IFERROR((E447)/(F447)-1,"")</f>
        <v/>
      </c>
      <c r="H447" s="68">
        <f>IF(P447="","",IF(P447="green",IFERROR(IF(LANG="EN",INDEX(I18N_EN,MATCH("rag.green",I18N_KEY,0)),INDEX(I18N_FR,MATCH("rag.green",I18N_KEY,0))),"rag.green"),IF(P447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447" s="3" t="n"/>
      <c r="J447" s="3" t="n"/>
      <c r="K447" s="3" t="n"/>
      <c r="L447" s="3" t="n"/>
      <c r="M447" s="3" t="n"/>
      <c r="N447" s="32" t="n"/>
      <c r="P447" s="69">
        <f>IFERROR(IF(F447=0,"",IF(INDEX(RAG_SENS,MATCH("kpi.lease.ocr",RAG_KEY,0))="UP",IF((E447/F447)&gt;=INDEX(RAG_SV,MATCH("kpi.lease.ocr",RAG_KEY,0)),"green",IF((E447/F447)&gt;=INDEX(RAG_SA,MATCH("kpi.lease.ocr",RAG_KEY,0)),"amber","red")),IF((E447/F447)&lt;=INDEX(RAG_SV,MATCH("kpi.lease.ocr",RAG_KEY,0)),"green",IF((E447/F447)&lt;=INDEX(RAG_SA,MATCH("kpi.lease.ocr",RAG_KEY,0)),"amber","red")))),"")</f>
        <v/>
      </c>
    </row>
    <row r="448">
      <c r="C448" s="63">
        <f>IFERROR(IF(LANG="EN",INDEX(I18N_EN,MATCH("kpi.lease.passing",I18N_KEY,0)),INDEX(I18N_FR,MATCH("kpi.lease.passing",I18N_KEY,0))),"kpi.lease.passing")</f>
        <v/>
      </c>
      <c r="D448" s="64" t="inlineStr">
        <is>
          <t>FCFA</t>
        </is>
      </c>
      <c r="E448" s="70">
        <f>IFERROR((INDEX('M3 · Base mensuelle'!$D$18:$AM$18,MATCH(P_END,HDR,0)))/1000000,"")</f>
        <v/>
      </c>
      <c r="F448" s="70">
        <f>IFERROR((SUMPRODUCT((BUD_MONTHS&gt;=MONTH(P_START))*(BUD_MONTHS&lt;=MONTH(P_END))*'M1 · Paramètres'!$H$19:$S$19)/SUMPRODUCT((BUD_MONTHS&gt;=MONTH(P_START))*(BUD_MONTHS&lt;=MONTH(P_END))*1))/1000000,"")</f>
        <v/>
      </c>
      <c r="G448" s="77">
        <f>IFERROR((E448)/(F448)-1,"")</f>
        <v/>
      </c>
      <c r="H448" s="68">
        <f>IF(P448="","",IF(P448="green",IFERROR(IF(LANG="EN",INDEX(I18N_EN,MATCH("rag.green",I18N_KEY,0)),INDEX(I18N_FR,MATCH("rag.green",I18N_KEY,0))),"rag.green"),IF(P448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448" s="3" t="n"/>
      <c r="J448" s="3" t="n"/>
      <c r="K448" s="3" t="n"/>
      <c r="L448" s="3" t="n"/>
      <c r="M448" s="3" t="n"/>
      <c r="N448" s="32" t="n"/>
      <c r="P448" s="69">
        <f>IFERROR(IF(F448=0,"",IF(INDEX(RAG_SENS,MATCH("kpi.lease.passing",RAG_KEY,0))="UP",IF((E448/F448)&gt;=INDEX(RAG_SV,MATCH("kpi.lease.passing",RAG_KEY,0)),"green",IF((E448/F448)&gt;=INDEX(RAG_SA,MATCH("kpi.lease.passing",RAG_KEY,0)),"amber","red")),IF((E448/F448)&lt;=INDEX(RAG_SV,MATCH("kpi.lease.passing",RAG_KEY,0)),"green",IF((E448/F448)&lt;=INDEX(RAG_SA,MATCH("kpi.lease.passing",RAG_KEY,0)),"amber","red")))),"")</f>
        <v/>
      </c>
    </row>
    <row r="449">
      <c r="C449" s="63">
        <f>IFERROR(IF(LANG="EN",INDEX(I18N_EN,MATCH("kpi.lease.incentives",I18N_KEY,0)),INDEX(I18N_FR,MATCH("kpi.lease.incentives",I18N_KEY,0))),"kpi.lease.incentives")</f>
        <v/>
      </c>
      <c r="D449" s="64" t="inlineStr">
        <is>
          <t>FCFA</t>
        </is>
      </c>
      <c r="E449" s="70">
        <f>IFERROR((SUMIFS('M3 · Base mensuelle'!$D$23:$AM$23,HDR,"&gt;="&amp;P_START,HDR,"&lt;="&amp;P_END))/1000000,"")</f>
        <v/>
      </c>
      <c r="F449" s="70">
        <f>IFERROR((SUMPRODUCT((BUD_MONTHS&gt;=MONTH(P_START))*(BUD_MONTHS&lt;=MONTH(P_END))*'M1 · Paramètres'!$H$24:$S$24))/1000000,"")</f>
        <v/>
      </c>
      <c r="G449" s="77">
        <f>IFERROR((E449)/(F449)-1,"")</f>
        <v/>
      </c>
      <c r="H449" s="68">
        <f>IF(P449="","",IF(P449="green",IFERROR(IF(LANG="EN",INDEX(I18N_EN,MATCH("rag.green",I18N_KEY,0)),INDEX(I18N_FR,MATCH("rag.green",I18N_KEY,0))),"rag.green"),IF(P449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449" s="3" t="n"/>
      <c r="J449" s="3" t="n"/>
      <c r="K449" s="3" t="n"/>
      <c r="L449" s="3" t="n"/>
      <c r="M449" s="3" t="n"/>
      <c r="N449" s="32" t="n"/>
      <c r="P449" s="69">
        <f>IFERROR(IF(F449=0,"",IF(INDEX(RAG_SENS,MATCH("kpi.lease.incentives",RAG_KEY,0))="UP",IF((E449/F449)&gt;=INDEX(RAG_SV,MATCH("kpi.lease.incentives",RAG_KEY,0)),"green",IF((E449/F449)&gt;=INDEX(RAG_SA,MATCH("kpi.lease.incentives",RAG_KEY,0)),"amber","red")),IF((E449/F449)&lt;=INDEX(RAG_SV,MATCH("kpi.lease.incentives",RAG_KEY,0)),"green",IF((E449/F449)&lt;=INDEX(RAG_SA,MATCH("kpi.lease.incentives",RAG_KEY,0)),"amber","red")))),"")</f>
        <v/>
      </c>
    </row>
    <row r="450">
      <c r="C450" s="63">
        <f>IFERROR(IF(LANG="EN",INDEX(I18N_EN,MATCH("kpi.lease.rent_sqm",I18N_KEY,0)),INDEX(I18N_FR,MATCH("kpi.lease.rent_sqm",I18N_KEY,0))),"kpi.lease.rent_sqm")</f>
        <v/>
      </c>
      <c r="D450" s="64" t="inlineStr">
        <is>
          <t>FCFA/m²</t>
        </is>
      </c>
      <c r="E450" s="85">
        <f>IFERROR((AVERAGEIFS('M3 · Base mensuelle'!$D$24:$AM$24,HDR,"&gt;="&amp;P_START,HDR,"&lt;="&amp;P_END)),"")</f>
        <v/>
      </c>
      <c r="F450" s="85">
        <f>IFERROR((SUMPRODUCT((BUD_MONTHS&gt;=MONTH(P_START))*(BUD_MONTHS&lt;=MONTH(P_END))*'M1 · Paramètres'!$H$25:$S$25)/SUMPRODUCT((BUD_MONTHS&gt;=MONTH(P_START))*(BUD_MONTHS&lt;=MONTH(P_END))*1)),"")</f>
        <v/>
      </c>
      <c r="G450" s="77">
        <f>IFERROR((E450)/(F450)-1,"")</f>
        <v/>
      </c>
      <c r="H450" s="68">
        <f>IF(P450="","",IF(P450="green",IFERROR(IF(LANG="EN",INDEX(I18N_EN,MATCH("rag.green",I18N_KEY,0)),INDEX(I18N_FR,MATCH("rag.green",I18N_KEY,0))),"rag.green"),IF(P450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450" s="3" t="n"/>
      <c r="J450" s="3" t="n"/>
      <c r="K450" s="3" t="n"/>
      <c r="L450" s="3" t="n"/>
      <c r="M450" s="3" t="n"/>
      <c r="N450" s="32" t="n"/>
      <c r="P450" s="69">
        <f>IFERROR(IF(F450=0,"",IF(INDEX(RAG_SENS,MATCH("kpi.lease.rent_sqm",RAG_KEY,0))="UP",IF((E450/F450)&gt;=INDEX(RAG_SV,MATCH("kpi.lease.rent_sqm",RAG_KEY,0)),"green",IF((E450/F450)&gt;=INDEX(RAG_SA,MATCH("kpi.lease.rent_sqm",RAG_KEY,0)),"amber","red")),IF((E450/F450)&lt;=INDEX(RAG_SV,MATCH("kpi.lease.rent_sqm",RAG_KEY,0)),"green",IF((E450/F450)&lt;=INDEX(RAG_SA,MATCH("kpi.lease.rent_sqm",RAG_KEY,0)),"amber","red")))),"")</f>
        <v/>
      </c>
    </row>
    <row r="451">
      <c r="C451" s="53">
        <f>"💬 "&amp;IFERROR(IF(LANG="EN",INDEX(I18N_EN,MATCH("col.comment",I18N_KEY,0)),INDEX(I18N_FR,MATCH("col.comment",I18N_KEY,0))),"col.comment")</f>
        <v/>
      </c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4" t="n"/>
      <c r="O451" s="5" t="n"/>
    </row>
    <row r="452">
      <c r="C452" s="55">
        <f>IF(LANG="EN","Budget variance commentary.","Commentaire écart budgétaire.")</f>
        <v/>
      </c>
      <c r="D452" s="56" t="n"/>
      <c r="E452" s="56" t="n"/>
      <c r="F452" s="56" t="n"/>
      <c r="G452" s="56" t="n"/>
      <c r="H452" s="56" t="n"/>
      <c r="I452" s="56" t="n"/>
      <c r="J452" s="56" t="n"/>
      <c r="K452" s="56" t="n"/>
      <c r="L452" s="56" t="n"/>
      <c r="M452" s="56" t="n"/>
      <c r="N452" s="56" t="n"/>
      <c r="O452" s="57" t="n"/>
    </row>
    <row r="453">
      <c r="C453" s="50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2" t="n"/>
    </row>
    <row r="454">
      <c r="C454" s="58" t="n"/>
      <c r="D454" s="58" t="n"/>
      <c r="E454" s="58" t="n"/>
      <c r="F454" s="58" t="n"/>
      <c r="G454" s="58" t="n"/>
      <c r="H454" s="58" t="n"/>
      <c r="I454" s="58" t="n"/>
      <c r="J454" s="58" t="n"/>
      <c r="K454" s="58" t="n"/>
      <c r="L454" s="58" t="n"/>
      <c r="M454" s="58" t="n"/>
      <c r="N454" s="58" t="n"/>
      <c r="O454" s="59" t="n"/>
    </row>
    <row r="455">
      <c r="C455" s="60" t="n"/>
      <c r="D455" s="3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22" t="n"/>
    </row>
    <row r="456"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</row>
    <row r="457">
      <c r="C457" s="78" t="n"/>
      <c r="D457" s="78" t="n"/>
      <c r="E457" s="78" t="n"/>
      <c r="F457" s="78" t="n"/>
      <c r="G457" s="78" t="n"/>
      <c r="H457" s="78" t="n"/>
      <c r="I457" s="78" t="n"/>
      <c r="J457" s="78" t="n"/>
      <c r="K457" s="78" t="n"/>
      <c r="L457" s="78" t="n"/>
      <c r="M457" s="78" t="n"/>
      <c r="N457" s="78" t="n"/>
      <c r="O457" s="78" t="n"/>
    </row>
    <row r="458"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</row>
    <row r="459" ht="28" customHeight="1">
      <c r="C459" s="9">
        <f>"         4.   "&amp;IFERROR(IF(LANG="EN",INDEX(I18N_EN,MATCH("dept.rec",I18N_KEY,0)),INDEX(I18N_FR,MATCH("dept.rec",I18N_KEY,0))),"dept.rec")&amp;"   ·   "&amp;IF(LANG="EN",INDEX(MOIS_EN,MONTH(PERIODE)),INDEX(MOIS_FR,MONTH(PERIODE)))&amp;" "&amp;YEAR(PERIODE)</f>
        <v/>
      </c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5">
        <f>"↑ "&amp;IFERROR(IF(LANG="EN",INDEX(I18N_EN,MATCH("nav.summary",I18N_KEY,0)),INDEX(I18N_FR,MATCH("nav.summary",I18N_KEY,0))),"nav.summary")</f>
        <v/>
      </c>
    </row>
    <row r="460">
      <c r="C460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</row>
    <row r="461"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</row>
    <row r="462" ht="5" customHeight="1">
      <c r="C462" s="17" t="n"/>
      <c r="D462" s="38" t="n"/>
      <c r="E462" s="38" t="n"/>
      <c r="F462" s="38" t="n"/>
      <c r="G462" s="38" t="n"/>
      <c r="H462" s="18" t="n"/>
      <c r="I462" s="17" t="n"/>
      <c r="J462" s="38" t="n"/>
      <c r="K462" s="38" t="n"/>
      <c r="L462" s="38" t="n"/>
      <c r="M462" s="38" t="n"/>
      <c r="N462" s="18" t="n"/>
    </row>
    <row r="463" ht="18" customHeight="1">
      <c r="C463" s="39">
        <f>"       "&amp;IFERROR(IF(LANG="EN",INDEX(I18N_EN,MATCH("kpi.rec.ar",I18N_KEY,0)),INDEX(I18N_FR,MATCH("kpi.rec.ar",I18N_KEY,0))),"kpi.rec.ar")</f>
        <v/>
      </c>
      <c r="D463" s="40" t="n"/>
      <c r="E463" s="40" t="n"/>
      <c r="F463" s="40" t="n"/>
      <c r="G463" s="40" t="n"/>
      <c r="H463" s="20" t="n"/>
      <c r="I463" s="39">
        <f>"       "&amp;IFERROR(IF(LANG="EN",INDEX(I18N_EN,MATCH("kpi.rec.aged_0_30",I18N_KEY,0)),INDEX(I18N_FR,MATCH("kpi.rec.aged_0_30",I18N_KEY,0))),"kpi.rec.aged_0_30")</f>
        <v/>
      </c>
      <c r="J463" s="40" t="n"/>
      <c r="K463" s="40" t="n"/>
      <c r="L463" s="40" t="n"/>
      <c r="M463" s="40" t="n"/>
      <c r="N463" s="20" t="n"/>
    </row>
    <row r="464" ht="42" customHeight="1">
      <c r="C464" s="87">
        <f>IFERROR((INDEX('M3 · Base mensuelle'!$D$26:$AM$26,MATCH(P_END,HDR,0)))/1000000,"")</f>
        <v/>
      </c>
      <c r="D464" s="40" t="n"/>
      <c r="E464" s="40" t="n"/>
      <c r="F464" s="40" t="n"/>
      <c r="G464" s="40" t="n"/>
      <c r="H464" s="20" t="n"/>
      <c r="I464" s="87">
        <f>IFERROR((INDEX('M3 · Base mensuelle'!$D$27:$AM$27,MATCH(P_END,HDR,0)))/1000000,"")</f>
        <v/>
      </c>
      <c r="J464" s="40" t="n"/>
      <c r="K464" s="40" t="n"/>
      <c r="L464" s="40" t="n"/>
      <c r="M464" s="40" t="n"/>
      <c r="N464" s="20" t="n"/>
    </row>
    <row r="465" ht="20" customHeight="1">
      <c r="C465" s="42">
        <f>IFERROR((IFERROR((INDEX('M3 · Base mensuelle'!$D$26:$AM$26,MATCH(P_END,HDR,0))),""))/(IFERROR((INDEX('M3 · Base mensuelle'!$D$26:$AM$26,MATCH(PP_END,HDR,0))),""))-1,"")</f>
        <v/>
      </c>
      <c r="D465" s="36" t="n"/>
      <c r="E465" s="36" t="n"/>
      <c r="F465" s="36" t="n"/>
      <c r="G465" s="36" t="n"/>
      <c r="H465" s="22" t="n"/>
      <c r="I465" s="42">
        <f>IFERROR((IFERROR((INDEX('M3 · Base mensuelle'!$D$27:$AM$27,MATCH(P_END,HDR,0))),""))/(IFERROR((INDEX('M3 · Base mensuelle'!$D$27:$AM$27,MATCH(PP_END,HDR,0))),""))-1,"")</f>
        <v/>
      </c>
      <c r="J465" s="36" t="n"/>
      <c r="K465" s="36" t="n"/>
      <c r="L465" s="36" t="n"/>
      <c r="M465" s="36" t="n"/>
      <c r="N465" s="22" t="n"/>
    </row>
    <row r="466"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</row>
    <row r="467" ht="5" customHeight="1">
      <c r="C467" s="17" t="n"/>
      <c r="D467" s="38" t="n"/>
      <c r="E467" s="38" t="n"/>
      <c r="F467" s="38" t="n"/>
      <c r="G467" s="38" t="n"/>
      <c r="H467" s="18" t="n"/>
      <c r="I467" s="17" t="n"/>
      <c r="J467" s="38" t="n"/>
      <c r="K467" s="38" t="n"/>
      <c r="L467" s="38" t="n"/>
      <c r="M467" s="38" t="n"/>
      <c r="N467" s="18" t="n"/>
    </row>
    <row r="468" ht="18" customHeight="1">
      <c r="C468" s="39">
        <f>"       "&amp;IFERROR(IF(LANG="EN",INDEX(I18N_EN,MATCH("kpi.rec.aged_30_60",I18N_KEY,0)),INDEX(I18N_FR,MATCH("kpi.rec.aged_30_60",I18N_KEY,0))),"kpi.rec.aged_30_60")</f>
        <v/>
      </c>
      <c r="D468" s="40" t="n"/>
      <c r="E468" s="40" t="n"/>
      <c r="F468" s="40" t="n"/>
      <c r="G468" s="40" t="n"/>
      <c r="H468" s="20" t="n"/>
      <c r="I468" s="39">
        <f>"       "&amp;IFERROR(IF(LANG="EN",INDEX(I18N_EN,MATCH("kpi.rec.aged_60_90",I18N_KEY,0)),INDEX(I18N_FR,MATCH("kpi.rec.aged_60_90",I18N_KEY,0))),"kpi.rec.aged_60_90")</f>
        <v/>
      </c>
      <c r="J468" s="40" t="n"/>
      <c r="K468" s="40" t="n"/>
      <c r="L468" s="40" t="n"/>
      <c r="M468" s="40" t="n"/>
      <c r="N468" s="20" t="n"/>
    </row>
    <row r="469" ht="42" customHeight="1">
      <c r="C469" s="87">
        <f>IFERROR((INDEX('M3 · Base mensuelle'!$D$28:$AM$28,MATCH(P_END,HDR,0)))/1000000,"")</f>
        <v/>
      </c>
      <c r="D469" s="40" t="n"/>
      <c r="E469" s="40" t="n"/>
      <c r="F469" s="40" t="n"/>
      <c r="G469" s="40" t="n"/>
      <c r="H469" s="20" t="n"/>
      <c r="I469" s="87">
        <f>IFERROR((INDEX('M3 · Base mensuelle'!$D$29:$AM$29,MATCH(P_END,HDR,0)))/1000000,"")</f>
        <v/>
      </c>
      <c r="J469" s="40" t="n"/>
      <c r="K469" s="40" t="n"/>
      <c r="L469" s="40" t="n"/>
      <c r="M469" s="40" t="n"/>
      <c r="N469" s="20" t="n"/>
    </row>
    <row r="470" ht="20" customHeight="1">
      <c r="C470" s="42">
        <f>IFERROR((IFERROR((INDEX('M3 · Base mensuelle'!$D$28:$AM$28,MATCH(P_END,HDR,0))),""))/(IFERROR((INDEX('M3 · Base mensuelle'!$D$28:$AM$28,MATCH(PP_END,HDR,0))),""))-1,"")</f>
        <v/>
      </c>
      <c r="D470" s="36" t="n"/>
      <c r="E470" s="36" t="n"/>
      <c r="F470" s="36" t="n"/>
      <c r="G470" s="36" t="n"/>
      <c r="H470" s="22" t="n"/>
      <c r="I470" s="42">
        <f>IFERROR((IFERROR((INDEX('M3 · Base mensuelle'!$D$29:$AM$29,MATCH(P_END,HDR,0))),""))/(IFERROR((INDEX('M3 · Base mensuelle'!$D$29:$AM$29,MATCH(PP_END,HDR,0))),""))-1,"")</f>
        <v/>
      </c>
      <c r="J470" s="36" t="n"/>
      <c r="K470" s="36" t="n"/>
      <c r="L470" s="36" t="n"/>
      <c r="M470" s="36" t="n"/>
      <c r="N470" s="22" t="n"/>
    </row>
    <row r="471"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</row>
    <row r="472"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</row>
    <row r="473">
      <c r="C473" s="43">
        <f>"▌ "&amp;IFERROR(IF(LANG="EN",INDEX(I18N_EN,MATCH("kpi.rec.ar",I18N_KEY,0)),INDEX(I18N_FR,MATCH("kpi.rec.ar",I18N_KEY,0))),"kpi.rec.ar")&amp;" — 12 mois / 12M"</f>
        <v/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</row>
    <row r="474"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</row>
    <row r="475"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</row>
    <row r="476"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</row>
    <row r="477"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</row>
    <row r="478"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</row>
    <row r="479"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</row>
    <row r="480"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</row>
    <row r="481"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</row>
    <row r="482"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</row>
    <row r="483"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</row>
    <row r="484"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</row>
    <row r="485">
      <c r="C485" s="43">
        <f>"▌ "&amp;IF(LANG="EN","Key gauges","Jauges clés")</f>
        <v/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</row>
    <row r="486">
      <c r="C486" s="44">
        <f>IFERROR(IF(LANG="EN",INDEX(I18N_EN,MATCH("kpi.rec.recovery",I18N_KEY,0)),INDEX(I18N_FR,MATCH("kpi.rec.recovery",I18N_KEY,0))),"kpi.rec.recovery")</f>
        <v/>
      </c>
      <c r="D486" s="3" t="n"/>
      <c r="E486" s="3" t="n"/>
      <c r="F486" s="3" t="n"/>
      <c r="G486" s="44">
        <f>IFERROR(IF(LANG="EN",INDEX(I18N_EN,MATCH("kpi.rec.promise_kept",I18N_KEY,0)),INDEX(I18N_FR,MATCH("kpi.rec.promise_kept",I18N_KEY,0))),"kpi.rec.promise_kept")</f>
        <v/>
      </c>
      <c r="H486" s="3" t="n"/>
      <c r="I486" s="3" t="n"/>
      <c r="J486" s="3" t="n"/>
      <c r="K486" s="44">
        <f>IFERROR(IF(LANG="EN",INDEX(I18N_EN,MATCH("kpi.rec.provision",I18N_KEY,0)),INDEX(I18N_FR,MATCH("kpi.rec.provision",I18N_KEY,0))),"kpi.rec.provision")</f>
        <v/>
      </c>
      <c r="L486" s="3" t="n"/>
      <c r="M486" s="3" t="n"/>
      <c r="N486" s="3" t="n"/>
    </row>
    <row r="487"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</row>
    <row r="488"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</row>
    <row r="489"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</row>
    <row r="490"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</row>
    <row r="491"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</row>
    <row r="492"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</row>
    <row r="493"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</row>
    <row r="494">
      <c r="C494" s="45">
        <f>IFERROR((AVERAGEIFS('M3 · Base mensuelle'!$D$32:$AM$32,HDR,"&gt;="&amp;P_START,HDR,"&lt;="&amp;P_END)),"")</f>
        <v/>
      </c>
      <c r="D494" s="3" t="n"/>
      <c r="E494" s="3" t="n"/>
      <c r="F494" s="3" t="n"/>
      <c r="G494" s="45">
        <f>IFERROR((AVERAGEIFS('M3 · Base mensuelle'!$D$37:$AM$37,HDR,"&gt;="&amp;P_START,HDR,"&lt;="&amp;P_END)),"")</f>
        <v/>
      </c>
      <c r="H494" s="3" t="n"/>
      <c r="I494" s="3" t="n"/>
      <c r="J494" s="3" t="n"/>
      <c r="K494" s="45">
        <f>IFERROR((AVERAGEIFS('M3 · Base mensuelle'!$D$39:$AM$39,HDR,"&gt;="&amp;P_START,HDR,"&lt;="&amp;P_END)),"")</f>
        <v/>
      </c>
      <c r="L494" s="3" t="n"/>
      <c r="M494" s="3" t="n"/>
      <c r="N494" s="3" t="n"/>
    </row>
    <row r="495"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</row>
    <row r="496"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</row>
    <row r="497"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</row>
    <row r="498" ht="19" customHeight="1">
      <c r="C498" s="46">
        <f>"▸  4.1  "&amp;IF(LANG="EN","Rental Invoices to Recover — DSO −30d","Factures à recouvrer — DSO −30 j")</f>
        <v/>
      </c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8" t="n"/>
      <c r="O498" s="1" t="n"/>
    </row>
    <row r="499">
      <c r="C499" s="80" t="inlineStr">
        <is>
          <t>Facture / Invoice</t>
        </is>
      </c>
      <c r="D499" s="81" t="inlineStr">
        <is>
          <t>Locataire / Tenant</t>
        </is>
      </c>
      <c r="E499" s="62" t="inlineStr">
        <is>
          <t>Montant / Amount</t>
        </is>
      </c>
      <c r="F499" s="81" t="inlineStr">
        <is>
          <t>Échéance / Due</t>
        </is>
      </c>
      <c r="G499" s="62" t="inlineStr">
        <is>
          <t>Âge (j) / Age</t>
        </is>
      </c>
      <c r="H499" s="3" t="n"/>
      <c r="I499" s="3" t="n"/>
      <c r="J499" s="3" t="n"/>
      <c r="K499" s="3" t="n"/>
      <c r="L499" s="3" t="n"/>
      <c r="M499" s="3" t="n"/>
      <c r="N499" s="32" t="n"/>
    </row>
    <row r="500">
      <c r="C500" s="82" t="inlineStr">
        <is>
          <t>INV-2601</t>
        </is>
      </c>
      <c r="D500" s="84" t="inlineStr">
        <is>
          <t>Zara</t>
        </is>
      </c>
      <c r="E500" s="83" t="n">
        <v>11200000</v>
      </c>
      <c r="F500" s="84" t="inlineStr">
        <is>
          <t>2026-06-15</t>
        </is>
      </c>
      <c r="G500" s="83" t="n">
        <v>12</v>
      </c>
      <c r="H500" s="3" t="n"/>
      <c r="I500" s="3" t="n"/>
      <c r="J500" s="3" t="n"/>
      <c r="K500" s="3" t="n"/>
      <c r="L500" s="3" t="n"/>
      <c r="M500" s="3" t="n"/>
      <c r="N500" s="32" t="n"/>
    </row>
    <row r="501">
      <c r="C501" s="82" t="inlineStr">
        <is>
          <t>INV-2602</t>
        </is>
      </c>
      <c r="D501" s="84" t="inlineStr">
        <is>
          <t>Nike</t>
        </is>
      </c>
      <c r="E501" s="83" t="n">
        <v>8700000</v>
      </c>
      <c r="F501" s="84" t="inlineStr">
        <is>
          <t>2026-06-18</t>
        </is>
      </c>
      <c r="G501" s="83" t="n">
        <v>9</v>
      </c>
      <c r="H501" s="3" t="n"/>
      <c r="I501" s="3" t="n"/>
      <c r="J501" s="3" t="n"/>
      <c r="K501" s="3" t="n"/>
      <c r="L501" s="3" t="n"/>
      <c r="M501" s="3" t="n"/>
      <c r="N501" s="32" t="n"/>
    </row>
    <row r="502">
      <c r="C502" s="82" t="inlineStr">
        <is>
          <t>INV-2603</t>
        </is>
      </c>
      <c r="D502" s="84" t="inlineStr">
        <is>
          <t>KFC</t>
        </is>
      </c>
      <c r="E502" s="83" t="n">
        <v>7800000</v>
      </c>
      <c r="F502" s="84" t="inlineStr">
        <is>
          <t>2026-06-20</t>
        </is>
      </c>
      <c r="G502" s="83" t="n">
        <v>7</v>
      </c>
      <c r="H502" s="3" t="n"/>
      <c r="I502" s="3" t="n"/>
      <c r="J502" s="3" t="n"/>
      <c r="K502" s="3" t="n"/>
      <c r="L502" s="3" t="n"/>
      <c r="M502" s="3" t="n"/>
      <c r="N502" s="32" t="n"/>
    </row>
    <row r="503">
      <c r="C503" s="82" t="inlineStr">
        <is>
          <t>INV-2604</t>
        </is>
      </c>
      <c r="D503" s="84" t="inlineStr">
        <is>
          <t>Game</t>
        </is>
      </c>
      <c r="E503" s="83" t="n">
        <v>7300000</v>
      </c>
      <c r="F503" s="84" t="inlineStr">
        <is>
          <t>2026-06-22</t>
        </is>
      </c>
      <c r="G503" s="83" t="n">
        <v>5</v>
      </c>
      <c r="H503" s="3" t="n"/>
      <c r="I503" s="3" t="n"/>
      <c r="J503" s="3" t="n"/>
      <c r="K503" s="3" t="n"/>
      <c r="L503" s="3" t="n"/>
      <c r="M503" s="3" t="n"/>
      <c r="N503" s="32" t="n"/>
    </row>
    <row r="504">
      <c r="C504" s="82" t="inlineStr">
        <is>
          <t>INV-2605</t>
        </is>
      </c>
      <c r="D504" s="84" t="inlineStr">
        <is>
          <t>Orange</t>
        </is>
      </c>
      <c r="E504" s="83" t="n">
        <v>6200000</v>
      </c>
      <c r="F504" s="84" t="inlineStr">
        <is>
          <t>2026-06-25</t>
        </is>
      </c>
      <c r="G504" s="83" t="n">
        <v>2</v>
      </c>
      <c r="H504" s="3" t="n"/>
      <c r="I504" s="3" t="n"/>
      <c r="J504" s="3" t="n"/>
      <c r="K504" s="3" t="n"/>
      <c r="L504" s="3" t="n"/>
      <c r="M504" s="3" t="n"/>
      <c r="N504" s="32" t="n"/>
    </row>
    <row r="505">
      <c r="C505" s="50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2" t="n"/>
    </row>
    <row r="506">
      <c r="C506" s="50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2" t="n"/>
    </row>
    <row r="507">
      <c r="C507" s="50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2" t="n"/>
    </row>
    <row r="508">
      <c r="C508" s="50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2" t="n"/>
    </row>
    <row r="509">
      <c r="C509" s="50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2" t="n"/>
    </row>
    <row r="510">
      <c r="C510" s="50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2" t="n"/>
    </row>
    <row r="511">
      <c r="C511" s="50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2" t="n"/>
    </row>
    <row r="512">
      <c r="C512" s="50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2" t="n"/>
    </row>
    <row r="513">
      <c r="C513" s="53">
        <f>"💬 "&amp;IFERROR(IF(LANG="EN",INDEX(I18N_EN,MATCH("col.comment",I18N_KEY,0)),INDEX(I18N_FR,MATCH("col.comment",I18N_KEY,0))),"col.comment")</f>
        <v/>
      </c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4" t="n"/>
      <c r="O513" s="5" t="n"/>
    </row>
    <row r="514">
      <c r="C514" s="55">
        <f>IF(LANG="EN","Commentary / data source: management systems (demo).","Commentaire / source : systèmes de gestion (démo).")</f>
        <v/>
      </c>
      <c r="D514" s="56" t="n"/>
      <c r="E514" s="56" t="n"/>
      <c r="F514" s="56" t="n"/>
      <c r="G514" s="56" t="n"/>
      <c r="H514" s="56" t="n"/>
      <c r="I514" s="56" t="n"/>
      <c r="J514" s="56" t="n"/>
      <c r="K514" s="56" t="n"/>
      <c r="L514" s="56" t="n"/>
      <c r="M514" s="56" t="n"/>
      <c r="N514" s="56" t="n"/>
      <c r="O514" s="57" t="n"/>
    </row>
    <row r="515">
      <c r="C515" s="50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2" t="n"/>
    </row>
    <row r="516">
      <c r="C516" s="58" t="n"/>
      <c r="D516" s="58" t="n"/>
      <c r="E516" s="58" t="n"/>
      <c r="F516" s="58" t="n"/>
      <c r="G516" s="58" t="n"/>
      <c r="H516" s="58" t="n"/>
      <c r="I516" s="58" t="n"/>
      <c r="J516" s="58" t="n"/>
      <c r="K516" s="58" t="n"/>
      <c r="L516" s="58" t="n"/>
      <c r="M516" s="58" t="n"/>
      <c r="N516" s="58" t="n"/>
      <c r="O516" s="59" t="n"/>
    </row>
    <row r="517">
      <c r="C517" s="60" t="n"/>
      <c r="D517" s="3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22" t="n"/>
    </row>
    <row r="518"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</row>
    <row r="519" ht="19" customHeight="1">
      <c r="C519" s="46">
        <f>"▸  4.2  "&amp;IF(LANG="EN","Invoices to Recover — DSO +30d","Factures à recouvrer — DSO +30 j")</f>
        <v/>
      </c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  <c r="N519" s="48" t="n"/>
      <c r="O519" s="1" t="n"/>
    </row>
    <row r="520">
      <c r="C520" s="80" t="inlineStr">
        <is>
          <t>Facture / Invoice</t>
        </is>
      </c>
      <c r="D520" s="81" t="inlineStr">
        <is>
          <t>Locataire / Tenant</t>
        </is>
      </c>
      <c r="E520" s="62" t="inlineStr">
        <is>
          <t>Montant / Amount</t>
        </is>
      </c>
      <c r="F520" s="81" t="inlineStr">
        <is>
          <t>Échéance / Due</t>
        </is>
      </c>
      <c r="G520" s="62" t="inlineStr">
        <is>
          <t>Âge (j) / Age</t>
        </is>
      </c>
      <c r="H520" s="3" t="n"/>
      <c r="I520" s="3" t="n"/>
      <c r="J520" s="3" t="n"/>
      <c r="K520" s="3" t="n"/>
      <c r="L520" s="3" t="n"/>
      <c r="M520" s="3" t="n"/>
      <c r="N520" s="32" t="n"/>
    </row>
    <row r="521">
      <c r="C521" s="82" t="inlineStr">
        <is>
          <t>INV-2588</t>
        </is>
      </c>
      <c r="D521" s="84" t="inlineStr">
        <is>
          <t>Mango</t>
        </is>
      </c>
      <c r="E521" s="83" t="n">
        <v>9400000</v>
      </c>
      <c r="F521" s="84" t="inlineStr">
        <is>
          <t>2026-04-30</t>
        </is>
      </c>
      <c r="G521" s="83" t="n">
        <v>47</v>
      </c>
      <c r="H521" s="3" t="n"/>
      <c r="I521" s="3" t="n"/>
      <c r="J521" s="3" t="n"/>
      <c r="K521" s="3" t="n"/>
      <c r="L521" s="3" t="n"/>
      <c r="M521" s="3" t="n"/>
      <c r="N521" s="32" t="n"/>
    </row>
    <row r="522">
      <c r="C522" s="82" t="inlineStr">
        <is>
          <t>INV-2576</t>
        </is>
      </c>
      <c r="D522" s="84" t="inlineStr">
        <is>
          <t>Celio</t>
        </is>
      </c>
      <c r="E522" s="83" t="n">
        <v>6100000</v>
      </c>
      <c r="F522" s="84" t="inlineStr">
        <is>
          <t>2026-04-12</t>
        </is>
      </c>
      <c r="G522" s="83" t="n">
        <v>65</v>
      </c>
      <c r="H522" s="3" t="n"/>
      <c r="I522" s="3" t="n"/>
      <c r="J522" s="3" t="n"/>
      <c r="K522" s="3" t="n"/>
      <c r="L522" s="3" t="n"/>
      <c r="M522" s="3" t="n"/>
      <c r="N522" s="32" t="n"/>
    </row>
    <row r="523">
      <c r="C523" s="82" t="inlineStr">
        <is>
          <t>INV-2560</t>
        </is>
      </c>
      <c r="D523" s="84" t="inlineStr">
        <is>
          <t>Jennyfer</t>
        </is>
      </c>
      <c r="E523" s="83" t="n">
        <v>4800000</v>
      </c>
      <c r="F523" s="84" t="inlineStr">
        <is>
          <t>2026-03-28</t>
        </is>
      </c>
      <c r="G523" s="83" t="n">
        <v>80</v>
      </c>
      <c r="H523" s="3" t="n"/>
      <c r="I523" s="3" t="n"/>
      <c r="J523" s="3" t="n"/>
      <c r="K523" s="3" t="n"/>
      <c r="L523" s="3" t="n"/>
      <c r="M523" s="3" t="n"/>
      <c r="N523" s="32" t="n"/>
    </row>
    <row r="524">
      <c r="C524" s="82" t="inlineStr">
        <is>
          <t>INV-2541</t>
        </is>
      </c>
      <c r="D524" s="84" t="inlineStr">
        <is>
          <t>Bata</t>
        </is>
      </c>
      <c r="E524" s="83" t="n">
        <v>3900000</v>
      </c>
      <c r="F524" s="84" t="inlineStr">
        <is>
          <t>2026-03-05</t>
        </is>
      </c>
      <c r="G524" s="83" t="n">
        <v>103</v>
      </c>
      <c r="H524" s="3" t="n"/>
      <c r="I524" s="3" t="n"/>
      <c r="J524" s="3" t="n"/>
      <c r="K524" s="3" t="n"/>
      <c r="L524" s="3" t="n"/>
      <c r="M524" s="3" t="n"/>
      <c r="N524" s="32" t="n"/>
    </row>
    <row r="525">
      <c r="C525" s="50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2" t="n"/>
    </row>
    <row r="526">
      <c r="C526" s="50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2" t="n"/>
    </row>
    <row r="527">
      <c r="C527" s="50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2" t="n"/>
    </row>
    <row r="528">
      <c r="C528" s="50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2" t="n"/>
    </row>
    <row r="529">
      <c r="C529" s="50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2" t="n"/>
    </row>
    <row r="530">
      <c r="C530" s="50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2" t="n"/>
    </row>
    <row r="531">
      <c r="C531" s="50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2" t="n"/>
    </row>
    <row r="532">
      <c r="C532" s="50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2" t="n"/>
    </row>
    <row r="533">
      <c r="C533" s="53">
        <f>"💬 "&amp;IFERROR(IF(LANG="EN",INDEX(I18N_EN,MATCH("col.comment",I18N_KEY,0)),INDEX(I18N_FR,MATCH("col.comment",I18N_KEY,0))),"col.comment")</f>
        <v/>
      </c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4" t="n"/>
      <c r="O533" s="5" t="n"/>
    </row>
    <row r="534">
      <c r="C534" s="55">
        <f>IF(LANG="EN","Commentary / data source: management systems (demo).","Commentaire / source : systèmes de gestion (démo).")</f>
        <v/>
      </c>
      <c r="D534" s="56" t="n"/>
      <c r="E534" s="56" t="n"/>
      <c r="F534" s="56" t="n"/>
      <c r="G534" s="56" t="n"/>
      <c r="H534" s="56" t="n"/>
      <c r="I534" s="56" t="n"/>
      <c r="J534" s="56" t="n"/>
      <c r="K534" s="56" t="n"/>
      <c r="L534" s="56" t="n"/>
      <c r="M534" s="56" t="n"/>
      <c r="N534" s="56" t="n"/>
      <c r="O534" s="57" t="n"/>
    </row>
    <row r="535">
      <c r="C535" s="50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2" t="n"/>
    </row>
    <row r="536">
      <c r="C536" s="58" t="n"/>
      <c r="D536" s="58" t="n"/>
      <c r="E536" s="58" t="n"/>
      <c r="F536" s="58" t="n"/>
      <c r="G536" s="58" t="n"/>
      <c r="H536" s="58" t="n"/>
      <c r="I536" s="58" t="n"/>
      <c r="J536" s="58" t="n"/>
      <c r="K536" s="58" t="n"/>
      <c r="L536" s="58" t="n"/>
      <c r="M536" s="58" t="n"/>
      <c r="N536" s="58" t="n"/>
      <c r="O536" s="59" t="n"/>
    </row>
    <row r="537">
      <c r="C537" s="60" t="n"/>
      <c r="D537" s="3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22" t="n"/>
    </row>
    <row r="538"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</row>
    <row r="539" ht="19" customHeight="1">
      <c r="C539" s="46">
        <f>"▸  4.3  "&amp;IF(LANG="EN","Other Revenue","Autres revenus")</f>
        <v/>
      </c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  <c r="N539" s="48" t="n"/>
      <c r="O539" s="1" t="n"/>
    </row>
    <row r="540">
      <c r="C540" s="80" t="inlineStr">
        <is>
          <t>Source</t>
        </is>
      </c>
      <c r="D540" s="62" t="inlineStr">
        <is>
          <t>Montant / Amount</t>
        </is>
      </c>
      <c r="E540" s="81" t="inlineStr">
        <is>
          <t>Statut / Status</t>
        </is>
      </c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2" t="n"/>
    </row>
    <row r="541">
      <c r="C541" s="82" t="inlineStr">
        <is>
          <t>Parking</t>
        </is>
      </c>
      <c r="D541" s="83" t="n">
        <v>18500000</v>
      </c>
      <c r="E541" s="84" t="inlineStr">
        <is>
          <t>Encaissé / Collected</t>
        </is>
      </c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2" t="n"/>
    </row>
    <row r="542">
      <c r="C542" s="82" t="inlineStr">
        <is>
          <t>Régie publicitaire / Media</t>
        </is>
      </c>
      <c r="D542" s="83" t="n">
        <v>12000000</v>
      </c>
      <c r="E542" s="84" t="inlineStr">
        <is>
          <t>Encaissé / Collected</t>
        </is>
      </c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2" t="n"/>
    </row>
    <row r="543">
      <c r="C543" s="82" t="inlineStr">
        <is>
          <t>Kiosques / Kiosks</t>
        </is>
      </c>
      <c r="D543" s="83" t="n">
        <v>6400000</v>
      </c>
      <c r="E543" s="84" t="inlineStr">
        <is>
          <t>Partiel / Partial</t>
        </is>
      </c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2" t="n"/>
    </row>
    <row r="544">
      <c r="C544" s="82" t="inlineStr">
        <is>
          <t>Pop-up stores</t>
        </is>
      </c>
      <c r="D544" s="83" t="n">
        <v>4200000</v>
      </c>
      <c r="E544" s="84" t="inlineStr">
        <is>
          <t>Encaissé / Collected</t>
        </is>
      </c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2" t="n"/>
    </row>
    <row r="545">
      <c r="C545" s="82" t="inlineStr">
        <is>
          <t>Locations événementielles / Event hire</t>
        </is>
      </c>
      <c r="D545" s="83" t="n">
        <v>3100000</v>
      </c>
      <c r="E545" s="84" t="inlineStr">
        <is>
          <t>En attente / Pending</t>
        </is>
      </c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2" t="n"/>
    </row>
    <row r="546">
      <c r="C546" s="50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2" t="n"/>
    </row>
    <row r="547">
      <c r="C547" s="50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2" t="n"/>
    </row>
    <row r="548">
      <c r="C548" s="50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2" t="n"/>
    </row>
    <row r="549">
      <c r="C549" s="50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2" t="n"/>
    </row>
    <row r="550">
      <c r="C550" s="50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2" t="n"/>
    </row>
    <row r="551">
      <c r="C551" s="50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2" t="n"/>
    </row>
    <row r="552">
      <c r="C552" s="50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2" t="n"/>
    </row>
    <row r="553">
      <c r="C553" s="50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2" t="n"/>
    </row>
    <row r="554">
      <c r="C554" s="53">
        <f>"💬 "&amp;IFERROR(IF(LANG="EN",INDEX(I18N_EN,MATCH("col.comment",I18N_KEY,0)),INDEX(I18N_FR,MATCH("col.comment",I18N_KEY,0))),"col.comment")</f>
        <v/>
      </c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4" t="n"/>
      <c r="O554" s="5" t="n"/>
    </row>
    <row r="555">
      <c r="C555" s="55">
        <f>IF(LANG="EN","Commentary / data source: management systems (demo).","Commentaire / source : systèmes de gestion (démo).")</f>
        <v/>
      </c>
      <c r="D555" s="56" t="n"/>
      <c r="E555" s="56" t="n"/>
      <c r="F555" s="56" t="n"/>
      <c r="G555" s="56" t="n"/>
      <c r="H555" s="56" t="n"/>
      <c r="I555" s="56" t="n"/>
      <c r="J555" s="56" t="n"/>
      <c r="K555" s="56" t="n"/>
      <c r="L555" s="56" t="n"/>
      <c r="M555" s="56" t="n"/>
      <c r="N555" s="56" t="n"/>
      <c r="O555" s="57" t="n"/>
    </row>
    <row r="556">
      <c r="C556" s="50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2" t="n"/>
    </row>
    <row r="557">
      <c r="C557" s="58" t="n"/>
      <c r="D557" s="58" t="n"/>
      <c r="E557" s="58" t="n"/>
      <c r="F557" s="58" t="n"/>
      <c r="G557" s="58" t="n"/>
      <c r="H557" s="58" t="n"/>
      <c r="I557" s="58" t="n"/>
      <c r="J557" s="58" t="n"/>
      <c r="K557" s="58" t="n"/>
      <c r="L557" s="58" t="n"/>
      <c r="M557" s="58" t="n"/>
      <c r="N557" s="58" t="n"/>
      <c r="O557" s="59" t="n"/>
    </row>
    <row r="558">
      <c r="C558" s="60" t="n"/>
      <c r="D558" s="3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22" t="n"/>
    </row>
    <row r="559"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</row>
    <row r="560" ht="19" customHeight="1">
      <c r="C560" s="46">
        <f>"▸  4.4  "&amp;IF(LANG="EN","Details of Cash Receipts","Détail des encaissements")</f>
        <v/>
      </c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  <c r="N560" s="48" t="n"/>
      <c r="O560" s="1" t="n"/>
    </row>
    <row r="561">
      <c r="C561" s="61">
        <f>IFERROR(IF(LANG="EN",INDEX(I18N_EN,MATCH("col.kpi",I18N_KEY,0)),INDEX(I18N_FR,MATCH("col.kpi",I18N_KEY,0))),"col.kpi")</f>
        <v/>
      </c>
      <c r="D561" s="62">
        <f>IFERROR(IF(LANG="EN",INDEX(I18N_EN,MATCH("col.unit",I18N_KEY,0)),INDEX(I18N_FR,MATCH("col.unit",I18N_KEY,0))),"col.unit")</f>
        <v/>
      </c>
      <c r="E561" s="62">
        <f>IFERROR(IF(LANG="EN",INDEX(I18N_EN,MATCH("col.current",I18N_KEY,0)),INDEX(I18N_FR,MATCH("col.current",I18N_KEY,0))),"col.current")</f>
        <v/>
      </c>
      <c r="F561" s="62">
        <f>IFERROR(IF(LANG="EN",INDEX(I18N_EN,MATCH("col.prev",I18N_KEY,0)),INDEX(I18N_FR,MATCH("col.prev",I18N_KEY,0))),"col.prev")</f>
        <v/>
      </c>
      <c r="G561" s="62">
        <f>IFERROR(IF(LANG="EN",INDEX(I18N_EN,MATCH("col.delta_prev",I18N_KEY,0)),INDEX(I18N_FR,MATCH("col.delta_prev",I18N_KEY,0))),"col.delta_prev")</f>
        <v/>
      </c>
      <c r="H561" s="62">
        <f>IFERROR(IF(LANG="EN",INDEX(I18N_EN,MATCH("col.py",I18N_KEY,0)),INDEX(I18N_FR,MATCH("col.py",I18N_KEY,0))),"col.py")</f>
        <v/>
      </c>
      <c r="I561" s="62">
        <f>IFERROR(IF(LANG="EN",INDEX(I18N_EN,MATCH("col.delta_py",I18N_KEY,0)),INDEX(I18N_FR,MATCH("col.delta_py",I18N_KEY,0))),"col.delta_py")</f>
        <v/>
      </c>
      <c r="J561" s="62">
        <f>IFERROR(IF(LANG="EN",INDEX(I18N_EN,MATCH("col.budget",I18N_KEY,0)),INDEX(I18N_FR,MATCH("col.budget",I18N_KEY,0))),"col.budget")</f>
        <v/>
      </c>
      <c r="K561" s="62">
        <f>IFERROR(IF(LANG="EN",INDEX(I18N_EN,MATCH("col.var",I18N_KEY,0)),INDEX(I18N_FR,MATCH("col.var",I18N_KEY,0))),"col.var")</f>
        <v/>
      </c>
      <c r="L561" s="62">
        <f>IFERROR(IF(LANG="EN",INDEX(I18N_EN,MATCH("col.rag",I18N_KEY,0)),INDEX(I18N_FR,MATCH("col.rag",I18N_KEY,0))),"col.rag")</f>
        <v/>
      </c>
      <c r="M561" s="3" t="n"/>
      <c r="N561" s="32" t="n"/>
    </row>
    <row r="562">
      <c r="C562" s="63">
        <f>IFERROR(IF(LANG="EN",INDEX(I18N_EN,MATCH("kpi.rec.collected",I18N_KEY,0)),INDEX(I18N_FR,MATCH("kpi.rec.collected",I18N_KEY,0))),"kpi.rec.collected")</f>
        <v/>
      </c>
      <c r="D562" s="64" t="inlineStr">
        <is>
          <t>FCFA</t>
        </is>
      </c>
      <c r="E562" s="70">
        <f>IFERROR((SUMIFS('M3 · Base mensuelle'!$D$33:$AM$33,HDR,"&gt;="&amp;P_START,HDR,"&lt;="&amp;P_END))/1000000,"")</f>
        <v/>
      </c>
      <c r="F562" s="70">
        <f>IFERROR((SUMIFS('M3 · Base mensuelle'!$D$33:$AM$33,HDR,"&gt;="&amp;PP_START,HDR,"&lt;="&amp;PP_END))/1000000,"")</f>
        <v/>
      </c>
      <c r="G562" s="66">
        <f>IFERROR((E562)/(F562)-1,"")</f>
        <v/>
      </c>
      <c r="H562" s="70">
        <f>IFERROR((SUMIFS('M3 · Base mensuelle'!$D$33:$AM$33,HDR,"&gt;="&amp;PY_START,HDR,"&lt;="&amp;PY_END))/1000000,"")</f>
        <v/>
      </c>
      <c r="I562" s="66">
        <f>IFERROR((E562)/(H562)-1,"")</f>
        <v/>
      </c>
      <c r="J562" s="70">
        <f>IFERROR((SUMPRODUCT((BUD_MONTHS&gt;=MONTH(P_START))*(BUD_MONTHS&lt;=MONTH(P_END))*'M1 · Paramètres'!$H$34:$S$34))/1000000,"")</f>
        <v/>
      </c>
      <c r="K562" s="66">
        <f>IFERROR((E562)/(J562)-1,"")</f>
        <v/>
      </c>
      <c r="L562" s="68">
        <f>IF(O562="","",IF(O562="green",IFERROR(IF(LANG="EN",INDEX(I18N_EN,MATCH("rag.green",I18N_KEY,0)),INDEX(I18N_FR,MATCH("rag.green",I18N_KEY,0))),"rag.green"),IF(O562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2" s="3" t="n"/>
      <c r="N562" s="32" t="n"/>
      <c r="O562" s="69">
        <f>IFERROR(IF(IF(N(J562)&gt;0,J562,H562)=0,"",IF(INDEX(RAG_SENS,MATCH("kpi.rec.collected",RAG_KEY,0))="UP",IF((E562/IF(N(J562)&gt;0,J562,H562))&gt;=INDEX(RAG_SV,MATCH("kpi.rec.collected",RAG_KEY,0)),"green",IF((E562/IF(N(J562)&gt;0,J562,H562))&gt;=INDEX(RAG_SA,MATCH("kpi.rec.collected",RAG_KEY,0)),"amber","red")),IF((E562/IF(N(J562)&gt;0,J562,H562))&lt;=INDEX(RAG_SV,MATCH("kpi.rec.collected",RAG_KEY,0)),"green",IF((E562/IF(N(J562)&gt;0,J562,H562))&lt;=INDEX(RAG_SA,MATCH("kpi.rec.collected",RAG_KEY,0)),"amber","red")))),"")</f>
        <v/>
      </c>
    </row>
    <row r="563">
      <c r="C563" s="63">
        <f>IFERROR(IF(LANG="EN",INDEX(I18N_EN,MATCH("kpi.rec.billed",I18N_KEY,0)),INDEX(I18N_FR,MATCH("kpi.rec.billed",I18N_KEY,0))),"kpi.rec.billed")</f>
        <v/>
      </c>
      <c r="D563" s="64" t="inlineStr">
        <is>
          <t>FCFA</t>
        </is>
      </c>
      <c r="E563" s="70">
        <f>IFERROR((SUMIFS('M3 · Base mensuelle'!$D$34:$AM$34,HDR,"&gt;="&amp;P_START,HDR,"&lt;="&amp;P_END))/1000000,"")</f>
        <v/>
      </c>
      <c r="F563" s="70">
        <f>IFERROR((SUMIFS('M3 · Base mensuelle'!$D$34:$AM$34,HDR,"&gt;="&amp;PP_START,HDR,"&lt;="&amp;PP_END))/1000000,"")</f>
        <v/>
      </c>
      <c r="G563" s="66">
        <f>IFERROR((E563)/(F563)-1,"")</f>
        <v/>
      </c>
      <c r="H563" s="70">
        <f>IFERROR((SUMIFS('M3 · Base mensuelle'!$D$34:$AM$34,HDR,"&gt;="&amp;PY_START,HDR,"&lt;="&amp;PY_END))/1000000,"")</f>
        <v/>
      </c>
      <c r="I563" s="66">
        <f>IFERROR((E563)/(H563)-1,"")</f>
        <v/>
      </c>
      <c r="J563" s="67" t="n"/>
      <c r="K563" s="66">
        <f>IFERROR((E563)/(J563)-1,"")</f>
        <v/>
      </c>
      <c r="L563" s="68">
        <f>IF(O563="","",IF(O563="green",IFERROR(IF(LANG="EN",INDEX(I18N_EN,MATCH("rag.green",I18N_KEY,0)),INDEX(I18N_FR,MATCH("rag.green",I18N_KEY,0))),"rag.green"),IF(O563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3" s="3" t="n"/>
      <c r="N563" s="32" t="n"/>
      <c r="O563" s="69">
        <f>IFERROR(IF(IF(N(J563)&gt;0,J563,H563)=0,"",IF(INDEX(RAG_SENS,MATCH("kpi.rec.billed",RAG_KEY,0))="UP",IF((E563/IF(N(J563)&gt;0,J563,H563))&gt;=INDEX(RAG_SV,MATCH("kpi.rec.billed",RAG_KEY,0)),"green",IF((E563/IF(N(J563)&gt;0,J563,H563))&gt;=INDEX(RAG_SA,MATCH("kpi.rec.billed",RAG_KEY,0)),"amber","red")),IF((E563/IF(N(J563)&gt;0,J563,H563))&lt;=INDEX(RAG_SV,MATCH("kpi.rec.billed",RAG_KEY,0)),"green",IF((E563/IF(N(J563)&gt;0,J563,H563))&lt;=INDEX(RAG_SA,MATCH("kpi.rec.billed",RAG_KEY,0)),"amber","red")))),"")</f>
        <v/>
      </c>
    </row>
    <row r="564">
      <c r="C564" s="63">
        <f>IFERROR(IF(LANG="EN",INDEX(I18N_EN,MATCH("kpi.rec.recovery",I18N_KEY,0)),INDEX(I18N_FR,MATCH("kpi.rec.recovery",I18N_KEY,0))),"kpi.rec.recovery")</f>
        <v/>
      </c>
      <c r="D564" s="64" t="inlineStr">
        <is>
          <t>%</t>
        </is>
      </c>
      <c r="E564" s="71">
        <f>IFERROR((AVERAGEIFS('M3 · Base mensuelle'!$D$32:$AM$32,HDR,"&gt;="&amp;P_START,HDR,"&lt;="&amp;P_END)),"")</f>
        <v/>
      </c>
      <c r="F564" s="71">
        <f>IFERROR((AVERAGEIFS('M3 · Base mensuelle'!$D$32:$AM$32,HDR,"&gt;="&amp;PP_START,HDR,"&lt;="&amp;PP_END)),"")</f>
        <v/>
      </c>
      <c r="G564" s="66">
        <f>IFERROR((E564)/(F564)-1,"")</f>
        <v/>
      </c>
      <c r="H564" s="71">
        <f>IFERROR((AVERAGEIFS('M3 · Base mensuelle'!$D$32:$AM$32,HDR,"&gt;="&amp;PY_START,HDR,"&lt;="&amp;PY_END)),"")</f>
        <v/>
      </c>
      <c r="I564" s="66">
        <f>IFERROR((E564)/(H564)-1,"")</f>
        <v/>
      </c>
      <c r="J564" s="71">
        <f>IFERROR((SUMPRODUCT((BUD_MONTHS&gt;=MONTH(P_START))*(BUD_MONTHS&lt;=MONTH(P_END))*'M1 · Paramètres'!$H$33:$S$33)/SUMPRODUCT((BUD_MONTHS&gt;=MONTH(P_START))*(BUD_MONTHS&lt;=MONTH(P_END))*1)),"")</f>
        <v/>
      </c>
      <c r="K564" s="66">
        <f>IFERROR((E564)/(J564)-1,"")</f>
        <v/>
      </c>
      <c r="L564" s="68">
        <f>IF(O564="","",IF(O564="green",IFERROR(IF(LANG="EN",INDEX(I18N_EN,MATCH("rag.green",I18N_KEY,0)),INDEX(I18N_FR,MATCH("rag.green",I18N_KEY,0))),"rag.green"),IF(O564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4" s="3" t="n"/>
      <c r="N564" s="32" t="n"/>
      <c r="O564" s="69">
        <f>IFERROR(IF(IF(N(J564)&gt;0,J564,H564)=0,"",IF(INDEX(RAG_SENS,MATCH("kpi.rec.recovery",RAG_KEY,0))="UP",IF((E564/IF(N(J564)&gt;0,J564,H564))&gt;=INDEX(RAG_SV,MATCH("kpi.rec.recovery",RAG_KEY,0)),"green",IF((E564/IF(N(J564)&gt;0,J564,H564))&gt;=INDEX(RAG_SA,MATCH("kpi.rec.recovery",RAG_KEY,0)),"amber","red")),IF((E564/IF(N(J564)&gt;0,J564,H564))&lt;=INDEX(RAG_SV,MATCH("kpi.rec.recovery",RAG_KEY,0)),"green",IF((E564/IF(N(J564)&gt;0,J564,H564))&lt;=INDEX(RAG_SA,MATCH("kpi.rec.recovery",RAG_KEY,0)),"amber","red")))),"")</f>
        <v/>
      </c>
    </row>
    <row r="565">
      <c r="C565" s="63">
        <f>IFERROR(IF(LANG="EN",INDEX(I18N_EN,MATCH("kpi.rec.dso",I18N_KEY,0)),INDEX(I18N_FR,MATCH("kpi.rec.dso",I18N_KEY,0))),"kpi.rec.dso")</f>
        <v/>
      </c>
      <c r="D565" s="64" t="inlineStr">
        <is>
          <t>j</t>
        </is>
      </c>
      <c r="E565" s="65">
        <f>IFERROR((AVERAGEIFS('M3 · Base mensuelle'!$D$31:$AM$31,HDR,"&gt;="&amp;P_START,HDR,"&lt;="&amp;P_END)),"")</f>
        <v/>
      </c>
      <c r="F565" s="65">
        <f>IFERROR((AVERAGEIFS('M3 · Base mensuelle'!$D$31:$AM$31,HDR,"&gt;="&amp;PP_START,HDR,"&lt;="&amp;PP_END)),"")</f>
        <v/>
      </c>
      <c r="G565" s="66">
        <f>IFERROR((E565)/(F565)-1,"")</f>
        <v/>
      </c>
      <c r="H565" s="65">
        <f>IFERROR((AVERAGEIFS('M3 · Base mensuelle'!$D$31:$AM$31,HDR,"&gt;="&amp;PY_START,HDR,"&lt;="&amp;PY_END)),"")</f>
        <v/>
      </c>
      <c r="I565" s="66">
        <f>IFERROR((E565)/(H565)-1,"")</f>
        <v/>
      </c>
      <c r="J565" s="67" t="n"/>
      <c r="K565" s="66">
        <f>IFERROR((E565)/(J565)-1,"")</f>
        <v/>
      </c>
      <c r="L565" s="68">
        <f>IF(O565="","",IF(O565="green",IFERROR(IF(LANG="EN",INDEX(I18N_EN,MATCH("rag.green",I18N_KEY,0)),INDEX(I18N_FR,MATCH("rag.green",I18N_KEY,0))),"rag.green"),IF(O565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5" s="3" t="n"/>
      <c r="N565" s="32" t="n"/>
      <c r="O565" s="69">
        <f>IFERROR(IF(IF(N(J565)&gt;0,J565,H565)=0,"",IF(INDEX(RAG_SENS,MATCH("kpi.rec.dso",RAG_KEY,0))="UP",IF((E565/IF(N(J565)&gt;0,J565,H565))&gt;=INDEX(RAG_SV,MATCH("kpi.rec.dso",RAG_KEY,0)),"green",IF((E565/IF(N(J565)&gt;0,J565,H565))&gt;=INDEX(RAG_SA,MATCH("kpi.rec.dso",RAG_KEY,0)),"amber","red")),IF((E565/IF(N(J565)&gt;0,J565,H565))&lt;=INDEX(RAG_SV,MATCH("kpi.rec.dso",RAG_KEY,0)),"green",IF((E565/IF(N(J565)&gt;0,J565,H565))&lt;=INDEX(RAG_SA,MATCH("kpi.rec.dso",RAG_KEY,0)),"amber","red")))),"")</f>
        <v/>
      </c>
    </row>
    <row r="566">
      <c r="C566" s="63">
        <f>IFERROR(IF(LANG="EN",INDEX(I18N_EN,MATCH("kpi.rec.collected_dun",I18N_KEY,0)),INDEX(I18N_FR,MATCH("kpi.rec.collected_dun",I18N_KEY,0))),"kpi.rec.collected_dun")</f>
        <v/>
      </c>
      <c r="D566" s="64" t="inlineStr">
        <is>
          <t>FCFA</t>
        </is>
      </c>
      <c r="E566" s="70">
        <f>IFERROR((SUMIFS('M3 · Base mensuelle'!$D$38:$AM$38,HDR,"&gt;="&amp;P_START,HDR,"&lt;="&amp;P_END))/1000000,"")</f>
        <v/>
      </c>
      <c r="F566" s="70">
        <f>IFERROR((SUMIFS('M3 · Base mensuelle'!$D$38:$AM$38,HDR,"&gt;="&amp;PP_START,HDR,"&lt;="&amp;PP_END))/1000000,"")</f>
        <v/>
      </c>
      <c r="G566" s="66">
        <f>IFERROR((E566)/(F566)-1,"")</f>
        <v/>
      </c>
      <c r="H566" s="70">
        <f>IFERROR((SUMIFS('M3 · Base mensuelle'!$D$38:$AM$38,HDR,"&gt;="&amp;PY_START,HDR,"&lt;="&amp;PY_END))/1000000,"")</f>
        <v/>
      </c>
      <c r="I566" s="66">
        <f>IFERROR((E566)/(H566)-1,"")</f>
        <v/>
      </c>
      <c r="J566" s="70">
        <f>IFERROR((SUMPRODUCT((BUD_MONTHS&gt;=MONTH(P_START))*(BUD_MONTHS&lt;=MONTH(P_END))*'M1 · Paramètres'!$H$39:$S$39))/1000000,"")</f>
        <v/>
      </c>
      <c r="K566" s="66">
        <f>IFERROR((E566)/(J566)-1,"")</f>
        <v/>
      </c>
      <c r="L566" s="68">
        <f>IF(O566="","",IF(O566="green",IFERROR(IF(LANG="EN",INDEX(I18N_EN,MATCH("rag.green",I18N_KEY,0)),INDEX(I18N_FR,MATCH("rag.green",I18N_KEY,0))),"rag.green"),IF(O566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6" s="3" t="n"/>
      <c r="N566" s="32" t="n"/>
      <c r="O566" s="69">
        <f>IFERROR(IF(IF(N(J566)&gt;0,J566,H566)=0,"",IF(INDEX(RAG_SENS,MATCH("kpi.rec.collected_dun",RAG_KEY,0))="UP",IF((E566/IF(N(J566)&gt;0,J566,H566))&gt;=INDEX(RAG_SV,MATCH("kpi.rec.collected_dun",RAG_KEY,0)),"green",IF((E566/IF(N(J566)&gt;0,J566,H566))&gt;=INDEX(RAG_SA,MATCH("kpi.rec.collected_dun",RAG_KEY,0)),"amber","red")),IF((E566/IF(N(J566)&gt;0,J566,H566))&lt;=INDEX(RAG_SV,MATCH("kpi.rec.collected_dun",RAG_KEY,0)),"green",IF((E566/IF(N(J566)&gt;0,J566,H566))&lt;=INDEX(RAG_SA,MATCH("kpi.rec.collected_dun",RAG_KEY,0)),"amber","red")))),"")</f>
        <v/>
      </c>
    </row>
    <row r="567">
      <c r="C567" s="63">
        <f>IFERROR(IF(LANG="EN",INDEX(I18N_EN,MATCH("kpi.rec.promises",I18N_KEY,0)),INDEX(I18N_FR,MATCH("kpi.rec.promises",I18N_KEY,0))),"kpi.rec.promises")</f>
        <v/>
      </c>
      <c r="D567" s="64" t="inlineStr">
        <is>
          <t>FCFA</t>
        </is>
      </c>
      <c r="E567" s="70">
        <f>IFERROR((SUMIFS('M3 · Base mensuelle'!$D$36:$AM$36,HDR,"&gt;="&amp;P_START,HDR,"&lt;="&amp;P_END))/1000000,"")</f>
        <v/>
      </c>
      <c r="F567" s="70">
        <f>IFERROR((SUMIFS('M3 · Base mensuelle'!$D$36:$AM$36,HDR,"&gt;="&amp;PP_START,HDR,"&lt;="&amp;PP_END))/1000000,"")</f>
        <v/>
      </c>
      <c r="G567" s="66">
        <f>IFERROR((E567)/(F567)-1,"")</f>
        <v/>
      </c>
      <c r="H567" s="70">
        <f>IFERROR((SUMIFS('M3 · Base mensuelle'!$D$36:$AM$36,HDR,"&gt;="&amp;PY_START,HDR,"&lt;="&amp;PY_END))/1000000,"")</f>
        <v/>
      </c>
      <c r="I567" s="66">
        <f>IFERROR((E567)/(H567)-1,"")</f>
        <v/>
      </c>
      <c r="J567" s="67" t="n"/>
      <c r="K567" s="66">
        <f>IFERROR((E567)/(J567)-1,"")</f>
        <v/>
      </c>
      <c r="L567" s="68">
        <f>IF(O567="","",IF(O567="green",IFERROR(IF(LANG="EN",INDEX(I18N_EN,MATCH("rag.green",I18N_KEY,0)),INDEX(I18N_FR,MATCH("rag.green",I18N_KEY,0))),"rag.green"),IF(O567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7" s="3" t="n"/>
      <c r="N567" s="32" t="n"/>
      <c r="O567" s="69">
        <f>IFERROR(IF(IF(N(J567)&gt;0,J567,H567)=0,"",IF(INDEX(RAG_SENS,MATCH("kpi.rec.promises",RAG_KEY,0))="UP",IF((E567/IF(N(J567)&gt;0,J567,H567))&gt;=INDEX(RAG_SV,MATCH("kpi.rec.promises",RAG_KEY,0)),"green",IF((E567/IF(N(J567)&gt;0,J567,H567))&gt;=INDEX(RAG_SA,MATCH("kpi.rec.promises",RAG_KEY,0)),"amber","red")),IF((E567/IF(N(J567)&gt;0,J567,H567))&lt;=INDEX(RAG_SV,MATCH("kpi.rec.promises",RAG_KEY,0)),"green",IF((E567/IF(N(J567)&gt;0,J567,H567))&lt;=INDEX(RAG_SA,MATCH("kpi.rec.promises",RAG_KEY,0)),"amber","red")))),"")</f>
        <v/>
      </c>
    </row>
    <row r="568">
      <c r="C568" s="63">
        <f>IFERROR(IF(LANG="EN",INDEX(I18N_EN,MATCH("kpi.rec.promise_kept",I18N_KEY,0)),INDEX(I18N_FR,MATCH("kpi.rec.promise_kept",I18N_KEY,0))),"kpi.rec.promise_kept")</f>
        <v/>
      </c>
      <c r="D568" s="64" t="inlineStr">
        <is>
          <t>%</t>
        </is>
      </c>
      <c r="E568" s="71">
        <f>IFERROR((AVERAGEIFS('M3 · Base mensuelle'!$D$37:$AM$37,HDR,"&gt;="&amp;P_START,HDR,"&lt;="&amp;P_END)),"")</f>
        <v/>
      </c>
      <c r="F568" s="71">
        <f>IFERROR((AVERAGEIFS('M3 · Base mensuelle'!$D$37:$AM$37,HDR,"&gt;="&amp;PP_START,HDR,"&lt;="&amp;PP_END)),"")</f>
        <v/>
      </c>
      <c r="G568" s="66">
        <f>IFERROR((E568)/(F568)-1,"")</f>
        <v/>
      </c>
      <c r="H568" s="71">
        <f>IFERROR((AVERAGEIFS('M3 · Base mensuelle'!$D$37:$AM$37,HDR,"&gt;="&amp;PY_START,HDR,"&lt;="&amp;PY_END)),"")</f>
        <v/>
      </c>
      <c r="I568" s="66">
        <f>IFERROR((E568)/(H568)-1,"")</f>
        <v/>
      </c>
      <c r="J568" s="67" t="n"/>
      <c r="K568" s="66">
        <f>IFERROR((E568)/(J568)-1,"")</f>
        <v/>
      </c>
      <c r="L568" s="68">
        <f>IF(O568="","",IF(O568="green",IFERROR(IF(LANG="EN",INDEX(I18N_EN,MATCH("rag.green",I18N_KEY,0)),INDEX(I18N_FR,MATCH("rag.green",I18N_KEY,0))),"rag.green"),IF(O568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8" s="3" t="n"/>
      <c r="N568" s="32" t="n"/>
      <c r="O568" s="69">
        <f>IFERROR(IF(IF(N(J568)&gt;0,J568,H568)=0,"",IF(INDEX(RAG_SENS,MATCH("kpi.rec.promise_kept",RAG_KEY,0))="UP",IF((E568/IF(N(J568)&gt;0,J568,H568))&gt;=INDEX(RAG_SV,MATCH("kpi.rec.promise_kept",RAG_KEY,0)),"green",IF((E568/IF(N(J568)&gt;0,J568,H568))&gt;=INDEX(RAG_SA,MATCH("kpi.rec.promise_kept",RAG_KEY,0)),"amber","red")),IF((E568/IF(N(J568)&gt;0,J568,H568))&lt;=INDEX(RAG_SV,MATCH("kpi.rec.promise_kept",RAG_KEY,0)),"green",IF((E568/IF(N(J568)&gt;0,J568,H568))&lt;=INDEX(RAG_SA,MATCH("kpi.rec.promise_kept",RAG_KEY,0)),"amber","red")))),"")</f>
        <v/>
      </c>
    </row>
    <row r="569">
      <c r="C569" s="63">
        <f>IFERROR(IF(LANG="EN",INDEX(I18N_EN,MATCH("kpi.rec.dunning",I18N_KEY,0)),INDEX(I18N_FR,MATCH("kpi.rec.dunning",I18N_KEY,0))),"kpi.rec.dunning")</f>
        <v/>
      </c>
      <c r="D569" s="64" t="inlineStr">
        <is>
          <t>nb</t>
        </is>
      </c>
      <c r="E569" s="65">
        <f>IFERROR((SUMIFS('M3 · Base mensuelle'!$D$35:$AM$35,HDR,"&gt;="&amp;P_START,HDR,"&lt;="&amp;P_END)),"")</f>
        <v/>
      </c>
      <c r="F569" s="65">
        <f>IFERROR((SUMIFS('M3 · Base mensuelle'!$D$35:$AM$35,HDR,"&gt;="&amp;PP_START,HDR,"&lt;="&amp;PP_END)),"")</f>
        <v/>
      </c>
      <c r="G569" s="66">
        <f>IFERROR((E569)/(F569)-1,"")</f>
        <v/>
      </c>
      <c r="H569" s="65">
        <f>IFERROR((SUMIFS('M3 · Base mensuelle'!$D$35:$AM$35,HDR,"&gt;="&amp;PY_START,HDR,"&lt;="&amp;PY_END)),"")</f>
        <v/>
      </c>
      <c r="I569" s="66">
        <f>IFERROR((E569)/(H569)-1,"")</f>
        <v/>
      </c>
      <c r="J569" s="67" t="n"/>
      <c r="K569" s="66">
        <f>IFERROR((E569)/(J569)-1,"")</f>
        <v/>
      </c>
      <c r="L569" s="68">
        <f>IF(O569="","",IF(O569="green",IFERROR(IF(LANG="EN",INDEX(I18N_EN,MATCH("rag.green",I18N_KEY,0)),INDEX(I18N_FR,MATCH("rag.green",I18N_KEY,0))),"rag.green"),IF(O569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69" s="3" t="n"/>
      <c r="N569" s="32" t="n"/>
      <c r="O569" s="69">
        <f>IFERROR(IF(IF(N(J569)&gt;0,J569,H569)=0,"",IF(INDEX(RAG_SENS,MATCH("kpi.rec.dunning",RAG_KEY,0))="UP",IF((E569/IF(N(J569)&gt;0,J569,H569))&gt;=INDEX(RAG_SV,MATCH("kpi.rec.dunning",RAG_KEY,0)),"green",IF((E569/IF(N(J569)&gt;0,J569,H569))&gt;=INDEX(RAG_SA,MATCH("kpi.rec.dunning",RAG_KEY,0)),"amber","red")),IF((E569/IF(N(J569)&gt;0,J569,H569))&lt;=INDEX(RAG_SV,MATCH("kpi.rec.dunning",RAG_KEY,0)),"green",IF((E569/IF(N(J569)&gt;0,J569,H569))&lt;=INDEX(RAG_SA,MATCH("kpi.rec.dunning",RAG_KEY,0)),"amber","red")))),"")</f>
        <v/>
      </c>
    </row>
    <row r="570">
      <c r="C570" s="63">
        <f>IFERROR(IF(LANG="EN",INDEX(I18N_EN,MATCH("kpi.rec.provision",I18N_KEY,0)),INDEX(I18N_FR,MATCH("kpi.rec.provision",I18N_KEY,0))),"kpi.rec.provision")</f>
        <v/>
      </c>
      <c r="D570" s="64" t="inlineStr">
        <is>
          <t>%</t>
        </is>
      </c>
      <c r="E570" s="71">
        <f>IFERROR((AVERAGEIFS('M3 · Base mensuelle'!$D$39:$AM$39,HDR,"&gt;="&amp;P_START,HDR,"&lt;="&amp;P_END)),"")</f>
        <v/>
      </c>
      <c r="F570" s="71">
        <f>IFERROR((AVERAGEIFS('M3 · Base mensuelle'!$D$39:$AM$39,HDR,"&gt;="&amp;PP_START,HDR,"&lt;="&amp;PP_END)),"")</f>
        <v/>
      </c>
      <c r="G570" s="66">
        <f>IFERROR((E570)/(F570)-1,"")</f>
        <v/>
      </c>
      <c r="H570" s="71">
        <f>IFERROR((AVERAGEIFS('M3 · Base mensuelle'!$D$39:$AM$39,HDR,"&gt;="&amp;PY_START,HDR,"&lt;="&amp;PY_END)),"")</f>
        <v/>
      </c>
      <c r="I570" s="66">
        <f>IFERROR((E570)/(H570)-1,"")</f>
        <v/>
      </c>
      <c r="J570" s="67" t="n"/>
      <c r="K570" s="66">
        <f>IFERROR((E570)/(J570)-1,"")</f>
        <v/>
      </c>
      <c r="L570" s="68">
        <f>IF(O570="","",IF(O570="green",IFERROR(IF(LANG="EN",INDEX(I18N_EN,MATCH("rag.green",I18N_KEY,0)),INDEX(I18N_FR,MATCH("rag.green",I18N_KEY,0))),"rag.green"),IF(O570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70" s="3" t="n"/>
      <c r="N570" s="32" t="n"/>
      <c r="O570" s="69">
        <f>IFERROR(IF(IF(N(J570)&gt;0,J570,H570)=0,"",IF(INDEX(RAG_SENS,MATCH("kpi.rec.provision",RAG_KEY,0))="UP",IF((E570/IF(N(J570)&gt;0,J570,H570))&gt;=INDEX(RAG_SV,MATCH("kpi.rec.provision",RAG_KEY,0)),"green",IF((E570/IF(N(J570)&gt;0,J570,H570))&gt;=INDEX(RAG_SA,MATCH("kpi.rec.provision",RAG_KEY,0)),"amber","red")),IF((E570/IF(N(J570)&gt;0,J570,H570))&lt;=INDEX(RAG_SV,MATCH("kpi.rec.provision",RAG_KEY,0)),"green",IF((E570/IF(N(J570)&gt;0,J570,H570))&lt;=INDEX(RAG_SA,MATCH("kpi.rec.provision",RAG_KEY,0)),"amber","red")))),"")</f>
        <v/>
      </c>
    </row>
    <row r="571">
      <c r="C571" s="72">
        <f>"◆ "&amp;IFERROR(IF(LANG="EN",INDEX(I18N_EN,MATCH("msg.highlights",I18N_KEY,0)),INDEX(I18N_FR,MATCH("msg.highlights",I18N_KEY,0))),"msg.highlights")</f>
        <v/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2" t="n"/>
    </row>
    <row r="572">
      <c r="C572" s="73">
        <f>IFERROR("▲ "&amp;INDEX(C562:C570,MATCH(MAX(G562:G570),G562:G570,0))&amp;"   "&amp;TEXT(MAX(G562:G570),"+0.0%;-0.0%"),"")</f>
        <v/>
      </c>
      <c r="D572" s="3" t="n"/>
      <c r="E572" s="3" t="n"/>
      <c r="F572" s="3" t="n"/>
      <c r="G572" s="3" t="n"/>
      <c r="H572" s="3" t="n"/>
      <c r="I572" s="74">
        <f>IFERROR("▼ "&amp;INDEX(C562:C570,MATCH(MIN(G562:G570),G562:G570,0))&amp;"   "&amp;TEXT(MIN(G562:G570),"+0.0%;-0.0%"),"")</f>
        <v/>
      </c>
      <c r="J572" s="3" t="n"/>
      <c r="K572" s="3" t="n"/>
      <c r="L572" s="3" t="n"/>
      <c r="M572" s="3" t="n"/>
      <c r="N572" s="32" t="n"/>
    </row>
    <row r="573">
      <c r="C573" s="53">
        <f>"💬 "&amp;IFERROR(IF(LANG="EN",INDEX(I18N_EN,MATCH("col.comment",I18N_KEY,0)),INDEX(I18N_FR,MATCH("col.comment",I18N_KEY,0))),"col.comment")</f>
        <v/>
      </c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4" t="n"/>
      <c r="O573" s="5" t="n"/>
    </row>
    <row r="574">
      <c r="C574" s="75">
        <f>IF('C3 · Recouvrement'!$D$35&lt;&gt;"",'C3 · Recouvrement'!$D$35,IFERROR(SUBSTITUTE(SUBSTITUTE(IF(G562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rec.collected",I18N_KEY,0)),INDEX(I18N_FR,MATCH("kpi.rec.collected",I18N_KEY,0))),"kpi.rec.collected")),"{delta}",TEXT(ABS(G562),"0.0%")),""))</f>
        <v/>
      </c>
      <c r="D574" s="56" t="n"/>
      <c r="E574" s="56" t="n"/>
      <c r="F574" s="56" t="n"/>
      <c r="G574" s="56" t="n"/>
      <c r="H574" s="56" t="n"/>
      <c r="I574" s="56" t="n"/>
      <c r="J574" s="56" t="n"/>
      <c r="K574" s="56" t="n"/>
      <c r="L574" s="56" t="n"/>
      <c r="M574" s="56" t="n"/>
      <c r="N574" s="56" t="n"/>
      <c r="O574" s="57" t="n"/>
    </row>
    <row r="575">
      <c r="C575" s="50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2" t="n"/>
    </row>
    <row r="576">
      <c r="C576" s="58" t="n"/>
      <c r="D576" s="58" t="n"/>
      <c r="E576" s="58" t="n"/>
      <c r="F576" s="58" t="n"/>
      <c r="G576" s="58" t="n"/>
      <c r="H576" s="58" t="n"/>
      <c r="I576" s="58" t="n"/>
      <c r="J576" s="58" t="n"/>
      <c r="K576" s="58" t="n"/>
      <c r="L576" s="58" t="n"/>
      <c r="M576" s="58" t="n"/>
      <c r="N576" s="58" t="n"/>
      <c r="O576" s="59" t="n"/>
    </row>
    <row r="577">
      <c r="C577" s="60" t="n"/>
      <c r="D577" s="3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22" t="n"/>
    </row>
    <row r="578"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</row>
    <row r="579" ht="19" customHeight="1">
      <c r="C579" s="46">
        <f>"▸  4.4.1  "&amp;IF(LANG="EN","Pop-up — rentals · occupancy · revenue","Pop-up — locations · occupation · revenus")</f>
        <v/>
      </c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  <c r="N579" s="48" t="n"/>
      <c r="O579" s="1" t="n"/>
    </row>
    <row r="580">
      <c r="C580" s="61">
        <f>IFERROR(IF(LANG="EN",INDEX(I18N_EN,MATCH("col.kpi",I18N_KEY,0)),INDEX(I18N_FR,MATCH("col.kpi",I18N_KEY,0))),"col.kpi")</f>
        <v/>
      </c>
      <c r="D580" s="62">
        <f>IFERROR(IF(LANG="EN",INDEX(I18N_EN,MATCH("col.unit",I18N_KEY,0)),INDEX(I18N_FR,MATCH("col.unit",I18N_KEY,0))),"col.unit")</f>
        <v/>
      </c>
      <c r="E580" s="62">
        <f>IFERROR(IF(LANG="EN",INDEX(I18N_EN,MATCH("col.current",I18N_KEY,0)),INDEX(I18N_FR,MATCH("col.current",I18N_KEY,0))),"col.current")</f>
        <v/>
      </c>
      <c r="F580" s="62">
        <f>IFERROR(IF(LANG="EN",INDEX(I18N_EN,MATCH("col.prev",I18N_KEY,0)),INDEX(I18N_FR,MATCH("col.prev",I18N_KEY,0))),"col.prev")</f>
        <v/>
      </c>
      <c r="G580" s="62">
        <f>IFERROR(IF(LANG="EN",INDEX(I18N_EN,MATCH("col.delta_prev",I18N_KEY,0)),INDEX(I18N_FR,MATCH("col.delta_prev",I18N_KEY,0))),"col.delta_prev")</f>
        <v/>
      </c>
      <c r="H580" s="62">
        <f>IFERROR(IF(LANG="EN",INDEX(I18N_EN,MATCH("col.py",I18N_KEY,0)),INDEX(I18N_FR,MATCH("col.py",I18N_KEY,0))),"col.py")</f>
        <v/>
      </c>
      <c r="I580" s="62">
        <f>IFERROR(IF(LANG="EN",INDEX(I18N_EN,MATCH("col.delta_py",I18N_KEY,0)),INDEX(I18N_FR,MATCH("col.delta_py",I18N_KEY,0))),"col.delta_py")</f>
        <v/>
      </c>
      <c r="J580" s="62">
        <f>IFERROR(IF(LANG="EN",INDEX(I18N_EN,MATCH("col.budget",I18N_KEY,0)),INDEX(I18N_FR,MATCH("col.budget",I18N_KEY,0))),"col.budget")</f>
        <v/>
      </c>
      <c r="K580" s="62">
        <f>IFERROR(IF(LANG="EN",INDEX(I18N_EN,MATCH("col.var",I18N_KEY,0)),INDEX(I18N_FR,MATCH("col.var",I18N_KEY,0))),"col.var")</f>
        <v/>
      </c>
      <c r="L580" s="62">
        <f>IFERROR(IF(LANG="EN",INDEX(I18N_EN,MATCH("col.rag",I18N_KEY,0)),INDEX(I18N_FR,MATCH("col.rag",I18N_KEY,0))),"col.rag")</f>
        <v/>
      </c>
      <c r="M580" s="3" t="n"/>
      <c r="N580" s="32" t="n"/>
    </row>
    <row r="581">
      <c r="C581" s="63">
        <f>IFERROR(IF(LANG="EN",INDEX(I18N_EN,MATCH("kpi.com.popup_count",I18N_KEY,0)),INDEX(I18N_FR,MATCH("kpi.com.popup_count",I18N_KEY,0))),"kpi.com.popup_count")</f>
        <v/>
      </c>
      <c r="D581" s="64" t="inlineStr">
        <is>
          <t>nb</t>
        </is>
      </c>
      <c r="E581" s="65">
        <f>IFERROR((INDEX('M3 · Base mensuelle'!$D$76:$AM$76,MATCH(P_END,HDR,0))),"")</f>
        <v/>
      </c>
      <c r="F581" s="65">
        <f>IFERROR((INDEX('M3 · Base mensuelle'!$D$76:$AM$76,MATCH(PP_END,HDR,0))),"")</f>
        <v/>
      </c>
      <c r="G581" s="66">
        <f>IFERROR((E581)/(F581)-1,"")</f>
        <v/>
      </c>
      <c r="H581" s="65">
        <f>IFERROR((INDEX('M3 · Base mensuelle'!$D$76:$AM$76,MATCH(PY_END,HDR,0))),"")</f>
        <v/>
      </c>
      <c r="I581" s="66">
        <f>IFERROR((E581)/(H581)-1,"")</f>
        <v/>
      </c>
      <c r="J581" s="65">
        <f>IFERROR((SUMPRODUCT((BUD_MONTHS&gt;=MONTH(P_START))*(BUD_MONTHS&lt;=MONTH(P_END))*'M1 · Paramètres'!$H$77:$S$77)/SUMPRODUCT((BUD_MONTHS&gt;=MONTH(P_START))*(BUD_MONTHS&lt;=MONTH(P_END))*1)),"")</f>
        <v/>
      </c>
      <c r="K581" s="66">
        <f>IFERROR((E581)/(J581)-1,"")</f>
        <v/>
      </c>
      <c r="L581" s="68">
        <f>IF(O581="","",IF(O581="green",IFERROR(IF(LANG="EN",INDEX(I18N_EN,MATCH("rag.green",I18N_KEY,0)),INDEX(I18N_FR,MATCH("rag.green",I18N_KEY,0))),"rag.green"),IF(O581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81" s="3" t="n"/>
      <c r="N581" s="32" t="n"/>
      <c r="O581" s="69">
        <f>IFERROR(IF(IF(N(J581)&gt;0,J581,H581)=0,"",IF(INDEX(RAG_SENS,MATCH("kpi.com.popup_count",RAG_KEY,0))="UP",IF((E581/IF(N(J581)&gt;0,J581,H581))&gt;=INDEX(RAG_SV,MATCH("kpi.com.popup_count",RAG_KEY,0)),"green",IF((E581/IF(N(J581)&gt;0,J581,H581))&gt;=INDEX(RAG_SA,MATCH("kpi.com.popup_count",RAG_KEY,0)),"amber","red")),IF((E581/IF(N(J581)&gt;0,J581,H581))&lt;=INDEX(RAG_SV,MATCH("kpi.com.popup_count",RAG_KEY,0)),"green",IF((E581/IF(N(J581)&gt;0,J581,H581))&lt;=INDEX(RAG_SA,MATCH("kpi.com.popup_count",RAG_KEY,0)),"amber","red")))),"")</f>
        <v/>
      </c>
    </row>
    <row r="582">
      <c r="C582" s="63">
        <f>IFERROR(IF(LANG="EN",INDEX(I18N_EN,MATCH("kpi.com.kiosk_occ",I18N_KEY,0)),INDEX(I18N_FR,MATCH("kpi.com.kiosk_occ",I18N_KEY,0))),"kpi.com.kiosk_occ")</f>
        <v/>
      </c>
      <c r="D582" s="64" t="inlineStr">
        <is>
          <t>%</t>
        </is>
      </c>
      <c r="E582" s="71">
        <f>IFERROR((AVERAGEIFS('M3 · Base mensuelle'!$D$78:$AM$78,HDR,"&gt;="&amp;P_START,HDR,"&lt;="&amp;P_END)),"")</f>
        <v/>
      </c>
      <c r="F582" s="71">
        <f>IFERROR((AVERAGEIFS('M3 · Base mensuelle'!$D$78:$AM$78,HDR,"&gt;="&amp;PP_START,HDR,"&lt;="&amp;PP_END)),"")</f>
        <v/>
      </c>
      <c r="G582" s="66">
        <f>IFERROR((E582)/(F582)-1,"")</f>
        <v/>
      </c>
      <c r="H582" s="71">
        <f>IFERROR((AVERAGEIFS('M3 · Base mensuelle'!$D$78:$AM$78,HDR,"&gt;="&amp;PY_START,HDR,"&lt;="&amp;PY_END)),"")</f>
        <v/>
      </c>
      <c r="I582" s="66">
        <f>IFERROR((E582)/(H582)-1,"")</f>
        <v/>
      </c>
      <c r="J582" s="71">
        <f>IFERROR((SUMPRODUCT((BUD_MONTHS&gt;=MONTH(P_START))*(BUD_MONTHS&lt;=MONTH(P_END))*'M1 · Paramètres'!$H$79:$S$79)/SUMPRODUCT((BUD_MONTHS&gt;=MONTH(P_START))*(BUD_MONTHS&lt;=MONTH(P_END))*1)),"")</f>
        <v/>
      </c>
      <c r="K582" s="66">
        <f>IFERROR((E582)/(J582)-1,"")</f>
        <v/>
      </c>
      <c r="L582" s="68">
        <f>IF(O582="","",IF(O582="green",IFERROR(IF(LANG="EN",INDEX(I18N_EN,MATCH("rag.green",I18N_KEY,0)),INDEX(I18N_FR,MATCH("rag.green",I18N_KEY,0))),"rag.green"),IF(O582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82" s="3" t="n"/>
      <c r="N582" s="32" t="n"/>
      <c r="O582" s="69">
        <f>IFERROR(IF(IF(N(J582)&gt;0,J582,H582)=0,"",IF(INDEX(RAG_SENS,MATCH("kpi.com.kiosk_occ",RAG_KEY,0))="UP",IF((E582/IF(N(J582)&gt;0,J582,H582))&gt;=INDEX(RAG_SV,MATCH("kpi.com.kiosk_occ",RAG_KEY,0)),"green",IF((E582/IF(N(J582)&gt;0,J582,H582))&gt;=INDEX(RAG_SA,MATCH("kpi.com.kiosk_occ",RAG_KEY,0)),"amber","red")),IF((E582/IF(N(J582)&gt;0,J582,H582))&lt;=INDEX(RAG_SV,MATCH("kpi.com.kiosk_occ",RAG_KEY,0)),"green",IF((E582/IF(N(J582)&gt;0,J582,H582))&lt;=INDEX(RAG_SA,MATCH("kpi.com.kiosk_occ",RAG_KEY,0)),"amber","red")))),"")</f>
        <v/>
      </c>
    </row>
    <row r="583">
      <c r="C583" s="63">
        <f>IFERROR(IF(LANG="EN",INDEX(I18N_EN,MATCH("kpi.com.popup_rev",I18N_KEY,0)),INDEX(I18N_FR,MATCH("kpi.com.popup_rev",I18N_KEY,0))),"kpi.com.popup_rev")</f>
        <v/>
      </c>
      <c r="D583" s="64" t="inlineStr">
        <is>
          <t>FCFA</t>
        </is>
      </c>
      <c r="E583" s="70">
        <f>IFERROR((SUMIFS('M3 · Base mensuelle'!$D$77:$AM$77,HDR,"&gt;="&amp;P_START,HDR,"&lt;="&amp;P_END))/1000000,"")</f>
        <v/>
      </c>
      <c r="F583" s="70">
        <f>IFERROR((SUMIFS('M3 · Base mensuelle'!$D$77:$AM$77,HDR,"&gt;="&amp;PP_START,HDR,"&lt;="&amp;PP_END))/1000000,"")</f>
        <v/>
      </c>
      <c r="G583" s="66">
        <f>IFERROR((E583)/(F583)-1,"")</f>
        <v/>
      </c>
      <c r="H583" s="70">
        <f>IFERROR((SUMIFS('M3 · Base mensuelle'!$D$77:$AM$77,HDR,"&gt;="&amp;PY_START,HDR,"&lt;="&amp;PY_END))/1000000,"")</f>
        <v/>
      </c>
      <c r="I583" s="66">
        <f>IFERROR((E583)/(H583)-1,"")</f>
        <v/>
      </c>
      <c r="J583" s="70">
        <f>IFERROR((SUMPRODUCT((BUD_MONTHS&gt;=MONTH(P_START))*(BUD_MONTHS&lt;=MONTH(P_END))*'M1 · Paramètres'!$H$78:$S$78))/1000000,"")</f>
        <v/>
      </c>
      <c r="K583" s="66">
        <f>IFERROR((E583)/(J583)-1,"")</f>
        <v/>
      </c>
      <c r="L583" s="68">
        <f>IF(O583="","",IF(O583="green",IFERROR(IF(LANG="EN",INDEX(I18N_EN,MATCH("rag.green",I18N_KEY,0)),INDEX(I18N_FR,MATCH("rag.green",I18N_KEY,0))),"rag.green"),IF(O583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583" s="3" t="n"/>
      <c r="N583" s="32" t="n"/>
      <c r="O583" s="69">
        <f>IFERROR(IF(IF(N(J583)&gt;0,J583,H583)=0,"",IF(INDEX(RAG_SENS,MATCH("kpi.com.popup_rev",RAG_KEY,0))="UP",IF((E583/IF(N(J583)&gt;0,J583,H583))&gt;=INDEX(RAG_SV,MATCH("kpi.com.popup_rev",RAG_KEY,0)),"green",IF((E583/IF(N(J583)&gt;0,J583,H583))&gt;=INDEX(RAG_SA,MATCH("kpi.com.popup_rev",RAG_KEY,0)),"amber","red")),IF((E583/IF(N(J583)&gt;0,J583,H583))&lt;=INDEX(RAG_SV,MATCH("kpi.com.popup_rev",RAG_KEY,0)),"green",IF((E583/IF(N(J583)&gt;0,J583,H583))&lt;=INDEX(RAG_SA,MATCH("kpi.com.popup_rev",RAG_KEY,0)),"amber","red")))),"")</f>
        <v/>
      </c>
    </row>
    <row r="584">
      <c r="C584" s="72">
        <f>"◆ "&amp;IFERROR(IF(LANG="EN",INDEX(I18N_EN,MATCH("msg.highlights",I18N_KEY,0)),INDEX(I18N_FR,MATCH("msg.highlights",I18N_KEY,0))),"msg.highlights")</f>
        <v/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2" t="n"/>
    </row>
    <row r="585">
      <c r="C585" s="73">
        <f>IFERROR("▲ "&amp;INDEX(C581:C583,MATCH(MAX(G581:G583),G581:G583,0))&amp;"   "&amp;TEXT(MAX(G581:G583),"+0.0%;-0.0%"),"")</f>
        <v/>
      </c>
      <c r="D585" s="3" t="n"/>
      <c r="E585" s="3" t="n"/>
      <c r="F585" s="3" t="n"/>
      <c r="G585" s="3" t="n"/>
      <c r="H585" s="3" t="n"/>
      <c r="I585" s="74">
        <f>IFERROR("▼ "&amp;INDEX(C581:C583,MATCH(MIN(G581:G583),G581:G583,0))&amp;"   "&amp;TEXT(MIN(G581:G583),"+0.0%;-0.0%"),"")</f>
        <v/>
      </c>
      <c r="J585" s="3" t="n"/>
      <c r="K585" s="3" t="n"/>
      <c r="L585" s="3" t="n"/>
      <c r="M585" s="3" t="n"/>
      <c r="N585" s="32" t="n"/>
    </row>
    <row r="586">
      <c r="C586" s="53">
        <f>"💬 "&amp;IFERROR(IF(LANG="EN",INDEX(I18N_EN,MATCH("col.comment",I18N_KEY,0)),INDEX(I18N_FR,MATCH("col.comment",I18N_KEY,0))),"col.comment")</f>
        <v/>
      </c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4" t="n"/>
      <c r="O586" s="5" t="n"/>
    </row>
    <row r="587">
      <c r="C587" s="75">
        <f>IF('C6 · Commercial'!$D$37&lt;&gt;"",'C6 · Commercial'!$D$37,IFERROR(SUBSTITUTE(SUBSTITUTE(IF(G581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com.popup_count",I18N_KEY,0)),INDEX(I18N_FR,MATCH("kpi.com.popup_count",I18N_KEY,0))),"kpi.com.popup_count")),"{delta}",TEXT(ABS(G581),"0.0%")),""))</f>
        <v/>
      </c>
      <c r="D587" s="56" t="n"/>
      <c r="E587" s="56" t="n"/>
      <c r="F587" s="56" t="n"/>
      <c r="G587" s="56" t="n"/>
      <c r="H587" s="56" t="n"/>
      <c r="I587" s="56" t="n"/>
      <c r="J587" s="56" t="n"/>
      <c r="K587" s="56" t="n"/>
      <c r="L587" s="56" t="n"/>
      <c r="M587" s="56" t="n"/>
      <c r="N587" s="56" t="n"/>
      <c r="O587" s="57" t="n"/>
    </row>
    <row r="588">
      <c r="C588" s="50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2" t="n"/>
    </row>
    <row r="589">
      <c r="C589" s="58" t="n"/>
      <c r="D589" s="58" t="n"/>
      <c r="E589" s="58" t="n"/>
      <c r="F589" s="58" t="n"/>
      <c r="G589" s="58" t="n"/>
      <c r="H589" s="58" t="n"/>
      <c r="I589" s="58" t="n"/>
      <c r="J589" s="58" t="n"/>
      <c r="K589" s="58" t="n"/>
      <c r="L589" s="58" t="n"/>
      <c r="M589" s="58" t="n"/>
      <c r="N589" s="58" t="n"/>
      <c r="O589" s="59" t="n"/>
    </row>
    <row r="590">
      <c r="C590" s="60" t="n"/>
      <c r="D590" s="3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22" t="n"/>
    </row>
    <row r="591"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</row>
    <row r="592" ht="19" customHeight="1">
      <c r="C592" s="46">
        <f>"▸  4.4.1b  "&amp;IF(LANG="EN","Pop-up — location details","Pop-up — détail des emplacements")</f>
        <v/>
      </c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  <c r="N592" s="48" t="n"/>
      <c r="O592" s="1" t="n"/>
    </row>
    <row r="593">
      <c r="C593" s="80" t="inlineStr">
        <is>
          <t>Enseigne / Brand</t>
        </is>
      </c>
      <c r="D593" s="81" t="inlineStr">
        <is>
          <t>Emplacement / Location</t>
        </is>
      </c>
      <c r="E593" s="62" t="inlineStr">
        <is>
          <t>Mois loués / Months</t>
        </is>
      </c>
      <c r="F593" s="62" t="inlineStr">
        <is>
          <t>Revenu / Revenue</t>
        </is>
      </c>
      <c r="G593" s="81" t="inlineStr">
        <is>
          <t>Statut / Status</t>
        </is>
      </c>
      <c r="H593" s="3" t="n"/>
      <c r="I593" s="3" t="n"/>
      <c r="J593" s="3" t="n"/>
      <c r="K593" s="3" t="n"/>
      <c r="L593" s="3" t="n"/>
      <c r="M593" s="3" t="n"/>
      <c r="N593" s="32" t="n"/>
    </row>
    <row r="594">
      <c r="C594" s="82" t="inlineStr">
        <is>
          <t>Samsung Experience</t>
        </is>
      </c>
      <c r="D594" s="84" t="inlineStr">
        <is>
          <t>Mail central / Central</t>
        </is>
      </c>
      <c r="E594" s="83" t="n">
        <v>2</v>
      </c>
      <c r="F594" s="83" t="n">
        <v>6500000</v>
      </c>
      <c r="G594" s="84" t="inlineStr">
        <is>
          <t>Loué / Let</t>
        </is>
      </c>
      <c r="H594" s="3" t="n"/>
      <c r="I594" s="3" t="n"/>
      <c r="J594" s="3" t="n"/>
      <c r="K594" s="3" t="n"/>
      <c r="L594" s="3" t="n"/>
      <c r="M594" s="3" t="n"/>
      <c r="N594" s="32" t="n"/>
    </row>
    <row r="595">
      <c r="C595" s="82" t="inlineStr">
        <is>
          <t>Nestlé</t>
        </is>
      </c>
      <c r="D595" s="84" t="inlineStr">
        <is>
          <t>RDC / Ground</t>
        </is>
      </c>
      <c r="E595" s="83" t="n">
        <v>1</v>
      </c>
      <c r="F595" s="83" t="n">
        <v>3200000</v>
      </c>
      <c r="G595" s="84" t="inlineStr">
        <is>
          <t>Loué / Let</t>
        </is>
      </c>
      <c r="H595" s="3" t="n"/>
      <c r="I595" s="3" t="n"/>
      <c r="J595" s="3" t="n"/>
      <c r="K595" s="3" t="n"/>
      <c r="L595" s="3" t="n"/>
      <c r="M595" s="3" t="n"/>
      <c r="N595" s="32" t="n"/>
    </row>
    <row r="596">
      <c r="C596" s="82" t="inlineStr">
        <is>
          <t>MTN Promo</t>
        </is>
      </c>
      <c r="D596" s="84" t="inlineStr">
        <is>
          <t>Entrée / Entrance</t>
        </is>
      </c>
      <c r="E596" s="83" t="n">
        <v>1</v>
      </c>
      <c r="F596" s="83" t="n">
        <v>2800000</v>
      </c>
      <c r="G596" s="84" t="inlineStr">
        <is>
          <t>Loué / Let</t>
        </is>
      </c>
      <c r="H596" s="3" t="n"/>
      <c r="I596" s="3" t="n"/>
      <c r="J596" s="3" t="n"/>
      <c r="K596" s="3" t="n"/>
      <c r="L596" s="3" t="n"/>
      <c r="M596" s="3" t="n"/>
      <c r="N596" s="32" t="n"/>
    </row>
    <row r="597">
      <c r="C597" s="82" t="inlineStr">
        <is>
          <t>Glovo</t>
        </is>
      </c>
      <c r="D597" s="84" t="inlineStr">
        <is>
          <t>Food court</t>
        </is>
      </c>
      <c r="E597" s="83" t="n">
        <v>2</v>
      </c>
      <c r="F597" s="83" t="n">
        <v>1500000</v>
      </c>
      <c r="G597" s="84" t="inlineStr">
        <is>
          <t>Loué / Let</t>
        </is>
      </c>
      <c r="H597" s="3" t="n"/>
      <c r="I597" s="3" t="n"/>
      <c r="J597" s="3" t="n"/>
      <c r="K597" s="3" t="n"/>
      <c r="L597" s="3" t="n"/>
      <c r="M597" s="3" t="n"/>
      <c r="N597" s="32" t="n"/>
    </row>
    <row r="598">
      <c r="C598" s="82" t="inlineStr">
        <is>
          <t>Emplacement libre / Vacant</t>
        </is>
      </c>
      <c r="D598" s="84" t="inlineStr">
        <is>
          <t>RDC / Ground</t>
        </is>
      </c>
      <c r="E598" s="83" t="n">
        <v>0</v>
      </c>
      <c r="F598" s="83" t="n">
        <v>0</v>
      </c>
      <c r="G598" s="84" t="inlineStr">
        <is>
          <t>Vacant</t>
        </is>
      </c>
      <c r="H598" s="3" t="n"/>
      <c r="I598" s="3" t="n"/>
      <c r="J598" s="3" t="n"/>
      <c r="K598" s="3" t="n"/>
      <c r="L598" s="3" t="n"/>
      <c r="M598" s="3" t="n"/>
      <c r="N598" s="32" t="n"/>
    </row>
    <row r="599">
      <c r="C599" s="50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2" t="n"/>
    </row>
    <row r="600">
      <c r="C600" s="50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2" t="n"/>
    </row>
    <row r="601">
      <c r="C601" s="50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2" t="n"/>
    </row>
    <row r="602">
      <c r="C602" s="50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2" t="n"/>
    </row>
    <row r="603">
      <c r="C603" s="50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2" t="n"/>
    </row>
    <row r="604">
      <c r="C604" s="50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2" t="n"/>
    </row>
    <row r="605">
      <c r="C605" s="50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2" t="n"/>
    </row>
    <row r="606">
      <c r="C606" s="50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2" t="n"/>
    </row>
    <row r="607">
      <c r="C607" s="53">
        <f>"💬 "&amp;IFERROR(IF(LANG="EN",INDEX(I18N_EN,MATCH("col.comment",I18N_KEY,0)),INDEX(I18N_FR,MATCH("col.comment",I18N_KEY,0))),"col.comment")</f>
        <v/>
      </c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4" t="n"/>
      <c r="O607" s="5" t="n"/>
    </row>
    <row r="608">
      <c r="C608" s="55">
        <f>IF(LANG="EN","Commentary / data source: management systems (demo).","Commentaire / source : systèmes de gestion (démo).")</f>
        <v/>
      </c>
      <c r="D608" s="56" t="n"/>
      <c r="E608" s="56" t="n"/>
      <c r="F608" s="56" t="n"/>
      <c r="G608" s="56" t="n"/>
      <c r="H608" s="56" t="n"/>
      <c r="I608" s="56" t="n"/>
      <c r="J608" s="56" t="n"/>
      <c r="K608" s="56" t="n"/>
      <c r="L608" s="56" t="n"/>
      <c r="M608" s="56" t="n"/>
      <c r="N608" s="56" t="n"/>
      <c r="O608" s="57" t="n"/>
    </row>
    <row r="609">
      <c r="C609" s="50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2" t="n"/>
    </row>
    <row r="610">
      <c r="C610" s="58" t="n"/>
      <c r="D610" s="58" t="n"/>
      <c r="E610" s="58" t="n"/>
      <c r="F610" s="58" t="n"/>
      <c r="G610" s="58" t="n"/>
      <c r="H610" s="58" t="n"/>
      <c r="I610" s="58" t="n"/>
      <c r="J610" s="58" t="n"/>
      <c r="K610" s="58" t="n"/>
      <c r="L610" s="58" t="n"/>
      <c r="M610" s="58" t="n"/>
      <c r="N610" s="58" t="n"/>
      <c r="O610" s="59" t="n"/>
    </row>
    <row r="611">
      <c r="C611" s="60" t="n"/>
      <c r="D611" s="3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22" t="n"/>
    </row>
    <row r="612"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</row>
    <row r="613" ht="19" customHeight="1">
      <c r="C613" s="46">
        <f>"▸  4.4.2  "&amp;IF(LANG="EN","Le Market — rentals · occupancy · revenue","Le Market — locations · occupation · revenus")</f>
        <v/>
      </c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  <c r="N613" s="48" t="n"/>
      <c r="O613" s="1" t="n"/>
    </row>
    <row r="614">
      <c r="C614" s="61">
        <f>IFERROR(IF(LANG="EN",INDEX(I18N_EN,MATCH("col.kpi",I18N_KEY,0)),INDEX(I18N_FR,MATCH("col.kpi",I18N_KEY,0))),"col.kpi")</f>
        <v/>
      </c>
      <c r="D614" s="62">
        <f>IFERROR(IF(LANG="EN",INDEX(I18N_EN,MATCH("col.unit",I18N_KEY,0)),INDEX(I18N_FR,MATCH("col.unit",I18N_KEY,0))),"col.unit")</f>
        <v/>
      </c>
      <c r="E614" s="62">
        <f>IFERROR(IF(LANG="EN",INDEX(I18N_EN,MATCH("col.current",I18N_KEY,0)),INDEX(I18N_FR,MATCH("col.current",I18N_KEY,0))),"col.current")</f>
        <v/>
      </c>
      <c r="F614" s="62">
        <f>IFERROR(IF(LANG="EN",INDEX(I18N_EN,MATCH("col.prev",I18N_KEY,0)),INDEX(I18N_FR,MATCH("col.prev",I18N_KEY,0))),"col.prev")</f>
        <v/>
      </c>
      <c r="G614" s="62">
        <f>IFERROR(IF(LANG="EN",INDEX(I18N_EN,MATCH("col.delta_prev",I18N_KEY,0)),INDEX(I18N_FR,MATCH("col.delta_prev",I18N_KEY,0))),"col.delta_prev")</f>
        <v/>
      </c>
      <c r="H614" s="62">
        <f>IFERROR(IF(LANG="EN",INDEX(I18N_EN,MATCH("col.py",I18N_KEY,0)),INDEX(I18N_FR,MATCH("col.py",I18N_KEY,0))),"col.py")</f>
        <v/>
      </c>
      <c r="I614" s="62">
        <f>IFERROR(IF(LANG="EN",INDEX(I18N_EN,MATCH("col.delta_py",I18N_KEY,0)),INDEX(I18N_FR,MATCH("col.delta_py",I18N_KEY,0))),"col.delta_py")</f>
        <v/>
      </c>
      <c r="J614" s="62">
        <f>IFERROR(IF(LANG="EN",INDEX(I18N_EN,MATCH("col.budget",I18N_KEY,0)),INDEX(I18N_FR,MATCH("col.budget",I18N_KEY,0))),"col.budget")</f>
        <v/>
      </c>
      <c r="K614" s="62">
        <f>IFERROR(IF(LANG="EN",INDEX(I18N_EN,MATCH("col.var",I18N_KEY,0)),INDEX(I18N_FR,MATCH("col.var",I18N_KEY,0))),"col.var")</f>
        <v/>
      </c>
      <c r="L614" s="62">
        <f>IFERROR(IF(LANG="EN",INDEX(I18N_EN,MATCH("col.rag",I18N_KEY,0)),INDEX(I18N_FR,MATCH("col.rag",I18N_KEY,0))),"col.rag")</f>
        <v/>
      </c>
      <c r="M614" s="3" t="n"/>
      <c r="N614" s="32" t="n"/>
    </row>
    <row r="615">
      <c r="C615" s="63">
        <f>IFERROR(IF(LANG="EN",INDEX(I18N_EN,MATCH("kpi.com.market_stalls",I18N_KEY,0)),INDEX(I18N_FR,MATCH("kpi.com.market_stalls",I18N_KEY,0))),"kpi.com.market_stalls")</f>
        <v/>
      </c>
      <c r="D615" s="64" t="inlineStr">
        <is>
          <t>nb</t>
        </is>
      </c>
      <c r="E615" s="65">
        <f>IFERROR((INDEX('M3 · Base mensuelle'!$D$81:$AM$81,MATCH(P_END,HDR,0))),"")</f>
        <v/>
      </c>
      <c r="F615" s="65">
        <f>IFERROR((INDEX('M3 · Base mensuelle'!$D$81:$AM$81,MATCH(PP_END,HDR,0))),"")</f>
        <v/>
      </c>
      <c r="G615" s="66">
        <f>IFERROR((E615)/(F615)-1,"")</f>
        <v/>
      </c>
      <c r="H615" s="65">
        <f>IFERROR((INDEX('M3 · Base mensuelle'!$D$81:$AM$81,MATCH(PY_END,HDR,0))),"")</f>
        <v/>
      </c>
      <c r="I615" s="66">
        <f>IFERROR((E615)/(H615)-1,"")</f>
        <v/>
      </c>
      <c r="J615" s="65">
        <f>IFERROR((SUMPRODUCT((BUD_MONTHS&gt;=MONTH(P_START))*(BUD_MONTHS&lt;=MONTH(P_END))*'M1 · Paramètres'!$H$82:$S$82)/SUMPRODUCT((BUD_MONTHS&gt;=MONTH(P_START))*(BUD_MONTHS&lt;=MONTH(P_END))*1)),"")</f>
        <v/>
      </c>
      <c r="K615" s="66">
        <f>IFERROR((E615)/(J615)-1,"")</f>
        <v/>
      </c>
      <c r="L615" s="68">
        <f>IF(O615="","",IF(O615="green",IFERROR(IF(LANG="EN",INDEX(I18N_EN,MATCH("rag.green",I18N_KEY,0)),INDEX(I18N_FR,MATCH("rag.green",I18N_KEY,0))),"rag.green"),IF(O615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615" s="3" t="n"/>
      <c r="N615" s="32" t="n"/>
      <c r="O615" s="69">
        <f>IFERROR(IF(IF(N(J615)&gt;0,J615,H615)=0,"",IF(INDEX(RAG_SENS,MATCH("kpi.com.market_stalls",RAG_KEY,0))="UP",IF((E615/IF(N(J615)&gt;0,J615,H615))&gt;=INDEX(RAG_SV,MATCH("kpi.com.market_stalls",RAG_KEY,0)),"green",IF((E615/IF(N(J615)&gt;0,J615,H615))&gt;=INDEX(RAG_SA,MATCH("kpi.com.market_stalls",RAG_KEY,0)),"amber","red")),IF((E615/IF(N(J615)&gt;0,J615,H615))&lt;=INDEX(RAG_SV,MATCH("kpi.com.market_stalls",RAG_KEY,0)),"green",IF((E615/IF(N(J615)&gt;0,J615,H615))&lt;=INDEX(RAG_SA,MATCH("kpi.com.market_stalls",RAG_KEY,0)),"amber","red")))),"")</f>
        <v/>
      </c>
    </row>
    <row r="616">
      <c r="C616" s="63">
        <f>IFERROR(IF(LANG="EN",INDEX(I18N_EN,MATCH("kpi.com.market_occ",I18N_KEY,0)),INDEX(I18N_FR,MATCH("kpi.com.market_occ",I18N_KEY,0))),"kpi.com.market_occ")</f>
        <v/>
      </c>
      <c r="D616" s="64" t="inlineStr">
        <is>
          <t>%</t>
        </is>
      </c>
      <c r="E616" s="71">
        <f>IFERROR((AVERAGEIFS('M3 · Base mensuelle'!$D$80:$AM$80,HDR,"&gt;="&amp;P_START,HDR,"&lt;="&amp;P_END)),"")</f>
        <v/>
      </c>
      <c r="F616" s="71">
        <f>IFERROR((AVERAGEIFS('M3 · Base mensuelle'!$D$80:$AM$80,HDR,"&gt;="&amp;PP_START,HDR,"&lt;="&amp;PP_END)),"")</f>
        <v/>
      </c>
      <c r="G616" s="66">
        <f>IFERROR((E616)/(F616)-1,"")</f>
        <v/>
      </c>
      <c r="H616" s="71">
        <f>IFERROR((AVERAGEIFS('M3 · Base mensuelle'!$D$80:$AM$80,HDR,"&gt;="&amp;PY_START,HDR,"&lt;="&amp;PY_END)),"")</f>
        <v/>
      </c>
      <c r="I616" s="66">
        <f>IFERROR((E616)/(H616)-1,"")</f>
        <v/>
      </c>
      <c r="J616" s="71">
        <f>IFERROR((SUMPRODUCT((BUD_MONTHS&gt;=MONTH(P_START))*(BUD_MONTHS&lt;=MONTH(P_END))*'M1 · Paramètres'!$H$81:$S$81)/SUMPRODUCT((BUD_MONTHS&gt;=MONTH(P_START))*(BUD_MONTHS&lt;=MONTH(P_END))*1)),"")</f>
        <v/>
      </c>
      <c r="K616" s="66">
        <f>IFERROR((E616)/(J616)-1,"")</f>
        <v/>
      </c>
      <c r="L616" s="68">
        <f>IF(O616="","",IF(O616="green",IFERROR(IF(LANG="EN",INDEX(I18N_EN,MATCH("rag.green",I18N_KEY,0)),INDEX(I18N_FR,MATCH("rag.green",I18N_KEY,0))),"rag.green"),IF(O616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616" s="3" t="n"/>
      <c r="N616" s="32" t="n"/>
      <c r="O616" s="69">
        <f>IFERROR(IF(IF(N(J616)&gt;0,J616,H616)=0,"",IF(INDEX(RAG_SENS,MATCH("kpi.com.market_occ",RAG_KEY,0))="UP",IF((E616/IF(N(J616)&gt;0,J616,H616))&gt;=INDEX(RAG_SV,MATCH("kpi.com.market_occ",RAG_KEY,0)),"green",IF((E616/IF(N(J616)&gt;0,J616,H616))&gt;=INDEX(RAG_SA,MATCH("kpi.com.market_occ",RAG_KEY,0)),"amber","red")),IF((E616/IF(N(J616)&gt;0,J616,H616))&lt;=INDEX(RAG_SV,MATCH("kpi.com.market_occ",RAG_KEY,0)),"green",IF((E616/IF(N(J616)&gt;0,J616,H616))&lt;=INDEX(RAG_SA,MATCH("kpi.com.market_occ",RAG_KEY,0)),"amber","red")))),"")</f>
        <v/>
      </c>
    </row>
    <row r="617">
      <c r="C617" s="63">
        <f>IFERROR(IF(LANG="EN",INDEX(I18N_EN,MATCH("kpi.com.market_rev",I18N_KEY,0)),INDEX(I18N_FR,MATCH("kpi.com.market_rev",I18N_KEY,0))),"kpi.com.market_rev")</f>
        <v/>
      </c>
      <c r="D617" s="64" t="inlineStr">
        <is>
          <t>FCFA</t>
        </is>
      </c>
      <c r="E617" s="70">
        <f>IFERROR((SUMIFS('M3 · Base mensuelle'!$D$79:$AM$79,HDR,"&gt;="&amp;P_START,HDR,"&lt;="&amp;P_END))/1000000,"")</f>
        <v/>
      </c>
      <c r="F617" s="70">
        <f>IFERROR((SUMIFS('M3 · Base mensuelle'!$D$79:$AM$79,HDR,"&gt;="&amp;PP_START,HDR,"&lt;="&amp;PP_END))/1000000,"")</f>
        <v/>
      </c>
      <c r="G617" s="66">
        <f>IFERROR((E617)/(F617)-1,"")</f>
        <v/>
      </c>
      <c r="H617" s="70">
        <f>IFERROR((SUMIFS('M3 · Base mensuelle'!$D$79:$AM$79,HDR,"&gt;="&amp;PY_START,HDR,"&lt;="&amp;PY_END))/1000000,"")</f>
        <v/>
      </c>
      <c r="I617" s="66">
        <f>IFERROR((E617)/(H617)-1,"")</f>
        <v/>
      </c>
      <c r="J617" s="70">
        <f>IFERROR((SUMPRODUCT((BUD_MONTHS&gt;=MONTH(P_START))*(BUD_MONTHS&lt;=MONTH(P_END))*'M1 · Paramètres'!$H$80:$S$80))/1000000,"")</f>
        <v/>
      </c>
      <c r="K617" s="66">
        <f>IFERROR((E617)/(J617)-1,"")</f>
        <v/>
      </c>
      <c r="L617" s="68">
        <f>IF(O617="","",IF(O617="green",IFERROR(IF(LANG="EN",INDEX(I18N_EN,MATCH("rag.green",I18N_KEY,0)),INDEX(I18N_FR,MATCH("rag.green",I18N_KEY,0))),"rag.green"),IF(O617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617" s="3" t="n"/>
      <c r="N617" s="32" t="n"/>
      <c r="O617" s="69">
        <f>IFERROR(IF(IF(N(J617)&gt;0,J617,H617)=0,"",IF(INDEX(RAG_SENS,MATCH("kpi.com.market_rev",RAG_KEY,0))="UP",IF((E617/IF(N(J617)&gt;0,J617,H617))&gt;=INDEX(RAG_SV,MATCH("kpi.com.market_rev",RAG_KEY,0)),"green",IF((E617/IF(N(J617)&gt;0,J617,H617))&gt;=INDEX(RAG_SA,MATCH("kpi.com.market_rev",RAG_KEY,0)),"amber","red")),IF((E617/IF(N(J617)&gt;0,J617,H617))&lt;=INDEX(RAG_SV,MATCH("kpi.com.market_rev",RAG_KEY,0)),"green",IF((E617/IF(N(J617)&gt;0,J617,H617))&lt;=INDEX(RAG_SA,MATCH("kpi.com.market_rev",RAG_KEY,0)),"amber","red")))),"")</f>
        <v/>
      </c>
    </row>
    <row r="618">
      <c r="C618" s="72">
        <f>"◆ "&amp;IFERROR(IF(LANG="EN",INDEX(I18N_EN,MATCH("msg.highlights",I18N_KEY,0)),INDEX(I18N_FR,MATCH("msg.highlights",I18N_KEY,0))),"msg.highlights")</f>
        <v/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2" t="n"/>
    </row>
    <row r="619">
      <c r="C619" s="73">
        <f>IFERROR("▲ "&amp;INDEX(C615:C617,MATCH(MAX(G615:G617),G615:G617,0))&amp;"   "&amp;TEXT(MAX(G615:G617),"+0.0%;-0.0%"),"")</f>
        <v/>
      </c>
      <c r="D619" s="3" t="n"/>
      <c r="E619" s="3" t="n"/>
      <c r="F619" s="3" t="n"/>
      <c r="G619" s="3" t="n"/>
      <c r="H619" s="3" t="n"/>
      <c r="I619" s="74">
        <f>IFERROR("▼ "&amp;INDEX(C615:C617,MATCH(MIN(G615:G617),G615:G617,0))&amp;"   "&amp;TEXT(MIN(G615:G617),"+0.0%;-0.0%"),"")</f>
        <v/>
      </c>
      <c r="J619" s="3" t="n"/>
      <c r="K619" s="3" t="n"/>
      <c r="L619" s="3" t="n"/>
      <c r="M619" s="3" t="n"/>
      <c r="N619" s="32" t="n"/>
    </row>
    <row r="620">
      <c r="C620" s="53">
        <f>"💬 "&amp;IFERROR(IF(LANG="EN",INDEX(I18N_EN,MATCH("col.comment",I18N_KEY,0)),INDEX(I18N_FR,MATCH("col.comment",I18N_KEY,0))),"col.comment")</f>
        <v/>
      </c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4" t="n"/>
      <c r="O620" s="5" t="n"/>
    </row>
    <row r="621">
      <c r="C621" s="75">
        <f>IF('C6 · Commercial'!$D$42&lt;&gt;"",'C6 · Commercial'!$D$42,IFERROR(SUBSTITUTE(SUBSTITUTE(IF(G615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com.market_stalls",I18N_KEY,0)),INDEX(I18N_FR,MATCH("kpi.com.market_stalls",I18N_KEY,0))),"kpi.com.market_stalls")),"{delta}",TEXT(ABS(G615),"0.0%")),""))</f>
        <v/>
      </c>
      <c r="D621" s="56" t="n"/>
      <c r="E621" s="56" t="n"/>
      <c r="F621" s="56" t="n"/>
      <c r="G621" s="56" t="n"/>
      <c r="H621" s="56" t="n"/>
      <c r="I621" s="56" t="n"/>
      <c r="J621" s="56" t="n"/>
      <c r="K621" s="56" t="n"/>
      <c r="L621" s="56" t="n"/>
      <c r="M621" s="56" t="n"/>
      <c r="N621" s="56" t="n"/>
      <c r="O621" s="57" t="n"/>
    </row>
    <row r="622">
      <c r="C622" s="50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2" t="n"/>
    </row>
    <row r="623">
      <c r="C623" s="58" t="n"/>
      <c r="D623" s="58" t="n"/>
      <c r="E623" s="58" t="n"/>
      <c r="F623" s="58" t="n"/>
      <c r="G623" s="58" t="n"/>
      <c r="H623" s="58" t="n"/>
      <c r="I623" s="58" t="n"/>
      <c r="J623" s="58" t="n"/>
      <c r="K623" s="58" t="n"/>
      <c r="L623" s="58" t="n"/>
      <c r="M623" s="58" t="n"/>
      <c r="N623" s="58" t="n"/>
      <c r="O623" s="59" t="n"/>
    </row>
    <row r="624">
      <c r="C624" s="60" t="n"/>
      <c r="D624" s="3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22" t="n"/>
    </row>
    <row r="625"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</row>
    <row r="626" ht="19" customHeight="1">
      <c r="C626" s="46">
        <f>"▸  4.4.2b  "&amp;IF(LANG="EN","Le Market — artisan kiosks","Le Market — kiosques d'artisans")</f>
        <v/>
      </c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  <c r="N626" s="48" t="n"/>
      <c r="O626" s="1" t="n"/>
    </row>
    <row r="627">
      <c r="C627" s="80" t="inlineStr">
        <is>
          <t>Kiosque / Kiosk</t>
        </is>
      </c>
      <c r="D627" s="81" t="inlineStr">
        <is>
          <t>Artisan</t>
        </is>
      </c>
      <c r="E627" s="81" t="inlineStr">
        <is>
          <t>Métier / Craft</t>
        </is>
      </c>
      <c r="F627" s="62" t="inlineStr">
        <is>
          <t>Loyer / Rent</t>
        </is>
      </c>
      <c r="G627" s="81" t="inlineStr">
        <is>
          <t>Statut / Status</t>
        </is>
      </c>
      <c r="H627" s="3" t="n"/>
      <c r="I627" s="3" t="n"/>
      <c r="J627" s="3" t="n"/>
      <c r="K627" s="3" t="n"/>
      <c r="L627" s="3" t="n"/>
      <c r="M627" s="3" t="n"/>
      <c r="N627" s="32" t="n"/>
    </row>
    <row r="628">
      <c r="C628" s="82" t="inlineStr">
        <is>
          <t>K-01</t>
        </is>
      </c>
      <c r="D628" s="84" t="inlineStr">
        <is>
          <t>Awa Couture</t>
        </is>
      </c>
      <c r="E628" s="84" t="inlineStr">
        <is>
          <t>Couture / Tailoring</t>
        </is>
      </c>
      <c r="F628" s="83" t="n">
        <v>450000</v>
      </c>
      <c r="G628" s="84" t="inlineStr">
        <is>
          <t>Loué / Let</t>
        </is>
      </c>
      <c r="H628" s="3" t="n"/>
      <c r="I628" s="3" t="n"/>
      <c r="J628" s="3" t="n"/>
      <c r="K628" s="3" t="n"/>
      <c r="L628" s="3" t="n"/>
      <c r="M628" s="3" t="n"/>
      <c r="N628" s="32" t="n"/>
    </row>
    <row r="629">
      <c r="C629" s="82" t="inlineStr">
        <is>
          <t>K-02</t>
        </is>
      </c>
      <c r="D629" s="84" t="inlineStr">
        <is>
          <t>Kossi Bois</t>
        </is>
      </c>
      <c r="E629" s="84" t="inlineStr">
        <is>
          <t>Artisanat bois / Woodcraft</t>
        </is>
      </c>
      <c r="F629" s="83" t="n">
        <v>380000</v>
      </c>
      <c r="G629" s="84" t="inlineStr">
        <is>
          <t>Loué / Let</t>
        </is>
      </c>
      <c r="H629" s="3" t="n"/>
      <c r="I629" s="3" t="n"/>
      <c r="J629" s="3" t="n"/>
      <c r="K629" s="3" t="n"/>
      <c r="L629" s="3" t="n"/>
      <c r="M629" s="3" t="n"/>
      <c r="N629" s="32" t="n"/>
    </row>
    <row r="630">
      <c r="C630" s="82" t="inlineStr">
        <is>
          <t>K-03</t>
        </is>
      </c>
      <c r="D630" s="84" t="inlineStr">
        <is>
          <t>Bijoux Yas</t>
        </is>
      </c>
      <c r="E630" s="84" t="inlineStr">
        <is>
          <t>Bijouterie / Jewelry</t>
        </is>
      </c>
      <c r="F630" s="83" t="n">
        <v>520000</v>
      </c>
      <c r="G630" s="84" t="inlineStr">
        <is>
          <t>Loué / Let</t>
        </is>
      </c>
      <c r="H630" s="3" t="n"/>
      <c r="I630" s="3" t="n"/>
      <c r="J630" s="3" t="n"/>
      <c r="K630" s="3" t="n"/>
      <c r="L630" s="3" t="n"/>
      <c r="M630" s="3" t="n"/>
      <c r="N630" s="32" t="n"/>
    </row>
    <row r="631">
      <c r="C631" s="82" t="inlineStr">
        <is>
          <t>K-04</t>
        </is>
      </c>
      <c r="D631" s="84" t="inlineStr">
        <is>
          <t>Cuir &amp; Co</t>
        </is>
      </c>
      <c r="E631" s="84" t="inlineStr">
        <is>
          <t>Maroquinerie / Leather</t>
        </is>
      </c>
      <c r="F631" s="83" t="n">
        <v>410000</v>
      </c>
      <c r="G631" s="84" t="inlineStr">
        <is>
          <t>Loué / Let</t>
        </is>
      </c>
      <c r="H631" s="3" t="n"/>
      <c r="I631" s="3" t="n"/>
      <c r="J631" s="3" t="n"/>
      <c r="K631" s="3" t="n"/>
      <c r="L631" s="3" t="n"/>
      <c r="M631" s="3" t="n"/>
      <c r="N631" s="32" t="n"/>
    </row>
    <row r="632">
      <c r="C632" s="82" t="inlineStr">
        <is>
          <t>K-05</t>
        </is>
      </c>
      <c r="D632" s="84" t="inlineStr">
        <is>
          <t>Déco Akwaba</t>
        </is>
      </c>
      <c r="E632" s="84" t="inlineStr">
        <is>
          <t>Décoration / Decor</t>
        </is>
      </c>
      <c r="F632" s="83" t="n">
        <v>0</v>
      </c>
      <c r="G632" s="84" t="inlineStr">
        <is>
          <t>Vacant</t>
        </is>
      </c>
      <c r="H632" s="3" t="n"/>
      <c r="I632" s="3" t="n"/>
      <c r="J632" s="3" t="n"/>
      <c r="K632" s="3" t="n"/>
      <c r="L632" s="3" t="n"/>
      <c r="M632" s="3" t="n"/>
      <c r="N632" s="32" t="n"/>
    </row>
    <row r="633">
      <c r="C633" s="82" t="inlineStr">
        <is>
          <t>K-06</t>
        </is>
      </c>
      <c r="D633" s="84" t="inlineStr">
        <is>
          <t>Épices Mama</t>
        </is>
      </c>
      <c r="E633" s="84" t="inlineStr">
        <is>
          <t>Épices / Spices</t>
        </is>
      </c>
      <c r="F633" s="83" t="n">
        <v>300000</v>
      </c>
      <c r="G633" s="84" t="inlineStr">
        <is>
          <t>Loué / Let</t>
        </is>
      </c>
      <c r="H633" s="3" t="n"/>
      <c r="I633" s="3" t="n"/>
      <c r="J633" s="3" t="n"/>
      <c r="K633" s="3" t="n"/>
      <c r="L633" s="3" t="n"/>
      <c r="M633" s="3" t="n"/>
      <c r="N633" s="32" t="n"/>
    </row>
    <row r="634">
      <c r="C634" s="50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2" t="n"/>
    </row>
    <row r="635">
      <c r="C635" s="50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2" t="n"/>
    </row>
    <row r="636">
      <c r="C636" s="50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2" t="n"/>
    </row>
    <row r="637">
      <c r="C637" s="50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2" t="n"/>
    </row>
    <row r="638">
      <c r="C638" s="50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2" t="n"/>
    </row>
    <row r="639">
      <c r="C639" s="50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2" t="n"/>
    </row>
    <row r="640">
      <c r="C640" s="50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2" t="n"/>
    </row>
    <row r="641">
      <c r="C641" s="50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2" t="n"/>
    </row>
    <row r="642">
      <c r="C642" s="53">
        <f>"💬 "&amp;IFERROR(IF(LANG="EN",INDEX(I18N_EN,MATCH("col.comment",I18N_KEY,0)),INDEX(I18N_FR,MATCH("col.comment",I18N_KEY,0))),"col.comment")</f>
        <v/>
      </c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4" t="n"/>
      <c r="O642" s="5" t="n"/>
    </row>
    <row r="643">
      <c r="C643" s="55">
        <f>IF(LANG="EN","Commentary / data source: management systems (demo).","Commentaire / source : systèmes de gestion (démo).")</f>
        <v/>
      </c>
      <c r="D643" s="56" t="n"/>
      <c r="E643" s="56" t="n"/>
      <c r="F643" s="56" t="n"/>
      <c r="G643" s="56" t="n"/>
      <c r="H643" s="56" t="n"/>
      <c r="I643" s="56" t="n"/>
      <c r="J643" s="56" t="n"/>
      <c r="K643" s="56" t="n"/>
      <c r="L643" s="56" t="n"/>
      <c r="M643" s="56" t="n"/>
      <c r="N643" s="56" t="n"/>
      <c r="O643" s="57" t="n"/>
    </row>
    <row r="644">
      <c r="C644" s="50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2" t="n"/>
    </row>
    <row r="645">
      <c r="C645" s="58" t="n"/>
      <c r="D645" s="58" t="n"/>
      <c r="E645" s="58" t="n"/>
      <c r="F645" s="58" t="n"/>
      <c r="G645" s="58" t="n"/>
      <c r="H645" s="58" t="n"/>
      <c r="I645" s="58" t="n"/>
      <c r="J645" s="58" t="n"/>
      <c r="K645" s="58" t="n"/>
      <c r="L645" s="58" t="n"/>
      <c r="M645" s="58" t="n"/>
      <c r="N645" s="58" t="n"/>
      <c r="O645" s="59" t="n"/>
    </row>
    <row r="646">
      <c r="C646" s="60" t="n"/>
      <c r="D646" s="3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22" t="n"/>
    </row>
    <row r="647"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</row>
    <row r="648" ht="19" customHeight="1">
      <c r="C648" s="46">
        <f>"▸  4.4.3  "&amp;IF(LANG="EN","Legal Case 2024-2025","Contentieux 2024-2025")</f>
        <v/>
      </c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  <c r="N648" s="48" t="n"/>
      <c r="O648" s="1" t="n"/>
    </row>
    <row r="649">
      <c r="C649" s="80" t="inlineStr">
        <is>
          <t>Réf / Ref</t>
        </is>
      </c>
      <c r="D649" s="81" t="inlineStr">
        <is>
          <t>Locataire / Tenant</t>
        </is>
      </c>
      <c r="E649" s="62" t="inlineStr">
        <is>
          <t>Montant / Amount</t>
        </is>
      </c>
      <c r="F649" s="81" t="inlineStr">
        <is>
          <t>Statut / Status</t>
        </is>
      </c>
      <c r="G649" s="3" t="n"/>
      <c r="H649" s="3" t="n"/>
      <c r="I649" s="3" t="n"/>
      <c r="J649" s="3" t="n"/>
      <c r="K649" s="3" t="n"/>
      <c r="L649" s="3" t="n"/>
      <c r="M649" s="3" t="n"/>
      <c r="N649" s="32" t="n"/>
    </row>
    <row r="650">
      <c r="C650" s="82" t="inlineStr">
        <is>
          <t>LC-2401</t>
        </is>
      </c>
      <c r="D650" s="84" t="inlineStr">
        <is>
          <t>Ex-locataire A / Former tenant A</t>
        </is>
      </c>
      <c r="E650" s="83" t="n">
        <v>24000000</v>
      </c>
      <c r="F650" s="84" t="inlineStr">
        <is>
          <t>En cours / Ongoing</t>
        </is>
      </c>
      <c r="G650" s="3" t="n"/>
      <c r="H650" s="3" t="n"/>
      <c r="I650" s="3" t="n"/>
      <c r="J650" s="3" t="n"/>
      <c r="K650" s="3" t="n"/>
      <c r="L650" s="3" t="n"/>
      <c r="M650" s="3" t="n"/>
      <c r="N650" s="32" t="n"/>
    </row>
    <row r="651">
      <c r="C651" s="82" t="inlineStr">
        <is>
          <t>LC-2402</t>
        </is>
      </c>
      <c r="D651" s="84" t="inlineStr">
        <is>
          <t>Ex-locataire B / Former tenant B</t>
        </is>
      </c>
      <c r="E651" s="83" t="n">
        <v>13500000</v>
      </c>
      <c r="F651" s="84" t="inlineStr">
        <is>
          <t>Jugement / Judgment</t>
        </is>
      </c>
      <c r="G651" s="3" t="n"/>
      <c r="H651" s="3" t="n"/>
      <c r="I651" s="3" t="n"/>
      <c r="J651" s="3" t="n"/>
      <c r="K651" s="3" t="n"/>
      <c r="L651" s="3" t="n"/>
      <c r="M651" s="3" t="n"/>
      <c r="N651" s="32" t="n"/>
    </row>
    <row r="652">
      <c r="C652" s="82" t="inlineStr">
        <is>
          <t>LC-2503</t>
        </is>
      </c>
      <c r="D652" s="84" t="inlineStr">
        <is>
          <t>Prestataire X / Vendor X</t>
        </is>
      </c>
      <c r="E652" s="83" t="n">
        <v>8200000</v>
      </c>
      <c r="F652" s="84" t="inlineStr">
        <is>
          <t>Médiation / Mediation</t>
        </is>
      </c>
      <c r="G652" s="3" t="n"/>
      <c r="H652" s="3" t="n"/>
      <c r="I652" s="3" t="n"/>
      <c r="J652" s="3" t="n"/>
      <c r="K652" s="3" t="n"/>
      <c r="L652" s="3" t="n"/>
      <c r="M652" s="3" t="n"/>
      <c r="N652" s="32" t="n"/>
    </row>
    <row r="653">
      <c r="C653" s="50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2" t="n"/>
    </row>
    <row r="654">
      <c r="C654" s="50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2" t="n"/>
    </row>
    <row r="655">
      <c r="C655" s="50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2" t="n"/>
    </row>
    <row r="656">
      <c r="C656" s="50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2" t="n"/>
    </row>
    <row r="657">
      <c r="C657" s="50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2" t="n"/>
    </row>
    <row r="658">
      <c r="C658" s="50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2" t="n"/>
    </row>
    <row r="659">
      <c r="C659" s="50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2" t="n"/>
    </row>
    <row r="660">
      <c r="C660" s="50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2" t="n"/>
    </row>
    <row r="661">
      <c r="C661" s="53">
        <f>"💬 "&amp;IFERROR(IF(LANG="EN",INDEX(I18N_EN,MATCH("col.comment",I18N_KEY,0)),INDEX(I18N_FR,MATCH("col.comment",I18N_KEY,0))),"col.comment")</f>
        <v/>
      </c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4" t="n"/>
      <c r="O661" s="5" t="n"/>
    </row>
    <row r="662">
      <c r="C662" s="55">
        <f>IF(LANG="EN","Commentary / data source: management systems (demo).","Commentaire / source : systèmes de gestion (démo).")</f>
        <v/>
      </c>
      <c r="D662" s="56" t="n"/>
      <c r="E662" s="56" t="n"/>
      <c r="F662" s="56" t="n"/>
      <c r="G662" s="56" t="n"/>
      <c r="H662" s="56" t="n"/>
      <c r="I662" s="56" t="n"/>
      <c r="J662" s="56" t="n"/>
      <c r="K662" s="56" t="n"/>
      <c r="L662" s="56" t="n"/>
      <c r="M662" s="56" t="n"/>
      <c r="N662" s="56" t="n"/>
      <c r="O662" s="57" t="n"/>
    </row>
    <row r="663">
      <c r="C663" s="50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2" t="n"/>
    </row>
    <row r="664">
      <c r="C664" s="58" t="n"/>
      <c r="D664" s="58" t="n"/>
      <c r="E664" s="58" t="n"/>
      <c r="F664" s="58" t="n"/>
      <c r="G664" s="58" t="n"/>
      <c r="H664" s="58" t="n"/>
      <c r="I664" s="58" t="n"/>
      <c r="J664" s="58" t="n"/>
      <c r="K664" s="58" t="n"/>
      <c r="L664" s="58" t="n"/>
      <c r="M664" s="58" t="n"/>
      <c r="N664" s="58" t="n"/>
      <c r="O664" s="59" t="n"/>
    </row>
    <row r="665">
      <c r="C665" s="60" t="n"/>
      <c r="D665" s="3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22" t="n"/>
    </row>
    <row r="666"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</row>
    <row r="667" ht="19" customHeight="1">
      <c r="C667" s="46">
        <f>"▸  4.4.4  "&amp;IF(LANG="EN","Litigation to be Provisioned","Litiges à provisionner")</f>
        <v/>
      </c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  <c r="N667" s="48" t="n"/>
      <c r="O667" s="1" t="n"/>
    </row>
    <row r="668">
      <c r="C668" s="80" t="inlineStr">
        <is>
          <t>Réf / Ref</t>
        </is>
      </c>
      <c r="D668" s="81" t="inlineStr">
        <is>
          <t>Locataire / Tenant</t>
        </is>
      </c>
      <c r="E668" s="62" t="inlineStr">
        <is>
          <t>Montant / Amount</t>
        </is>
      </c>
      <c r="F668" s="62" t="inlineStr">
        <is>
          <t>Provision proposée / Proposed</t>
        </is>
      </c>
      <c r="G668" s="3" t="n"/>
      <c r="H668" s="3" t="n"/>
      <c r="I668" s="3" t="n"/>
      <c r="J668" s="3" t="n"/>
      <c r="K668" s="3" t="n"/>
      <c r="L668" s="3" t="n"/>
      <c r="M668" s="3" t="n"/>
      <c r="N668" s="32" t="n"/>
    </row>
    <row r="669">
      <c r="C669" s="82" t="inlineStr">
        <is>
          <t>LC-2604</t>
        </is>
      </c>
      <c r="D669" s="84" t="inlineStr">
        <is>
          <t>Locataire C / Tenant C</t>
        </is>
      </c>
      <c r="E669" s="83" t="n">
        <v>18000000</v>
      </c>
      <c r="F669" s="83" t="n">
        <v>9000000</v>
      </c>
      <c r="G669" s="3" t="n"/>
      <c r="H669" s="3" t="n"/>
      <c r="I669" s="3" t="n"/>
      <c r="J669" s="3" t="n"/>
      <c r="K669" s="3" t="n"/>
      <c r="L669" s="3" t="n"/>
      <c r="M669" s="3" t="n"/>
      <c r="N669" s="32" t="n"/>
    </row>
    <row r="670">
      <c r="C670" s="82" t="inlineStr">
        <is>
          <t>LC-2605</t>
        </is>
      </c>
      <c r="D670" s="84" t="inlineStr">
        <is>
          <t>Locataire D / Tenant D</t>
        </is>
      </c>
      <c r="E670" s="83" t="n">
        <v>11000000</v>
      </c>
      <c r="F670" s="83" t="n">
        <v>5500000</v>
      </c>
      <c r="G670" s="3" t="n"/>
      <c r="H670" s="3" t="n"/>
      <c r="I670" s="3" t="n"/>
      <c r="J670" s="3" t="n"/>
      <c r="K670" s="3" t="n"/>
      <c r="L670" s="3" t="n"/>
      <c r="M670" s="3" t="n"/>
      <c r="N670" s="32" t="n"/>
    </row>
    <row r="671">
      <c r="C671" s="82" t="inlineStr">
        <is>
          <t>LC-2606</t>
        </is>
      </c>
      <c r="D671" s="84" t="inlineStr">
        <is>
          <t>Locataire E / Tenant E</t>
        </is>
      </c>
      <c r="E671" s="83" t="n">
        <v>7500000</v>
      </c>
      <c r="F671" s="83" t="n">
        <v>3750000</v>
      </c>
      <c r="G671" s="3" t="n"/>
      <c r="H671" s="3" t="n"/>
      <c r="I671" s="3" t="n"/>
      <c r="J671" s="3" t="n"/>
      <c r="K671" s="3" t="n"/>
      <c r="L671" s="3" t="n"/>
      <c r="M671" s="3" t="n"/>
      <c r="N671" s="32" t="n"/>
    </row>
    <row r="672">
      <c r="C672" s="50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2" t="n"/>
    </row>
    <row r="673">
      <c r="C673" s="50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2" t="n"/>
    </row>
    <row r="674">
      <c r="C674" s="50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2" t="n"/>
    </row>
    <row r="675">
      <c r="C675" s="50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2" t="n"/>
    </row>
    <row r="676">
      <c r="C676" s="50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2" t="n"/>
    </row>
    <row r="677">
      <c r="C677" s="50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2" t="n"/>
    </row>
    <row r="678">
      <c r="C678" s="50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2" t="n"/>
    </row>
    <row r="679">
      <c r="C679" s="50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2" t="n"/>
    </row>
    <row r="680">
      <c r="C680" s="53">
        <f>"💬 "&amp;IFERROR(IF(LANG="EN",INDEX(I18N_EN,MATCH("col.comment",I18N_KEY,0)),INDEX(I18N_FR,MATCH("col.comment",I18N_KEY,0))),"col.comment")</f>
        <v/>
      </c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4" t="n"/>
      <c r="O680" s="5" t="n"/>
    </row>
    <row r="681">
      <c r="C681" s="55">
        <f>IF(LANG="EN","Commentary / data source: management systems (demo).","Commentaire / source : systèmes de gestion (démo).")</f>
        <v/>
      </c>
      <c r="D681" s="56" t="n"/>
      <c r="E681" s="56" t="n"/>
      <c r="F681" s="56" t="n"/>
      <c r="G681" s="56" t="n"/>
      <c r="H681" s="56" t="n"/>
      <c r="I681" s="56" t="n"/>
      <c r="J681" s="56" t="n"/>
      <c r="K681" s="56" t="n"/>
      <c r="L681" s="56" t="n"/>
      <c r="M681" s="56" t="n"/>
      <c r="N681" s="56" t="n"/>
      <c r="O681" s="57" t="n"/>
    </row>
    <row r="682">
      <c r="C682" s="50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2" t="n"/>
    </row>
    <row r="683">
      <c r="C683" s="58" t="n"/>
      <c r="D683" s="58" t="n"/>
      <c r="E683" s="58" t="n"/>
      <c r="F683" s="58" t="n"/>
      <c r="G683" s="58" t="n"/>
      <c r="H683" s="58" t="n"/>
      <c r="I683" s="58" t="n"/>
      <c r="J683" s="58" t="n"/>
      <c r="K683" s="58" t="n"/>
      <c r="L683" s="58" t="n"/>
      <c r="M683" s="58" t="n"/>
      <c r="N683" s="58" t="n"/>
      <c r="O683" s="59" t="n"/>
    </row>
    <row r="684">
      <c r="C684" s="60" t="n"/>
      <c r="D684" s="3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22" t="n"/>
    </row>
    <row r="685"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</row>
    <row r="686" ht="19" customHeight="1">
      <c r="C686" s="46">
        <f>"▸  4.4.5  "&amp;IF(LANG="EN","Provisioned Litigation","Litiges provisionnés")</f>
        <v/>
      </c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  <c r="N686" s="48" t="n"/>
      <c r="O686" s="1" t="n"/>
    </row>
    <row r="687">
      <c r="C687" s="80" t="inlineStr">
        <is>
          <t>Réf / Ref</t>
        </is>
      </c>
      <c r="D687" s="81" t="inlineStr">
        <is>
          <t>Locataire / Tenant</t>
        </is>
      </c>
      <c r="E687" s="62" t="inlineStr">
        <is>
          <t>Montant / Amount</t>
        </is>
      </c>
      <c r="F687" s="62" t="inlineStr">
        <is>
          <t>Provision / Provision</t>
        </is>
      </c>
      <c r="G687" s="62" t="inlineStr">
        <is>
          <t>Taux / Rate</t>
        </is>
      </c>
      <c r="H687" s="3" t="n"/>
      <c r="I687" s="3" t="n"/>
      <c r="J687" s="3" t="n"/>
      <c r="K687" s="3" t="n"/>
      <c r="L687" s="3" t="n"/>
      <c r="M687" s="3" t="n"/>
      <c r="N687" s="32" t="n"/>
    </row>
    <row r="688">
      <c r="C688" s="82" t="inlineStr">
        <is>
          <t>LC-2401</t>
        </is>
      </c>
      <c r="D688" s="84" t="inlineStr">
        <is>
          <t>Ex-locataire A</t>
        </is>
      </c>
      <c r="E688" s="83" t="n">
        <v>24000000</v>
      </c>
      <c r="F688" s="83" t="n">
        <v>12000000</v>
      </c>
      <c r="G688" s="86" t="n">
        <v>0.5</v>
      </c>
      <c r="H688" s="3" t="n"/>
      <c r="I688" s="3" t="n"/>
      <c r="J688" s="3" t="n"/>
      <c r="K688" s="3" t="n"/>
      <c r="L688" s="3" t="n"/>
      <c r="M688" s="3" t="n"/>
      <c r="N688" s="32" t="n"/>
    </row>
    <row r="689">
      <c r="C689" s="82" t="inlineStr">
        <is>
          <t>LC-2402</t>
        </is>
      </c>
      <c r="D689" s="84" t="inlineStr">
        <is>
          <t>Ex-locataire B</t>
        </is>
      </c>
      <c r="E689" s="83" t="n">
        <v>13500000</v>
      </c>
      <c r="F689" s="83" t="n">
        <v>13500000</v>
      </c>
      <c r="G689" s="86" t="n">
        <v>1</v>
      </c>
      <c r="H689" s="3" t="n"/>
      <c r="I689" s="3" t="n"/>
      <c r="J689" s="3" t="n"/>
      <c r="K689" s="3" t="n"/>
      <c r="L689" s="3" t="n"/>
      <c r="M689" s="3" t="n"/>
      <c r="N689" s="32" t="n"/>
    </row>
    <row r="690">
      <c r="C690" s="82" t="inlineStr">
        <is>
          <t>LC-2503</t>
        </is>
      </c>
      <c r="D690" s="84" t="inlineStr">
        <is>
          <t>Prestataire X</t>
        </is>
      </c>
      <c r="E690" s="83" t="n">
        <v>8200000</v>
      </c>
      <c r="F690" s="83" t="n">
        <v>4100000</v>
      </c>
      <c r="G690" s="86" t="n">
        <v>0.5</v>
      </c>
      <c r="H690" s="3" t="n"/>
      <c r="I690" s="3" t="n"/>
      <c r="J690" s="3" t="n"/>
      <c r="K690" s="3" t="n"/>
      <c r="L690" s="3" t="n"/>
      <c r="M690" s="3" t="n"/>
      <c r="N690" s="32" t="n"/>
    </row>
    <row r="691">
      <c r="C691" s="50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2" t="n"/>
    </row>
    <row r="692">
      <c r="C692" s="50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2" t="n"/>
    </row>
    <row r="693">
      <c r="C693" s="50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2" t="n"/>
    </row>
    <row r="694">
      <c r="C694" s="50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2" t="n"/>
    </row>
    <row r="695">
      <c r="C695" s="50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2" t="n"/>
    </row>
    <row r="696">
      <c r="C696" s="50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2" t="n"/>
    </row>
    <row r="697">
      <c r="C697" s="50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2" t="n"/>
    </row>
    <row r="698">
      <c r="C698" s="50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2" t="n"/>
    </row>
    <row r="699">
      <c r="C699" s="53">
        <f>"💬 "&amp;IFERROR(IF(LANG="EN",INDEX(I18N_EN,MATCH("col.comment",I18N_KEY,0)),INDEX(I18N_FR,MATCH("col.comment",I18N_KEY,0))),"col.comment")</f>
        <v/>
      </c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4" t="n"/>
      <c r="O699" s="5" t="n"/>
    </row>
    <row r="700">
      <c r="C700" s="55">
        <f>IF(LANG="EN","Commentary / data source: management systems (demo).","Commentaire / source : systèmes de gestion (démo).")</f>
        <v/>
      </c>
      <c r="D700" s="56" t="n"/>
      <c r="E700" s="56" t="n"/>
      <c r="F700" s="56" t="n"/>
      <c r="G700" s="56" t="n"/>
      <c r="H700" s="56" t="n"/>
      <c r="I700" s="56" t="n"/>
      <c r="J700" s="56" t="n"/>
      <c r="K700" s="56" t="n"/>
      <c r="L700" s="56" t="n"/>
      <c r="M700" s="56" t="n"/>
      <c r="N700" s="56" t="n"/>
      <c r="O700" s="57" t="n"/>
    </row>
    <row r="701">
      <c r="C701" s="50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2" t="n"/>
    </row>
    <row r="702">
      <c r="C702" s="58" t="n"/>
      <c r="D702" s="58" t="n"/>
      <c r="E702" s="58" t="n"/>
      <c r="F702" s="58" t="n"/>
      <c r="G702" s="58" t="n"/>
      <c r="H702" s="58" t="n"/>
      <c r="I702" s="58" t="n"/>
      <c r="J702" s="58" t="n"/>
      <c r="K702" s="58" t="n"/>
      <c r="L702" s="58" t="n"/>
      <c r="M702" s="58" t="n"/>
      <c r="N702" s="58" t="n"/>
      <c r="O702" s="59" t="n"/>
    </row>
    <row r="703">
      <c r="C703" s="60" t="n"/>
      <c r="D703" s="3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22" t="n"/>
    </row>
    <row r="704"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</row>
    <row r="705" ht="19" customHeight="1">
      <c r="C705" s="46">
        <f>"▸  4.4.6  "&amp;IF(LANG="EN","Discounts Granted","Escomptes accordés")</f>
        <v/>
      </c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  <c r="N705" s="48" t="n"/>
      <c r="O705" s="1" t="n"/>
    </row>
    <row r="706">
      <c r="C706" s="80" t="inlineStr">
        <is>
          <t>Locataire / Tenant</t>
        </is>
      </c>
      <c r="D706" s="81" t="inlineStr">
        <is>
          <t>Motif / Reason</t>
        </is>
      </c>
      <c r="E706" s="62" t="inlineStr">
        <is>
          <t>Escompte / Discount</t>
        </is>
      </c>
      <c r="F706" s="62" t="inlineStr">
        <is>
          <t>% CA / of rent</t>
        </is>
      </c>
      <c r="G706" s="3" t="n"/>
      <c r="H706" s="3" t="n"/>
      <c r="I706" s="3" t="n"/>
      <c r="J706" s="3" t="n"/>
      <c r="K706" s="3" t="n"/>
      <c r="L706" s="3" t="n"/>
      <c r="M706" s="3" t="n"/>
      <c r="N706" s="32" t="n"/>
    </row>
    <row r="707">
      <c r="C707" s="82" t="inlineStr">
        <is>
          <t>Carrefour</t>
        </is>
      </c>
      <c r="D707" s="84" t="inlineStr">
        <is>
          <t>Ancrage / Anchor</t>
        </is>
      </c>
      <c r="E707" s="83" t="n">
        <v>3800000</v>
      </c>
      <c r="F707" s="86" t="n">
        <v>0.1</v>
      </c>
      <c r="G707" s="3" t="n"/>
      <c r="H707" s="3" t="n"/>
      <c r="I707" s="3" t="n"/>
      <c r="J707" s="3" t="n"/>
      <c r="K707" s="3" t="n"/>
      <c r="L707" s="3" t="n"/>
      <c r="M707" s="3" t="n"/>
      <c r="N707" s="32" t="n"/>
    </row>
    <row r="708">
      <c r="C708" s="82" t="inlineStr">
        <is>
          <t>Cinéma Pathé</t>
        </is>
      </c>
      <c r="D708" s="84" t="inlineStr">
        <is>
          <t>Fréquentation / Footfall driver</t>
        </is>
      </c>
      <c r="E708" s="83" t="n">
        <v>1600000</v>
      </c>
      <c r="F708" s="86" t="n">
        <v>0.1</v>
      </c>
      <c r="G708" s="3" t="n"/>
      <c r="H708" s="3" t="n"/>
      <c r="I708" s="3" t="n"/>
      <c r="J708" s="3" t="n"/>
      <c r="K708" s="3" t="n"/>
      <c r="L708" s="3" t="n"/>
      <c r="M708" s="3" t="n"/>
      <c r="N708" s="32" t="n"/>
    </row>
    <row r="709">
      <c r="C709" s="82" t="inlineStr">
        <is>
          <t>Zara</t>
        </is>
      </c>
      <c r="D709" s="84" t="inlineStr">
        <is>
          <t>Négociation / Negotiation</t>
        </is>
      </c>
      <c r="E709" s="83" t="n">
        <v>1100000</v>
      </c>
      <c r="F709" s="86" t="n">
        <v>0.1</v>
      </c>
      <c r="G709" s="3" t="n"/>
      <c r="H709" s="3" t="n"/>
      <c r="I709" s="3" t="n"/>
      <c r="J709" s="3" t="n"/>
      <c r="K709" s="3" t="n"/>
      <c r="L709" s="3" t="n"/>
      <c r="M709" s="3" t="n"/>
      <c r="N709" s="32" t="n"/>
    </row>
    <row r="710">
      <c r="C710" s="82" t="inlineStr">
        <is>
          <t>Food court (global)</t>
        </is>
      </c>
      <c r="D710" s="84" t="inlineStr">
        <is>
          <t>Lancement / Launch</t>
        </is>
      </c>
      <c r="E710" s="83" t="n">
        <v>900000</v>
      </c>
      <c r="F710" s="86" t="n">
        <v>0.05</v>
      </c>
      <c r="G710" s="3" t="n"/>
      <c r="H710" s="3" t="n"/>
      <c r="I710" s="3" t="n"/>
      <c r="J710" s="3" t="n"/>
      <c r="K710" s="3" t="n"/>
      <c r="L710" s="3" t="n"/>
      <c r="M710" s="3" t="n"/>
      <c r="N710" s="32" t="n"/>
    </row>
    <row r="711">
      <c r="C711" s="50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2" t="n"/>
    </row>
    <row r="712">
      <c r="C712" s="50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2" t="n"/>
    </row>
    <row r="713">
      <c r="C713" s="50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2" t="n"/>
    </row>
    <row r="714">
      <c r="C714" s="50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2" t="n"/>
    </row>
    <row r="715">
      <c r="C715" s="50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2" t="n"/>
    </row>
    <row r="716">
      <c r="C716" s="50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2" t="n"/>
    </row>
    <row r="717">
      <c r="C717" s="50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2" t="n"/>
    </row>
    <row r="718">
      <c r="C718" s="50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2" t="n"/>
    </row>
    <row r="719">
      <c r="C719" s="53">
        <f>"💬 "&amp;IFERROR(IF(LANG="EN",INDEX(I18N_EN,MATCH("col.comment",I18N_KEY,0)),INDEX(I18N_FR,MATCH("col.comment",I18N_KEY,0))),"col.comment")</f>
        <v/>
      </c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4" t="n"/>
      <c r="O719" s="5" t="n"/>
    </row>
    <row r="720">
      <c r="C720" s="55">
        <f>IF(LANG="EN","Commentary / data source: management systems (demo).","Commentaire / source : systèmes de gestion (démo).")</f>
        <v/>
      </c>
      <c r="D720" s="56" t="n"/>
      <c r="E720" s="56" t="n"/>
      <c r="F720" s="56" t="n"/>
      <c r="G720" s="56" t="n"/>
      <c r="H720" s="56" t="n"/>
      <c r="I720" s="56" t="n"/>
      <c r="J720" s="56" t="n"/>
      <c r="K720" s="56" t="n"/>
      <c r="L720" s="56" t="n"/>
      <c r="M720" s="56" t="n"/>
      <c r="N720" s="56" t="n"/>
      <c r="O720" s="57" t="n"/>
    </row>
    <row r="721">
      <c r="C721" s="50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2" t="n"/>
    </row>
    <row r="722">
      <c r="C722" s="58" t="n"/>
      <c r="D722" s="58" t="n"/>
      <c r="E722" s="58" t="n"/>
      <c r="F722" s="58" t="n"/>
      <c r="G722" s="58" t="n"/>
      <c r="H722" s="58" t="n"/>
      <c r="I722" s="58" t="n"/>
      <c r="J722" s="58" t="n"/>
      <c r="K722" s="58" t="n"/>
      <c r="L722" s="58" t="n"/>
      <c r="M722" s="58" t="n"/>
      <c r="N722" s="58" t="n"/>
      <c r="O722" s="59" t="n"/>
    </row>
    <row r="723">
      <c r="C723" s="60" t="n"/>
      <c r="D723" s="3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22" t="n"/>
    </row>
    <row r="724"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</row>
    <row r="725" ht="19" customHeight="1">
      <c r="C725" s="46">
        <f>"▸  4.5  "&amp;IF(LANG="EN","Commentary","Commentaire")</f>
        <v/>
      </c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  <c r="N725" s="48" t="n"/>
      <c r="O725" s="1" t="n"/>
    </row>
    <row r="726">
      <c r="C726" s="53">
        <f>"💬 "&amp;IFERROR(IF(LANG="EN",INDEX(I18N_EN,MATCH("col.comment",I18N_KEY,0)),INDEX(I18N_FR,MATCH("col.comment",I18N_KEY,0))),"col.comment")</f>
        <v/>
      </c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4" t="n"/>
      <c r="O726" s="5" t="n"/>
    </row>
    <row r="727">
      <c r="C727" s="55">
        <f>IF(LANG="EN","Commentary.","Commentaire.")</f>
        <v/>
      </c>
      <c r="D727" s="56" t="n"/>
      <c r="E727" s="56" t="n"/>
      <c r="F727" s="56" t="n"/>
      <c r="G727" s="56" t="n"/>
      <c r="H727" s="56" t="n"/>
      <c r="I727" s="56" t="n"/>
      <c r="J727" s="56" t="n"/>
      <c r="K727" s="56" t="n"/>
      <c r="L727" s="56" t="n"/>
      <c r="M727" s="56" t="n"/>
      <c r="N727" s="56" t="n"/>
      <c r="O727" s="57" t="n"/>
    </row>
    <row r="728">
      <c r="C728" s="50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2" t="n"/>
    </row>
    <row r="729">
      <c r="C729" s="58" t="n"/>
      <c r="D729" s="58" t="n"/>
      <c r="E729" s="58" t="n"/>
      <c r="F729" s="58" t="n"/>
      <c r="G729" s="58" t="n"/>
      <c r="H729" s="58" t="n"/>
      <c r="I729" s="58" t="n"/>
      <c r="J729" s="58" t="n"/>
      <c r="K729" s="58" t="n"/>
      <c r="L729" s="58" t="n"/>
      <c r="M729" s="58" t="n"/>
      <c r="N729" s="58" t="n"/>
      <c r="O729" s="59" t="n"/>
    </row>
    <row r="730">
      <c r="C730" s="60" t="n"/>
      <c r="D730" s="3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22" t="n"/>
    </row>
    <row r="731"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</row>
    <row r="732" ht="19" customHeight="1">
      <c r="C732" s="46">
        <f>"🎯  4.7  "&amp;IF(LANG="EN","Budget vs Actual","Budget vs Réalisé")</f>
        <v/>
      </c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  <c r="N732" s="48" t="n"/>
      <c r="O732" s="1" t="n"/>
    </row>
    <row r="733">
      <c r="C733" s="76">
        <f>"▌ "&amp;IF(LANG="EN","Actual vs Budget — 12 months","Réalisé vs Budget — 12 mois")</f>
        <v/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2" t="n"/>
    </row>
    <row r="734">
      <c r="C734" s="50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2" t="n"/>
    </row>
    <row r="735">
      <c r="C735" s="50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2" t="n"/>
    </row>
    <row r="736">
      <c r="C736" s="50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2" t="n"/>
    </row>
    <row r="737">
      <c r="C737" s="50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2" t="n"/>
    </row>
    <row r="738">
      <c r="C738" s="50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2" t="n"/>
    </row>
    <row r="739">
      <c r="C739" s="50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2" t="n"/>
    </row>
    <row r="740">
      <c r="C740" s="50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2" t="n"/>
    </row>
    <row r="741">
      <c r="C741" s="50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2" t="n"/>
    </row>
    <row r="742">
      <c r="C742" s="50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2" t="n"/>
    </row>
    <row r="743">
      <c r="C743" s="50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2" t="n"/>
    </row>
    <row r="744">
      <c r="C744" s="50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2" t="n"/>
    </row>
    <row r="745">
      <c r="C745" s="50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2" t="n"/>
    </row>
    <row r="746">
      <c r="C746" s="61">
        <f>IFERROR(IF(LANG="EN",INDEX(I18N_EN,MATCH("col.kpi",I18N_KEY,0)),INDEX(I18N_FR,MATCH("col.kpi",I18N_KEY,0))),"col.kpi")</f>
        <v/>
      </c>
      <c r="D746" s="62">
        <f>IFERROR(IF(LANG="EN",INDEX(I18N_EN,MATCH("col.unit",I18N_KEY,0)),INDEX(I18N_FR,MATCH("col.unit",I18N_KEY,0))),"col.unit")</f>
        <v/>
      </c>
      <c r="E746" s="62">
        <f>IFERROR(IF(LANG="EN",INDEX(I18N_EN,MATCH("col.current",I18N_KEY,0)),INDEX(I18N_FR,MATCH("col.current",I18N_KEY,0))),"col.current")</f>
        <v/>
      </c>
      <c r="F746" s="62">
        <f>IFERROR(IF(LANG="EN",INDEX(I18N_EN,MATCH("col.budget",I18N_KEY,0)),INDEX(I18N_FR,MATCH("col.budget",I18N_KEY,0))),"col.budget")</f>
        <v/>
      </c>
      <c r="G746" s="62">
        <f>IFERROR(IF(LANG="EN",INDEX(I18N_EN,MATCH("col.var",I18N_KEY,0)),INDEX(I18N_FR,MATCH("col.var",I18N_KEY,0))),"col.var")</f>
        <v/>
      </c>
      <c r="H746" s="62">
        <f>IFERROR(IF(LANG="EN",INDEX(I18N_EN,MATCH("col.rag",I18N_KEY,0)),INDEX(I18N_FR,MATCH("col.rag",I18N_KEY,0))),"col.rag")</f>
        <v/>
      </c>
      <c r="I746" s="3" t="n"/>
      <c r="J746" s="3" t="n"/>
      <c r="K746" s="3" t="n"/>
      <c r="L746" s="3" t="n"/>
      <c r="M746" s="3" t="n"/>
      <c r="N746" s="32" t="n"/>
    </row>
    <row r="747">
      <c r="C747" s="63">
        <f>IFERROR(IF(LANG="EN",INDEX(I18N_EN,MATCH("kpi.rec.recovery",I18N_KEY,0)),INDEX(I18N_FR,MATCH("kpi.rec.recovery",I18N_KEY,0))),"kpi.rec.recovery")</f>
        <v/>
      </c>
      <c r="D747" s="64" t="inlineStr">
        <is>
          <t>%</t>
        </is>
      </c>
      <c r="E747" s="71">
        <f>IFERROR((AVERAGEIFS('M3 · Base mensuelle'!$D$32:$AM$32,HDR,"&gt;="&amp;P_START,HDR,"&lt;="&amp;P_END)),"")</f>
        <v/>
      </c>
      <c r="F747" s="71">
        <f>IFERROR((SUMPRODUCT((BUD_MONTHS&gt;=MONTH(P_START))*(BUD_MONTHS&lt;=MONTH(P_END))*'M1 · Paramètres'!$H$33:$S$33)/SUMPRODUCT((BUD_MONTHS&gt;=MONTH(P_START))*(BUD_MONTHS&lt;=MONTH(P_END))*1)),"")</f>
        <v/>
      </c>
      <c r="G747" s="77">
        <f>IFERROR((E747)/(F747)-1,"")</f>
        <v/>
      </c>
      <c r="H747" s="68">
        <f>IF(P747="","",IF(P747="green",IFERROR(IF(LANG="EN",INDEX(I18N_EN,MATCH("rag.green",I18N_KEY,0)),INDEX(I18N_FR,MATCH("rag.green",I18N_KEY,0))),"rag.green"),IF(P747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747" s="3" t="n"/>
      <c r="J747" s="3" t="n"/>
      <c r="K747" s="3" t="n"/>
      <c r="L747" s="3" t="n"/>
      <c r="M747" s="3" t="n"/>
      <c r="N747" s="32" t="n"/>
      <c r="P747" s="69">
        <f>IFERROR(IF(F747=0,"",IF(INDEX(RAG_SENS,MATCH("kpi.rec.recovery",RAG_KEY,0))="UP",IF((E747/F747)&gt;=INDEX(RAG_SV,MATCH("kpi.rec.recovery",RAG_KEY,0)),"green",IF((E747/F747)&gt;=INDEX(RAG_SA,MATCH("kpi.rec.recovery",RAG_KEY,0)),"amber","red")),IF((E747/F747)&lt;=INDEX(RAG_SV,MATCH("kpi.rec.recovery",RAG_KEY,0)),"green",IF((E747/F747)&lt;=INDEX(RAG_SA,MATCH("kpi.rec.recovery",RAG_KEY,0)),"amber","red")))),"")</f>
        <v/>
      </c>
    </row>
    <row r="748">
      <c r="C748" s="63">
        <f>IFERROR(IF(LANG="EN",INDEX(I18N_EN,MATCH("kpi.rec.collected",I18N_KEY,0)),INDEX(I18N_FR,MATCH("kpi.rec.collected",I18N_KEY,0))),"kpi.rec.collected")</f>
        <v/>
      </c>
      <c r="D748" s="64" t="inlineStr">
        <is>
          <t>FCFA</t>
        </is>
      </c>
      <c r="E748" s="70">
        <f>IFERROR((SUMIFS('M3 · Base mensuelle'!$D$33:$AM$33,HDR,"&gt;="&amp;P_START,HDR,"&lt;="&amp;P_END))/1000000,"")</f>
        <v/>
      </c>
      <c r="F748" s="70">
        <f>IFERROR((SUMPRODUCT((BUD_MONTHS&gt;=MONTH(P_START))*(BUD_MONTHS&lt;=MONTH(P_END))*'M1 · Paramètres'!$H$34:$S$34))/1000000,"")</f>
        <v/>
      </c>
      <c r="G748" s="77">
        <f>IFERROR((E748)/(F748)-1,"")</f>
        <v/>
      </c>
      <c r="H748" s="68">
        <f>IF(P748="","",IF(P748="green",IFERROR(IF(LANG="EN",INDEX(I18N_EN,MATCH("rag.green",I18N_KEY,0)),INDEX(I18N_FR,MATCH("rag.green",I18N_KEY,0))),"rag.green"),IF(P748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748" s="3" t="n"/>
      <c r="J748" s="3" t="n"/>
      <c r="K748" s="3" t="n"/>
      <c r="L748" s="3" t="n"/>
      <c r="M748" s="3" t="n"/>
      <c r="N748" s="32" t="n"/>
      <c r="P748" s="69">
        <f>IFERROR(IF(F748=0,"",IF(INDEX(RAG_SENS,MATCH("kpi.rec.collected",RAG_KEY,0))="UP",IF((E748/F748)&gt;=INDEX(RAG_SV,MATCH("kpi.rec.collected",RAG_KEY,0)),"green",IF((E748/F748)&gt;=INDEX(RAG_SA,MATCH("kpi.rec.collected",RAG_KEY,0)),"amber","red")),IF((E748/F748)&lt;=INDEX(RAG_SV,MATCH("kpi.rec.collected",RAG_KEY,0)),"green",IF((E748/F748)&lt;=INDEX(RAG_SA,MATCH("kpi.rec.collected",RAG_KEY,0)),"amber","red")))),"")</f>
        <v/>
      </c>
    </row>
    <row r="749">
      <c r="C749" s="63">
        <f>IFERROR(IF(LANG="EN",INDEX(I18N_EN,MATCH("kpi.rec.collected_dun",I18N_KEY,0)),INDEX(I18N_FR,MATCH("kpi.rec.collected_dun",I18N_KEY,0))),"kpi.rec.collected_dun")</f>
        <v/>
      </c>
      <c r="D749" s="64" t="inlineStr">
        <is>
          <t>FCFA</t>
        </is>
      </c>
      <c r="E749" s="70">
        <f>IFERROR((SUMIFS('M3 · Base mensuelle'!$D$38:$AM$38,HDR,"&gt;="&amp;P_START,HDR,"&lt;="&amp;P_END))/1000000,"")</f>
        <v/>
      </c>
      <c r="F749" s="70">
        <f>IFERROR((SUMPRODUCT((BUD_MONTHS&gt;=MONTH(P_START))*(BUD_MONTHS&lt;=MONTH(P_END))*'M1 · Paramètres'!$H$39:$S$39))/1000000,"")</f>
        <v/>
      </c>
      <c r="G749" s="77">
        <f>IFERROR((E749)/(F749)-1,"")</f>
        <v/>
      </c>
      <c r="H749" s="68">
        <f>IF(P749="","",IF(P749="green",IFERROR(IF(LANG="EN",INDEX(I18N_EN,MATCH("rag.green",I18N_KEY,0)),INDEX(I18N_FR,MATCH("rag.green",I18N_KEY,0))),"rag.green"),IF(P749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749" s="3" t="n"/>
      <c r="J749" s="3" t="n"/>
      <c r="K749" s="3" t="n"/>
      <c r="L749" s="3" t="n"/>
      <c r="M749" s="3" t="n"/>
      <c r="N749" s="32" t="n"/>
      <c r="P749" s="69">
        <f>IFERROR(IF(F749=0,"",IF(INDEX(RAG_SENS,MATCH("kpi.rec.collected_dun",RAG_KEY,0))="UP",IF((E749/F749)&gt;=INDEX(RAG_SV,MATCH("kpi.rec.collected_dun",RAG_KEY,0)),"green",IF((E749/F749)&gt;=INDEX(RAG_SA,MATCH("kpi.rec.collected_dun",RAG_KEY,0)),"amber","red")),IF((E749/F749)&lt;=INDEX(RAG_SV,MATCH("kpi.rec.collected_dun",RAG_KEY,0)),"green",IF((E749/F749)&lt;=INDEX(RAG_SA,MATCH("kpi.rec.collected_dun",RAG_KEY,0)),"amber","red")))),"")</f>
        <v/>
      </c>
    </row>
    <row r="750">
      <c r="C750" s="53">
        <f>"💬 "&amp;IFERROR(IF(LANG="EN",INDEX(I18N_EN,MATCH("col.comment",I18N_KEY,0)),INDEX(I18N_FR,MATCH("col.comment",I18N_KEY,0))),"col.comment")</f>
        <v/>
      </c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4" t="n"/>
      <c r="O750" s="5" t="n"/>
    </row>
    <row r="751">
      <c r="C751" s="55">
        <f>IF(LANG="EN","Budget variance commentary.","Commentaire écart budgétaire.")</f>
        <v/>
      </c>
      <c r="D751" s="56" t="n"/>
      <c r="E751" s="56" t="n"/>
      <c r="F751" s="56" t="n"/>
      <c r="G751" s="56" t="n"/>
      <c r="H751" s="56" t="n"/>
      <c r="I751" s="56" t="n"/>
      <c r="J751" s="56" t="n"/>
      <c r="K751" s="56" t="n"/>
      <c r="L751" s="56" t="n"/>
      <c r="M751" s="56" t="n"/>
      <c r="N751" s="56" t="n"/>
      <c r="O751" s="57" t="n"/>
    </row>
    <row r="752">
      <c r="C752" s="50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2" t="n"/>
    </row>
    <row r="753">
      <c r="C753" s="58" t="n"/>
      <c r="D753" s="58" t="n"/>
      <c r="E753" s="58" t="n"/>
      <c r="F753" s="58" t="n"/>
      <c r="G753" s="58" t="n"/>
      <c r="H753" s="58" t="n"/>
      <c r="I753" s="58" t="n"/>
      <c r="J753" s="58" t="n"/>
      <c r="K753" s="58" t="n"/>
      <c r="L753" s="58" t="n"/>
      <c r="M753" s="58" t="n"/>
      <c r="N753" s="58" t="n"/>
      <c r="O753" s="59" t="n"/>
    </row>
    <row r="754">
      <c r="C754" s="60" t="n"/>
      <c r="D754" s="3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22" t="n"/>
    </row>
    <row r="755"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</row>
    <row r="756">
      <c r="C756" s="78" t="n"/>
      <c r="D756" s="78" t="n"/>
      <c r="E756" s="78" t="n"/>
      <c r="F756" s="78" t="n"/>
      <c r="G756" s="78" t="n"/>
      <c r="H756" s="78" t="n"/>
      <c r="I756" s="78" t="n"/>
      <c r="J756" s="78" t="n"/>
      <c r="K756" s="78" t="n"/>
      <c r="L756" s="78" t="n"/>
      <c r="M756" s="78" t="n"/>
      <c r="N756" s="78" t="n"/>
      <c r="O756" s="78" t="n"/>
    </row>
    <row r="757"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</row>
    <row r="758" ht="28" customHeight="1">
      <c r="C758" s="9">
        <f>"         5.   "&amp;IFERROR(IF(LANG="EN",INDEX(I18N_EN,MATCH("dept.foot",I18N_KEY,0)),INDEX(I18N_FR,MATCH("dept.foot",I18N_KEY,0))),"dept.foot")&amp;"   ·   "&amp;IF(LANG="EN",INDEX(MOIS_EN,MONTH(PERIODE)),INDEX(MOIS_FR,MONTH(PERIODE)))&amp;" "&amp;YEAR(PERIODE)</f>
        <v/>
      </c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5">
        <f>"↑ "&amp;IFERROR(IF(LANG="EN",INDEX(I18N_EN,MATCH("nav.summary",I18N_KEY,0)),INDEX(I18N_FR,MATCH("nav.summary",I18N_KEY,0))),"nav.summary")</f>
        <v/>
      </c>
    </row>
    <row r="759">
      <c r="C759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</row>
    <row r="760"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</row>
    <row r="761" ht="5" customHeight="1">
      <c r="C761" s="17" t="n"/>
      <c r="D761" s="38" t="n"/>
      <c r="E761" s="38" t="n"/>
      <c r="F761" s="38" t="n"/>
      <c r="G761" s="38" t="n"/>
      <c r="H761" s="18" t="n"/>
      <c r="I761" s="17" t="n"/>
      <c r="J761" s="38" t="n"/>
      <c r="K761" s="38" t="n"/>
      <c r="L761" s="38" t="n"/>
      <c r="M761" s="38" t="n"/>
      <c r="N761" s="18" t="n"/>
    </row>
    <row r="762" ht="18" customHeight="1">
      <c r="C762" s="39">
        <f>"       "&amp;IFERROR(IF(LANG="EN",INDEX(I18N_EN,MATCH("kpi.foot.total",I18N_KEY,0)),INDEX(I18N_FR,MATCH("kpi.foot.total",I18N_KEY,0))),"kpi.foot.total")</f>
        <v/>
      </c>
      <c r="D762" s="40" t="n"/>
      <c r="E762" s="40" t="n"/>
      <c r="F762" s="40" t="n"/>
      <c r="G762" s="40" t="n"/>
      <c r="H762" s="20" t="n"/>
      <c r="I762" s="39">
        <f>"       "&amp;IFERROR(IF(LANG="EN",INDEX(I18N_EN,MATCH("kpi.foot.vs_budget",I18N_KEY,0)),INDEX(I18N_FR,MATCH("kpi.foot.vs_budget",I18N_KEY,0))),"kpi.foot.vs_budget")</f>
        <v/>
      </c>
      <c r="J762" s="40" t="n"/>
      <c r="K762" s="40" t="n"/>
      <c r="L762" s="40" t="n"/>
      <c r="M762" s="40" t="n"/>
      <c r="N762" s="20" t="n"/>
    </row>
    <row r="763" ht="42" customHeight="1">
      <c r="C763" s="41">
        <f>IFERROR((SUMIFS('M3 · Base mensuelle'!$D$44:$AM$44,HDR,"&gt;="&amp;P_START,HDR,"&lt;="&amp;P_END)),"")</f>
        <v/>
      </c>
      <c r="D763" s="40" t="n"/>
      <c r="E763" s="40" t="n"/>
      <c r="F763" s="40" t="n"/>
      <c r="G763" s="40" t="n"/>
      <c r="H763" s="20" t="n"/>
      <c r="I763" s="79">
        <f>IFERROR((AVERAGEIFS('M3 · Base mensuelle'!$D$45:$AM$45,HDR,"&gt;="&amp;P_START,HDR,"&lt;="&amp;P_END)),"")</f>
        <v/>
      </c>
      <c r="J763" s="40" t="n"/>
      <c r="K763" s="40" t="n"/>
      <c r="L763" s="40" t="n"/>
      <c r="M763" s="40" t="n"/>
      <c r="N763" s="20" t="n"/>
    </row>
    <row r="764" ht="20" customHeight="1">
      <c r="C764" s="42">
        <f>IFERROR((IFERROR((SUMIFS('M3 · Base mensuelle'!$D$44:$AM$44,HDR,"&gt;="&amp;P_START,HDR,"&lt;="&amp;P_END)),""))/(IFERROR((SUMIFS('M3 · Base mensuelle'!$D$44:$AM$44,HDR,"&gt;="&amp;PP_START,HDR,"&lt;="&amp;PP_END)),""))-1,"")</f>
        <v/>
      </c>
      <c r="D764" s="36" t="n"/>
      <c r="E764" s="36" t="n"/>
      <c r="F764" s="36" t="n"/>
      <c r="G764" s="36" t="n"/>
      <c r="H764" s="22" t="n"/>
      <c r="I764" s="42">
        <f>IFERROR((IFERROR((AVERAGEIFS('M3 · Base mensuelle'!$D$45:$AM$45,HDR,"&gt;="&amp;P_START,HDR,"&lt;="&amp;P_END)),""))/(IFERROR((AVERAGEIFS('M3 · Base mensuelle'!$D$45:$AM$45,HDR,"&gt;="&amp;PP_START,HDR,"&lt;="&amp;PP_END)),""))-1,"")</f>
        <v/>
      </c>
      <c r="J764" s="36" t="n"/>
      <c r="K764" s="36" t="n"/>
      <c r="L764" s="36" t="n"/>
      <c r="M764" s="36" t="n"/>
      <c r="N764" s="22" t="n"/>
    </row>
    <row r="765"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</row>
    <row r="766" ht="5" customHeight="1">
      <c r="C766" s="17" t="n"/>
      <c r="D766" s="38" t="n"/>
      <c r="E766" s="38" t="n"/>
      <c r="F766" s="38" t="n"/>
      <c r="G766" s="38" t="n"/>
      <c r="H766" s="18" t="n"/>
      <c r="I766" s="17" t="n"/>
      <c r="J766" s="38" t="n"/>
      <c r="K766" s="38" t="n"/>
      <c r="L766" s="38" t="n"/>
      <c r="M766" s="38" t="n"/>
      <c r="N766" s="18" t="n"/>
    </row>
    <row r="767" ht="18" customHeight="1">
      <c r="C767" s="39">
        <f>"       "&amp;IFERROR(IF(LANG="EN",INDEX(I18N_EN,MATCH("kpi.foot.per_sqm",I18N_KEY,0)),INDEX(I18N_FR,MATCH("kpi.foot.per_sqm",I18N_KEY,0))),"kpi.foot.per_sqm")</f>
        <v/>
      </c>
      <c r="D767" s="40" t="n"/>
      <c r="E767" s="40" t="n"/>
      <c r="F767" s="40" t="n"/>
      <c r="G767" s="40" t="n"/>
      <c r="H767" s="20" t="n"/>
      <c r="I767" s="39">
        <f>"       "&amp;IFERROR(IF(LANG="EN",INDEX(I18N_EN,MATCH("kpi.foot.conversion",I18N_KEY,0)),INDEX(I18N_FR,MATCH("kpi.foot.conversion",I18N_KEY,0))),"kpi.foot.conversion")</f>
        <v/>
      </c>
      <c r="J767" s="40" t="n"/>
      <c r="K767" s="40" t="n"/>
      <c r="L767" s="40" t="n"/>
      <c r="M767" s="40" t="n"/>
      <c r="N767" s="20" t="n"/>
    </row>
    <row r="768" ht="42" customHeight="1">
      <c r="C768" s="41">
        <f>IFERROR((AVERAGEIFS('M3 · Base mensuelle'!$D$46:$AM$46,HDR,"&gt;="&amp;P_START,HDR,"&lt;="&amp;P_END)),"")</f>
        <v/>
      </c>
      <c r="D768" s="40" t="n"/>
      <c r="E768" s="40" t="n"/>
      <c r="F768" s="40" t="n"/>
      <c r="G768" s="40" t="n"/>
      <c r="H768" s="20" t="n"/>
      <c r="I768" s="79">
        <f>IFERROR((AVERAGEIFS('M3 · Base mensuelle'!$D$47:$AM$47,HDR,"&gt;="&amp;P_START,HDR,"&lt;="&amp;P_END)),"")</f>
        <v/>
      </c>
      <c r="J768" s="40" t="n"/>
      <c r="K768" s="40" t="n"/>
      <c r="L768" s="40" t="n"/>
      <c r="M768" s="40" t="n"/>
      <c r="N768" s="20" t="n"/>
    </row>
    <row r="769" ht="20" customHeight="1">
      <c r="C769" s="42">
        <f>IFERROR((IFERROR((AVERAGEIFS('M3 · Base mensuelle'!$D$46:$AM$46,HDR,"&gt;="&amp;P_START,HDR,"&lt;="&amp;P_END)),""))/(IFERROR((AVERAGEIFS('M3 · Base mensuelle'!$D$46:$AM$46,HDR,"&gt;="&amp;PP_START,HDR,"&lt;="&amp;PP_END)),""))-1,"")</f>
        <v/>
      </c>
      <c r="D769" s="36" t="n"/>
      <c r="E769" s="36" t="n"/>
      <c r="F769" s="36" t="n"/>
      <c r="G769" s="36" t="n"/>
      <c r="H769" s="22" t="n"/>
      <c r="I769" s="42">
        <f>IFERROR((IFERROR((AVERAGEIFS('M3 · Base mensuelle'!$D$47:$AM$47,HDR,"&gt;="&amp;P_START,HDR,"&lt;="&amp;P_END)),""))/(IFERROR((AVERAGEIFS('M3 · Base mensuelle'!$D$47:$AM$47,HDR,"&gt;="&amp;PP_START,HDR,"&lt;="&amp;PP_END)),""))-1,"")</f>
        <v/>
      </c>
      <c r="J769" s="36" t="n"/>
      <c r="K769" s="36" t="n"/>
      <c r="L769" s="36" t="n"/>
      <c r="M769" s="36" t="n"/>
      <c r="N769" s="22" t="n"/>
    </row>
    <row r="770"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</row>
    <row r="771"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</row>
    <row r="772">
      <c r="C772" s="43">
        <f>"▌ "&amp;IFERROR(IF(LANG="EN",INDEX(I18N_EN,MATCH("kpi.foot.total",I18N_KEY,0)),INDEX(I18N_FR,MATCH("kpi.foot.total",I18N_KEY,0))),"kpi.foot.total")&amp;" — 12 mois / 12M"</f>
        <v/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</row>
    <row r="773"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</row>
    <row r="774"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</row>
    <row r="775"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</row>
    <row r="776"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</row>
    <row r="777"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</row>
    <row r="778"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</row>
    <row r="779"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</row>
    <row r="780"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</row>
    <row r="781"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</row>
    <row r="782"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</row>
    <row r="783"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</row>
    <row r="784">
      <c r="C784" s="43">
        <f>"▌ "&amp;IF(LANG="EN","Key gauges","Jauges clés")</f>
        <v/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</row>
    <row r="785">
      <c r="C785" s="44">
        <f>IFERROR(IF(LANG="EN",INDEX(I18N_EN,MATCH("kpi.foot.vs_budget",I18N_KEY,0)),INDEX(I18N_FR,MATCH("kpi.foot.vs_budget",I18N_KEY,0))),"kpi.foot.vs_budget")</f>
        <v/>
      </c>
      <c r="D785" s="3" t="n"/>
      <c r="E785" s="3" t="n"/>
      <c r="F785" s="3" t="n"/>
      <c r="G785" s="44">
        <f>IFERROR(IF(LANG="EN",INDEX(I18N_EN,MATCH("kpi.foot.conversion",I18N_KEY,0)),INDEX(I18N_FR,MATCH("kpi.foot.conversion",I18N_KEY,0))),"kpi.foot.conversion")</f>
        <v/>
      </c>
      <c r="H785" s="3" t="n"/>
      <c r="I785" s="3" t="n"/>
      <c r="J785" s="3" t="n"/>
      <c r="K785" s="44">
        <f>IFERROR(IF(LANG="EN",INDEX(I18N_EN,MATCH("kpi.foot.peak_share",I18N_KEY,0)),INDEX(I18N_FR,MATCH("kpi.foot.peak_share",I18N_KEY,0))),"kpi.foot.peak_share")</f>
        <v/>
      </c>
      <c r="L785" s="3" t="n"/>
      <c r="M785" s="3" t="n"/>
      <c r="N785" s="3" t="n"/>
    </row>
    <row r="786"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</row>
    <row r="787"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</row>
    <row r="788"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</row>
    <row r="789"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</row>
    <row r="790"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</row>
    <row r="791"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</row>
    <row r="792"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</row>
    <row r="793">
      <c r="C793" s="45">
        <f>IFERROR((AVERAGEIFS('M3 · Base mensuelle'!$D$45:$AM$45,HDR,"&gt;="&amp;P_START,HDR,"&lt;="&amp;P_END)),"")</f>
        <v/>
      </c>
      <c r="D793" s="3" t="n"/>
      <c r="E793" s="3" t="n"/>
      <c r="F793" s="3" t="n"/>
      <c r="G793" s="45">
        <f>IFERROR((AVERAGEIFS('M3 · Base mensuelle'!$D$47:$AM$47,HDR,"&gt;="&amp;P_START,HDR,"&lt;="&amp;P_END)),"")</f>
        <v/>
      </c>
      <c r="H793" s="3" t="n"/>
      <c r="I793" s="3" t="n"/>
      <c r="J793" s="3" t="n"/>
      <c r="K793" s="45">
        <f>IFERROR((AVERAGEIFS('M3 · Base mensuelle'!$D$49:$AM$49,HDR,"&gt;="&amp;P_START,HDR,"&lt;="&amp;P_END)),"")</f>
        <v/>
      </c>
      <c r="L793" s="3" t="n"/>
      <c r="M793" s="3" t="n"/>
      <c r="N793" s="3" t="n"/>
    </row>
    <row r="794"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</row>
    <row r="795"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</row>
    <row r="796"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</row>
    <row r="797" ht="19" customHeight="1">
      <c r="C797" s="46">
        <f>"▸  5  "&amp;IF(LANG="EN","Footfall Analysis","Analyse de fréquentation")</f>
        <v/>
      </c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  <c r="N797" s="48" t="n"/>
      <c r="O797" s="1" t="n"/>
    </row>
    <row r="798">
      <c r="C798" s="61">
        <f>IFERROR(IF(LANG="EN",INDEX(I18N_EN,MATCH("col.kpi",I18N_KEY,0)),INDEX(I18N_FR,MATCH("col.kpi",I18N_KEY,0))),"col.kpi")</f>
        <v/>
      </c>
      <c r="D798" s="62">
        <f>IFERROR(IF(LANG="EN",INDEX(I18N_EN,MATCH("col.unit",I18N_KEY,0)),INDEX(I18N_FR,MATCH("col.unit",I18N_KEY,0))),"col.unit")</f>
        <v/>
      </c>
      <c r="E798" s="62">
        <f>IFERROR(IF(LANG="EN",INDEX(I18N_EN,MATCH("col.current",I18N_KEY,0)),INDEX(I18N_FR,MATCH("col.current",I18N_KEY,0))),"col.current")</f>
        <v/>
      </c>
      <c r="F798" s="62">
        <f>IFERROR(IF(LANG="EN",INDEX(I18N_EN,MATCH("col.prev",I18N_KEY,0)),INDEX(I18N_FR,MATCH("col.prev",I18N_KEY,0))),"col.prev")</f>
        <v/>
      </c>
      <c r="G798" s="62">
        <f>IFERROR(IF(LANG="EN",INDEX(I18N_EN,MATCH("col.delta_prev",I18N_KEY,0)),INDEX(I18N_FR,MATCH("col.delta_prev",I18N_KEY,0))),"col.delta_prev")</f>
        <v/>
      </c>
      <c r="H798" s="62">
        <f>IFERROR(IF(LANG="EN",INDEX(I18N_EN,MATCH("col.py",I18N_KEY,0)),INDEX(I18N_FR,MATCH("col.py",I18N_KEY,0))),"col.py")</f>
        <v/>
      </c>
      <c r="I798" s="62">
        <f>IFERROR(IF(LANG="EN",INDEX(I18N_EN,MATCH("col.delta_py",I18N_KEY,0)),INDEX(I18N_FR,MATCH("col.delta_py",I18N_KEY,0))),"col.delta_py")</f>
        <v/>
      </c>
      <c r="J798" s="62">
        <f>IFERROR(IF(LANG="EN",INDEX(I18N_EN,MATCH("col.budget",I18N_KEY,0)),INDEX(I18N_FR,MATCH("col.budget",I18N_KEY,0))),"col.budget")</f>
        <v/>
      </c>
      <c r="K798" s="62">
        <f>IFERROR(IF(LANG="EN",INDEX(I18N_EN,MATCH("col.var",I18N_KEY,0)),INDEX(I18N_FR,MATCH("col.var",I18N_KEY,0))),"col.var")</f>
        <v/>
      </c>
      <c r="L798" s="62">
        <f>IFERROR(IF(LANG="EN",INDEX(I18N_EN,MATCH("col.rag",I18N_KEY,0)),INDEX(I18N_FR,MATCH("col.rag",I18N_KEY,0))),"col.rag")</f>
        <v/>
      </c>
      <c r="M798" s="3" t="n"/>
      <c r="N798" s="32" t="n"/>
    </row>
    <row r="799">
      <c r="C799" s="63">
        <f>IFERROR(IF(LANG="EN",INDEX(I18N_EN,MATCH("kpi.foot.total",I18N_KEY,0)),INDEX(I18N_FR,MATCH("kpi.foot.total",I18N_KEY,0))),"kpi.foot.total")</f>
        <v/>
      </c>
      <c r="D799" s="64" t="inlineStr">
        <is>
          <t>visites</t>
        </is>
      </c>
      <c r="E799" s="65">
        <f>IFERROR((SUMIFS('M3 · Base mensuelle'!$D$44:$AM$44,HDR,"&gt;="&amp;P_START,HDR,"&lt;="&amp;P_END)),"")</f>
        <v/>
      </c>
      <c r="F799" s="65">
        <f>IFERROR((SUMIFS('M3 · Base mensuelle'!$D$44:$AM$44,HDR,"&gt;="&amp;PP_START,HDR,"&lt;="&amp;PP_END)),"")</f>
        <v/>
      </c>
      <c r="G799" s="66">
        <f>IFERROR((E799)/(F799)-1,"")</f>
        <v/>
      </c>
      <c r="H799" s="65">
        <f>IFERROR((SUMIFS('M3 · Base mensuelle'!$D$44:$AM$44,HDR,"&gt;="&amp;PY_START,HDR,"&lt;="&amp;PY_END)),"")</f>
        <v/>
      </c>
      <c r="I799" s="66">
        <f>IFERROR((E799)/(H799)-1,"")</f>
        <v/>
      </c>
      <c r="J799" s="65">
        <f>IFERROR((SUMPRODUCT((BUD_MONTHS&gt;=MONTH(P_START))*(BUD_MONTHS&lt;=MONTH(P_END))*'M1 · Paramètres'!$H$45:$S$45)),"")</f>
        <v/>
      </c>
      <c r="K799" s="66">
        <f>IFERROR((E799)/(J799)-1,"")</f>
        <v/>
      </c>
      <c r="L799" s="68">
        <f>IF(O799="","",IF(O799="green",IFERROR(IF(LANG="EN",INDEX(I18N_EN,MATCH("rag.green",I18N_KEY,0)),INDEX(I18N_FR,MATCH("rag.green",I18N_KEY,0))),"rag.green"),IF(O799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799" s="3" t="n"/>
      <c r="N799" s="32" t="n"/>
      <c r="O799" s="69">
        <f>IFERROR(IF(IF(N(J799)&gt;0,J799,H799)=0,"",IF(INDEX(RAG_SENS,MATCH("kpi.foot.total",RAG_KEY,0))="UP",IF((E799/IF(N(J799)&gt;0,J799,H799))&gt;=INDEX(RAG_SV,MATCH("kpi.foot.total",RAG_KEY,0)),"green",IF((E799/IF(N(J799)&gt;0,J799,H799))&gt;=INDEX(RAG_SA,MATCH("kpi.foot.total",RAG_KEY,0)),"amber","red")),IF((E799/IF(N(J799)&gt;0,J799,H799))&lt;=INDEX(RAG_SV,MATCH("kpi.foot.total",RAG_KEY,0)),"green",IF((E799/IF(N(J799)&gt;0,J799,H799))&lt;=INDEX(RAG_SA,MATCH("kpi.foot.total",RAG_KEY,0)),"amber","red")))),"")</f>
        <v/>
      </c>
    </row>
    <row r="800">
      <c r="C800" s="63">
        <f>IFERROR(IF(LANG="EN",INDEX(I18N_EN,MATCH("kpi.foot.vs_budget",I18N_KEY,0)),INDEX(I18N_FR,MATCH("kpi.foot.vs_budget",I18N_KEY,0))),"kpi.foot.vs_budget")</f>
        <v/>
      </c>
      <c r="D800" s="64" t="inlineStr">
        <is>
          <t>%</t>
        </is>
      </c>
      <c r="E800" s="71">
        <f>IFERROR((AVERAGEIFS('M3 · Base mensuelle'!$D$45:$AM$45,HDR,"&gt;="&amp;P_START,HDR,"&lt;="&amp;P_END)),"")</f>
        <v/>
      </c>
      <c r="F800" s="71">
        <f>IFERROR((AVERAGEIFS('M3 · Base mensuelle'!$D$45:$AM$45,HDR,"&gt;="&amp;PP_START,HDR,"&lt;="&amp;PP_END)),"")</f>
        <v/>
      </c>
      <c r="G800" s="66">
        <f>IFERROR((E800)/(F800)-1,"")</f>
        <v/>
      </c>
      <c r="H800" s="71">
        <f>IFERROR((AVERAGEIFS('M3 · Base mensuelle'!$D$45:$AM$45,HDR,"&gt;="&amp;PY_START,HDR,"&lt;="&amp;PY_END)),"")</f>
        <v/>
      </c>
      <c r="I800" s="66">
        <f>IFERROR((E800)/(H800)-1,"")</f>
        <v/>
      </c>
      <c r="J800" s="67" t="n"/>
      <c r="K800" s="66">
        <f>IFERROR((E800)/(J800)-1,"")</f>
        <v/>
      </c>
      <c r="L800" s="68">
        <f>IF(O800="","",IF(O800="green",IFERROR(IF(LANG="EN",INDEX(I18N_EN,MATCH("rag.green",I18N_KEY,0)),INDEX(I18N_FR,MATCH("rag.green",I18N_KEY,0))),"rag.green"),IF(O800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0" s="3" t="n"/>
      <c r="N800" s="32" t="n"/>
      <c r="O800" s="69">
        <f>IFERROR(IF(IF(N(J800)&gt;0,J800,H800)=0,"",IF(INDEX(RAG_SENS,MATCH("kpi.foot.vs_budget",RAG_KEY,0))="UP",IF((E800/IF(N(J800)&gt;0,J800,H800))&gt;=INDEX(RAG_SV,MATCH("kpi.foot.vs_budget",RAG_KEY,0)),"green",IF((E800/IF(N(J800)&gt;0,J800,H800))&gt;=INDEX(RAG_SA,MATCH("kpi.foot.vs_budget",RAG_KEY,0)),"amber","red")),IF((E800/IF(N(J800)&gt;0,J800,H800))&lt;=INDEX(RAG_SV,MATCH("kpi.foot.vs_budget",RAG_KEY,0)),"green",IF((E800/IF(N(J800)&gt;0,J800,H800))&lt;=INDEX(RAG_SA,MATCH("kpi.foot.vs_budget",RAG_KEY,0)),"amber","red")))),"")</f>
        <v/>
      </c>
    </row>
    <row r="801">
      <c r="C801" s="63">
        <f>IFERROR(IF(LANG="EN",INDEX(I18N_EN,MATCH("kpi.foot.per_sqm",I18N_KEY,0)),INDEX(I18N_FR,MATCH("kpi.foot.per_sqm",I18N_KEY,0))),"kpi.foot.per_sqm")</f>
        <v/>
      </c>
      <c r="D801" s="64" t="inlineStr">
        <is>
          <t>v/m²</t>
        </is>
      </c>
      <c r="E801" s="65">
        <f>IFERROR((AVERAGEIFS('M3 · Base mensuelle'!$D$46:$AM$46,HDR,"&gt;="&amp;P_START,HDR,"&lt;="&amp;P_END)),"")</f>
        <v/>
      </c>
      <c r="F801" s="65">
        <f>IFERROR((AVERAGEIFS('M3 · Base mensuelle'!$D$46:$AM$46,HDR,"&gt;="&amp;PP_START,HDR,"&lt;="&amp;PP_END)),"")</f>
        <v/>
      </c>
      <c r="G801" s="66">
        <f>IFERROR((E801)/(F801)-1,"")</f>
        <v/>
      </c>
      <c r="H801" s="65">
        <f>IFERROR((AVERAGEIFS('M3 · Base mensuelle'!$D$46:$AM$46,HDR,"&gt;="&amp;PY_START,HDR,"&lt;="&amp;PY_END)),"")</f>
        <v/>
      </c>
      <c r="I801" s="66">
        <f>IFERROR((E801)/(H801)-1,"")</f>
        <v/>
      </c>
      <c r="J801" s="67" t="n"/>
      <c r="K801" s="66">
        <f>IFERROR((E801)/(J801)-1,"")</f>
        <v/>
      </c>
      <c r="L801" s="68">
        <f>IF(O801="","",IF(O801="green",IFERROR(IF(LANG="EN",INDEX(I18N_EN,MATCH("rag.green",I18N_KEY,0)),INDEX(I18N_FR,MATCH("rag.green",I18N_KEY,0))),"rag.green"),IF(O801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1" s="3" t="n"/>
      <c r="N801" s="32" t="n"/>
      <c r="O801" s="69">
        <f>IFERROR(IF(IF(N(J801)&gt;0,J801,H801)=0,"",IF(INDEX(RAG_SENS,MATCH("kpi.foot.per_sqm",RAG_KEY,0))="UP",IF((E801/IF(N(J801)&gt;0,J801,H801))&gt;=INDEX(RAG_SV,MATCH("kpi.foot.per_sqm",RAG_KEY,0)),"green",IF((E801/IF(N(J801)&gt;0,J801,H801))&gt;=INDEX(RAG_SA,MATCH("kpi.foot.per_sqm",RAG_KEY,0)),"amber","red")),IF((E801/IF(N(J801)&gt;0,J801,H801))&lt;=INDEX(RAG_SV,MATCH("kpi.foot.per_sqm",RAG_KEY,0)),"green",IF((E801/IF(N(J801)&gt;0,J801,H801))&lt;=INDEX(RAG_SA,MATCH("kpi.foot.per_sqm",RAG_KEY,0)),"amber","red")))),"")</f>
        <v/>
      </c>
    </row>
    <row r="802">
      <c r="C802" s="63">
        <f>IFERROR(IF(LANG="EN",INDEX(I18N_EN,MATCH("kpi.foot.conversion",I18N_KEY,0)),INDEX(I18N_FR,MATCH("kpi.foot.conversion",I18N_KEY,0))),"kpi.foot.conversion")</f>
        <v/>
      </c>
      <c r="D802" s="64" t="inlineStr">
        <is>
          <t>%</t>
        </is>
      </c>
      <c r="E802" s="71">
        <f>IFERROR((AVERAGEIFS('M3 · Base mensuelle'!$D$47:$AM$47,HDR,"&gt;="&amp;P_START,HDR,"&lt;="&amp;P_END)),"")</f>
        <v/>
      </c>
      <c r="F802" s="71">
        <f>IFERROR((AVERAGEIFS('M3 · Base mensuelle'!$D$47:$AM$47,HDR,"&gt;="&amp;PP_START,HDR,"&lt;="&amp;PP_END)),"")</f>
        <v/>
      </c>
      <c r="G802" s="66">
        <f>IFERROR((E802)/(F802)-1,"")</f>
        <v/>
      </c>
      <c r="H802" s="71">
        <f>IFERROR((AVERAGEIFS('M3 · Base mensuelle'!$D$47:$AM$47,HDR,"&gt;="&amp;PY_START,HDR,"&lt;="&amp;PY_END)),"")</f>
        <v/>
      </c>
      <c r="I802" s="66">
        <f>IFERROR((E802)/(H802)-1,"")</f>
        <v/>
      </c>
      <c r="J802" s="67" t="n"/>
      <c r="K802" s="66">
        <f>IFERROR((E802)/(J802)-1,"")</f>
        <v/>
      </c>
      <c r="L802" s="68">
        <f>IF(O802="","",IF(O802="green",IFERROR(IF(LANG="EN",INDEX(I18N_EN,MATCH("rag.green",I18N_KEY,0)),INDEX(I18N_FR,MATCH("rag.green",I18N_KEY,0))),"rag.green"),IF(O802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2" s="3" t="n"/>
      <c r="N802" s="32" t="n"/>
      <c r="O802" s="69">
        <f>IFERROR(IF(IF(N(J802)&gt;0,J802,H802)=0,"",IF(INDEX(RAG_SENS,MATCH("kpi.foot.conversion",RAG_KEY,0))="UP",IF((E802/IF(N(J802)&gt;0,J802,H802))&gt;=INDEX(RAG_SV,MATCH("kpi.foot.conversion",RAG_KEY,0)),"green",IF((E802/IF(N(J802)&gt;0,J802,H802))&gt;=INDEX(RAG_SA,MATCH("kpi.foot.conversion",RAG_KEY,0)),"amber","red")),IF((E802/IF(N(J802)&gt;0,J802,H802))&lt;=INDEX(RAG_SV,MATCH("kpi.foot.conversion",RAG_KEY,0)),"green",IF((E802/IF(N(J802)&gt;0,J802,H802))&lt;=INDEX(RAG_SA,MATCH("kpi.foot.conversion",RAG_KEY,0)),"amber","red")))),"")</f>
        <v/>
      </c>
    </row>
    <row r="803">
      <c r="C803" s="63">
        <f>IFERROR(IF(LANG="EN",INDEX(I18N_EN,MATCH("kpi.foot.dwell",I18N_KEY,0)),INDEX(I18N_FR,MATCH("kpi.foot.dwell",I18N_KEY,0))),"kpi.foot.dwell")</f>
        <v/>
      </c>
      <c r="D803" s="64" t="inlineStr">
        <is>
          <t>min</t>
        </is>
      </c>
      <c r="E803" s="65">
        <f>IFERROR((AVERAGEIFS('M3 · Base mensuelle'!$D$48:$AM$48,HDR,"&gt;="&amp;P_START,HDR,"&lt;="&amp;P_END)),"")</f>
        <v/>
      </c>
      <c r="F803" s="65">
        <f>IFERROR((AVERAGEIFS('M3 · Base mensuelle'!$D$48:$AM$48,HDR,"&gt;="&amp;PP_START,HDR,"&lt;="&amp;PP_END)),"")</f>
        <v/>
      </c>
      <c r="G803" s="66">
        <f>IFERROR((E803)/(F803)-1,"")</f>
        <v/>
      </c>
      <c r="H803" s="65">
        <f>IFERROR((AVERAGEIFS('M3 · Base mensuelle'!$D$48:$AM$48,HDR,"&gt;="&amp;PY_START,HDR,"&lt;="&amp;PY_END)),"")</f>
        <v/>
      </c>
      <c r="I803" s="66">
        <f>IFERROR((E803)/(H803)-1,"")</f>
        <v/>
      </c>
      <c r="J803" s="67" t="n"/>
      <c r="K803" s="66">
        <f>IFERROR((E803)/(J803)-1,"")</f>
        <v/>
      </c>
      <c r="L803" s="68">
        <f>IF(O803="","",IF(O803="green",IFERROR(IF(LANG="EN",INDEX(I18N_EN,MATCH("rag.green",I18N_KEY,0)),INDEX(I18N_FR,MATCH("rag.green",I18N_KEY,0))),"rag.green"),IF(O803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3" s="3" t="n"/>
      <c r="N803" s="32" t="n"/>
      <c r="O803" s="69">
        <f>IFERROR(IF(IF(N(J803)&gt;0,J803,H803)=0,"",IF(INDEX(RAG_SENS,MATCH("kpi.foot.dwell",RAG_KEY,0))="UP",IF((E803/IF(N(J803)&gt;0,J803,H803))&gt;=INDEX(RAG_SV,MATCH("kpi.foot.dwell",RAG_KEY,0)),"green",IF((E803/IF(N(J803)&gt;0,J803,H803))&gt;=INDEX(RAG_SA,MATCH("kpi.foot.dwell",RAG_KEY,0)),"amber","red")),IF((E803/IF(N(J803)&gt;0,J803,H803))&lt;=INDEX(RAG_SV,MATCH("kpi.foot.dwell",RAG_KEY,0)),"green",IF((E803/IF(N(J803)&gt;0,J803,H803))&lt;=INDEX(RAG_SA,MATCH("kpi.foot.dwell",RAG_KEY,0)),"amber","red")))),"")</f>
        <v/>
      </c>
    </row>
    <row r="804">
      <c r="C804" s="63">
        <f>IFERROR(IF(LANG="EN",INDEX(I18N_EN,MATCH("kpi.foot.peak_share",I18N_KEY,0)),INDEX(I18N_FR,MATCH("kpi.foot.peak_share",I18N_KEY,0))),"kpi.foot.peak_share")</f>
        <v/>
      </c>
      <c r="D804" s="64" t="inlineStr">
        <is>
          <t>%</t>
        </is>
      </c>
      <c r="E804" s="71">
        <f>IFERROR((AVERAGEIFS('M3 · Base mensuelle'!$D$49:$AM$49,HDR,"&gt;="&amp;P_START,HDR,"&lt;="&amp;P_END)),"")</f>
        <v/>
      </c>
      <c r="F804" s="71">
        <f>IFERROR((AVERAGEIFS('M3 · Base mensuelle'!$D$49:$AM$49,HDR,"&gt;="&amp;PP_START,HDR,"&lt;="&amp;PP_END)),"")</f>
        <v/>
      </c>
      <c r="G804" s="66">
        <f>IFERROR((E804)/(F804)-1,"")</f>
        <v/>
      </c>
      <c r="H804" s="71">
        <f>IFERROR((AVERAGEIFS('M3 · Base mensuelle'!$D$49:$AM$49,HDR,"&gt;="&amp;PY_START,HDR,"&lt;="&amp;PY_END)),"")</f>
        <v/>
      </c>
      <c r="I804" s="66">
        <f>IFERROR((E804)/(H804)-1,"")</f>
        <v/>
      </c>
      <c r="J804" s="67" t="n"/>
      <c r="K804" s="66">
        <f>IFERROR((E804)/(J804)-1,"")</f>
        <v/>
      </c>
      <c r="L804" s="68">
        <f>IF(O804="","",IF(O804="green",IFERROR(IF(LANG="EN",INDEX(I18N_EN,MATCH("rag.green",I18N_KEY,0)),INDEX(I18N_FR,MATCH("rag.green",I18N_KEY,0))),"rag.green"),IF(O804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4" s="3" t="n"/>
      <c r="N804" s="32" t="n"/>
      <c r="O804" s="69">
        <f>IFERROR(IF(IF(N(J804)&gt;0,J804,H804)=0,"",IF(INDEX(RAG_SENS,MATCH("kpi.foot.peak_share",RAG_KEY,0))="UP",IF((E804/IF(N(J804)&gt;0,J804,H804))&gt;=INDEX(RAG_SV,MATCH("kpi.foot.peak_share",RAG_KEY,0)),"green",IF((E804/IF(N(J804)&gt;0,J804,H804))&gt;=INDEX(RAG_SA,MATCH("kpi.foot.peak_share",RAG_KEY,0)),"amber","red")),IF((E804/IF(N(J804)&gt;0,J804,H804))&lt;=INDEX(RAG_SV,MATCH("kpi.foot.peak_share",RAG_KEY,0)),"green",IF((E804/IF(N(J804)&gt;0,J804,H804))&lt;=INDEX(RAG_SA,MATCH("kpi.foot.peak_share",RAG_KEY,0)),"amber","red")))),"")</f>
        <v/>
      </c>
    </row>
    <row r="805">
      <c r="C805" s="63">
        <f>IFERROR(IF(LANG="EN",INDEX(I18N_EN,MATCH("kpi.foot.weekend_share",I18N_KEY,0)),INDEX(I18N_FR,MATCH("kpi.foot.weekend_share",I18N_KEY,0))),"kpi.foot.weekend_share")</f>
        <v/>
      </c>
      <c r="D805" s="64" t="inlineStr">
        <is>
          <t>%</t>
        </is>
      </c>
      <c r="E805" s="71">
        <f>IFERROR((AVERAGEIFS('M3 · Base mensuelle'!$D$50:$AM$50,HDR,"&gt;="&amp;P_START,HDR,"&lt;="&amp;P_END)),"")</f>
        <v/>
      </c>
      <c r="F805" s="71">
        <f>IFERROR((AVERAGEIFS('M3 · Base mensuelle'!$D$50:$AM$50,HDR,"&gt;="&amp;PP_START,HDR,"&lt;="&amp;PP_END)),"")</f>
        <v/>
      </c>
      <c r="G805" s="66">
        <f>IFERROR((E805)/(F805)-1,"")</f>
        <v/>
      </c>
      <c r="H805" s="71">
        <f>IFERROR((AVERAGEIFS('M3 · Base mensuelle'!$D$50:$AM$50,HDR,"&gt;="&amp;PY_START,HDR,"&lt;="&amp;PY_END)),"")</f>
        <v/>
      </c>
      <c r="I805" s="66">
        <f>IFERROR((E805)/(H805)-1,"")</f>
        <v/>
      </c>
      <c r="J805" s="67" t="n"/>
      <c r="K805" s="66">
        <f>IFERROR((E805)/(J805)-1,"")</f>
        <v/>
      </c>
      <c r="L805" s="68">
        <f>IF(O805="","",IF(O805="green",IFERROR(IF(LANG="EN",INDEX(I18N_EN,MATCH("rag.green",I18N_KEY,0)),INDEX(I18N_FR,MATCH("rag.green",I18N_KEY,0))),"rag.green"),IF(O805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805" s="3" t="n"/>
      <c r="N805" s="32" t="n"/>
      <c r="O805" s="69">
        <f>IFERROR(IF(IF(N(J805)&gt;0,J805,H805)=0,"",IF(INDEX(RAG_SENS,MATCH("kpi.foot.weekend_share",RAG_KEY,0))="UP",IF((E805/IF(N(J805)&gt;0,J805,H805))&gt;=INDEX(RAG_SV,MATCH("kpi.foot.weekend_share",RAG_KEY,0)),"green",IF((E805/IF(N(J805)&gt;0,J805,H805))&gt;=INDEX(RAG_SA,MATCH("kpi.foot.weekend_share",RAG_KEY,0)),"amber","red")),IF((E805/IF(N(J805)&gt;0,J805,H805))&lt;=INDEX(RAG_SV,MATCH("kpi.foot.weekend_share",RAG_KEY,0)),"green",IF((E805/IF(N(J805)&gt;0,J805,H805))&lt;=INDEX(RAG_SA,MATCH("kpi.foot.weekend_share",RAG_KEY,0)),"amber","red")))),"")</f>
        <v/>
      </c>
    </row>
    <row r="806">
      <c r="C806" s="72">
        <f>"◆ "&amp;IFERROR(IF(LANG="EN",INDEX(I18N_EN,MATCH("msg.highlights",I18N_KEY,0)),INDEX(I18N_FR,MATCH("msg.highlights",I18N_KEY,0))),"msg.highlights")</f>
        <v/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2" t="n"/>
    </row>
    <row r="807">
      <c r="C807" s="73">
        <f>IFERROR("▲ "&amp;INDEX(C799:C805,MATCH(MAX(G799:G805),G799:G805,0))&amp;"   "&amp;TEXT(MAX(G799:G805),"+0.0%;-0.0%"),"")</f>
        <v/>
      </c>
      <c r="D807" s="3" t="n"/>
      <c r="E807" s="3" t="n"/>
      <c r="F807" s="3" t="n"/>
      <c r="G807" s="3" t="n"/>
      <c r="H807" s="3" t="n"/>
      <c r="I807" s="74">
        <f>IFERROR("▼ "&amp;INDEX(C799:C805,MATCH(MIN(G799:G805),G799:G805,0))&amp;"   "&amp;TEXT(MIN(G799:G805),"+0.0%;-0.0%"),"")</f>
        <v/>
      </c>
      <c r="J807" s="3" t="n"/>
      <c r="K807" s="3" t="n"/>
      <c r="L807" s="3" t="n"/>
      <c r="M807" s="3" t="n"/>
      <c r="N807" s="32" t="n"/>
    </row>
    <row r="808">
      <c r="C808" s="53">
        <f>"💬 "&amp;IFERROR(IF(LANG="EN",INDEX(I18N_EN,MATCH("col.comment",I18N_KEY,0)),INDEX(I18N_FR,MATCH("col.comment",I18N_KEY,0))),"col.comment")</f>
        <v/>
      </c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4" t="n"/>
      <c r="O808" s="5" t="n"/>
    </row>
    <row r="809">
      <c r="C809" s="75">
        <f>IF('C4 · Footfall'!$D$17&lt;&gt;"",'C4 · Footfall'!$D$17,IFERROR(SUBSTITUTE(SUBSTITUTE(IF(G799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foot.total",I18N_KEY,0)),INDEX(I18N_FR,MATCH("kpi.foot.total",I18N_KEY,0))),"kpi.foot.total")),"{delta}",TEXT(ABS(G799),"0.0%")),""))</f>
        <v/>
      </c>
      <c r="D809" s="56" t="n"/>
      <c r="E809" s="56" t="n"/>
      <c r="F809" s="56" t="n"/>
      <c r="G809" s="56" t="n"/>
      <c r="H809" s="56" t="n"/>
      <c r="I809" s="56" t="n"/>
      <c r="J809" s="56" t="n"/>
      <c r="K809" s="56" t="n"/>
      <c r="L809" s="56" t="n"/>
      <c r="M809" s="56" t="n"/>
      <c r="N809" s="56" t="n"/>
      <c r="O809" s="57" t="n"/>
    </row>
    <row r="810">
      <c r="C810" s="50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2" t="n"/>
    </row>
    <row r="811">
      <c r="C811" s="58" t="n"/>
      <c r="D811" s="58" t="n"/>
      <c r="E811" s="58" t="n"/>
      <c r="F811" s="58" t="n"/>
      <c r="G811" s="58" t="n"/>
      <c r="H811" s="58" t="n"/>
      <c r="I811" s="58" t="n"/>
      <c r="J811" s="58" t="n"/>
      <c r="K811" s="58" t="n"/>
      <c r="L811" s="58" t="n"/>
      <c r="M811" s="58" t="n"/>
      <c r="N811" s="58" t="n"/>
      <c r="O811" s="59" t="n"/>
    </row>
    <row r="812">
      <c r="C812" s="60" t="n"/>
      <c r="D812" s="3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22" t="n"/>
    </row>
    <row r="813"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</row>
    <row r="814" ht="19" customHeight="1">
      <c r="C814" s="46">
        <f>"▸  5.1  "&amp;IF(LANG="EN","Footfall by Zone / Entrance","Répartition par zone / entrée")</f>
        <v/>
      </c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  <c r="N814" s="48" t="n"/>
      <c r="O814" s="1" t="n"/>
    </row>
    <row r="815">
      <c r="C815" s="80" t="inlineStr">
        <is>
          <t>Zone / Entrance</t>
        </is>
      </c>
      <c r="D815" s="62" t="inlineStr">
        <is>
          <t>Visites / Visits</t>
        </is>
      </c>
      <c r="E815" s="62" t="inlineStr">
        <is>
          <t>Part / Share</t>
        </is>
      </c>
      <c r="F815" s="62" t="inlineStr">
        <is>
          <t>Δ vs N-1 / vs PY</t>
        </is>
      </c>
      <c r="G815" s="3" t="n"/>
      <c r="H815" s="3" t="n"/>
      <c r="I815" s="3" t="n"/>
      <c r="J815" s="3" t="n"/>
      <c r="K815" s="3" t="n"/>
      <c r="L815" s="3" t="n"/>
      <c r="M815" s="3" t="n"/>
      <c r="N815" s="32" t="n"/>
    </row>
    <row r="816">
      <c r="C816" s="82" t="inlineStr">
        <is>
          <t>Entrée principale / Main</t>
        </is>
      </c>
      <c r="D816" s="83" t="n">
        <v>172000</v>
      </c>
      <c r="E816" s="86" t="n">
        <v>0.36</v>
      </c>
      <c r="F816" s="86" t="n">
        <v>0.04</v>
      </c>
      <c r="G816" s="3" t="n"/>
      <c r="H816" s="3" t="n"/>
      <c r="I816" s="3" t="n"/>
      <c r="J816" s="3" t="n"/>
      <c r="K816" s="3" t="n"/>
      <c r="L816" s="3" t="n"/>
      <c r="M816" s="3" t="n"/>
      <c r="N816" s="32" t="n"/>
    </row>
    <row r="817">
      <c r="C817" s="82" t="inlineStr">
        <is>
          <t>Parking</t>
        </is>
      </c>
      <c r="D817" s="83" t="n">
        <v>96000</v>
      </c>
      <c r="E817" s="86" t="n">
        <v>0.2</v>
      </c>
      <c r="F817" s="86" t="n">
        <v>0.02</v>
      </c>
      <c r="G817" s="3" t="n"/>
      <c r="H817" s="3" t="n"/>
      <c r="I817" s="3" t="n"/>
      <c r="J817" s="3" t="n"/>
      <c r="K817" s="3" t="n"/>
      <c r="L817" s="3" t="n"/>
      <c r="M817" s="3" t="n"/>
      <c r="N817" s="32" t="n"/>
    </row>
    <row r="818">
      <c r="C818" s="82" t="inlineStr">
        <is>
          <t>Food court</t>
        </is>
      </c>
      <c r="D818" s="83" t="n">
        <v>84000</v>
      </c>
      <c r="E818" s="86" t="n">
        <v>0.175</v>
      </c>
      <c r="F818" s="86" t="n">
        <v>0.06</v>
      </c>
      <c r="G818" s="3" t="n"/>
      <c r="H818" s="3" t="n"/>
      <c r="I818" s="3" t="n"/>
      <c r="J818" s="3" t="n"/>
      <c r="K818" s="3" t="n"/>
      <c r="L818" s="3" t="n"/>
      <c r="M818" s="3" t="n"/>
      <c r="N818" s="32" t="n"/>
    </row>
    <row r="819">
      <c r="C819" s="82" t="inlineStr">
        <is>
          <t>Galerie Nord / North mall</t>
        </is>
      </c>
      <c r="D819" s="83" t="n">
        <v>72000</v>
      </c>
      <c r="E819" s="86" t="n">
        <v>0.15</v>
      </c>
      <c r="F819" s="86" t="n">
        <v>-0.01</v>
      </c>
      <c r="G819" s="3" t="n"/>
      <c r="H819" s="3" t="n"/>
      <c r="I819" s="3" t="n"/>
      <c r="J819" s="3" t="n"/>
      <c r="K819" s="3" t="n"/>
      <c r="L819" s="3" t="n"/>
      <c r="M819" s="3" t="n"/>
      <c r="N819" s="32" t="n"/>
    </row>
    <row r="820">
      <c r="C820" s="82" t="inlineStr">
        <is>
          <t>Galerie Sud / South mall</t>
        </is>
      </c>
      <c r="D820" s="83" t="n">
        <v>56000</v>
      </c>
      <c r="E820" s="86" t="n">
        <v>0.115</v>
      </c>
      <c r="F820" s="86" t="n">
        <v>0.03</v>
      </c>
      <c r="G820" s="3" t="n"/>
      <c r="H820" s="3" t="n"/>
      <c r="I820" s="3" t="n"/>
      <c r="J820" s="3" t="n"/>
      <c r="K820" s="3" t="n"/>
      <c r="L820" s="3" t="n"/>
      <c r="M820" s="3" t="n"/>
      <c r="N820" s="32" t="n"/>
    </row>
    <row r="821">
      <c r="C821" s="50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2" t="n"/>
    </row>
    <row r="822">
      <c r="C822" s="50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2" t="n"/>
    </row>
    <row r="823">
      <c r="C823" s="50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2" t="n"/>
    </row>
    <row r="824">
      <c r="C824" s="50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2" t="n"/>
    </row>
    <row r="825">
      <c r="C825" s="50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2" t="n"/>
    </row>
    <row r="826">
      <c r="C826" s="50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2" t="n"/>
    </row>
    <row r="827">
      <c r="C827" s="50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2" t="n"/>
    </row>
    <row r="828">
      <c r="C828" s="50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2" t="n"/>
    </row>
    <row r="829">
      <c r="C829" s="53">
        <f>"💬 "&amp;IFERROR(IF(LANG="EN",INDEX(I18N_EN,MATCH("col.comment",I18N_KEY,0)),INDEX(I18N_FR,MATCH("col.comment",I18N_KEY,0))),"col.comment")</f>
        <v/>
      </c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4" t="n"/>
      <c r="O829" s="5" t="n"/>
    </row>
    <row r="830">
      <c r="C830" s="55">
        <f>IF(LANG="EN","Commentary / data source: management systems (demo).","Commentaire / source : systèmes de gestion (démo).")</f>
        <v/>
      </c>
      <c r="D830" s="56" t="n"/>
      <c r="E830" s="56" t="n"/>
      <c r="F830" s="56" t="n"/>
      <c r="G830" s="56" t="n"/>
      <c r="H830" s="56" t="n"/>
      <c r="I830" s="56" t="n"/>
      <c r="J830" s="56" t="n"/>
      <c r="K830" s="56" t="n"/>
      <c r="L830" s="56" t="n"/>
      <c r="M830" s="56" t="n"/>
      <c r="N830" s="56" t="n"/>
      <c r="O830" s="57" t="n"/>
    </row>
    <row r="831">
      <c r="C831" s="50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2" t="n"/>
    </row>
    <row r="832">
      <c r="C832" s="58" t="n"/>
      <c r="D832" s="58" t="n"/>
      <c r="E832" s="58" t="n"/>
      <c r="F832" s="58" t="n"/>
      <c r="G832" s="58" t="n"/>
      <c r="H832" s="58" t="n"/>
      <c r="I832" s="58" t="n"/>
      <c r="J832" s="58" t="n"/>
      <c r="K832" s="58" t="n"/>
      <c r="L832" s="58" t="n"/>
      <c r="M832" s="58" t="n"/>
      <c r="N832" s="58" t="n"/>
      <c r="O832" s="59" t="n"/>
    </row>
    <row r="833">
      <c r="C833" s="60" t="n"/>
      <c r="D833" s="3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22" t="n"/>
    </row>
    <row r="834"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</row>
    <row r="835" ht="19" customHeight="1">
      <c r="C835" s="46">
        <f>"🎯  5.2  "&amp;IF(LANG="EN","Budget vs Actual","Budget vs Réalisé")</f>
        <v/>
      </c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  <c r="N835" s="48" t="n"/>
      <c r="O835" s="1" t="n"/>
    </row>
    <row r="836">
      <c r="C836" s="76">
        <f>"▌ "&amp;IF(LANG="EN","Actual vs Budget — 12 months","Réalisé vs Budget — 12 mois")</f>
        <v/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2" t="n"/>
    </row>
    <row r="837">
      <c r="C837" s="50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2" t="n"/>
    </row>
    <row r="838">
      <c r="C838" s="50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2" t="n"/>
    </row>
    <row r="839">
      <c r="C839" s="50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2" t="n"/>
    </row>
    <row r="840">
      <c r="C840" s="50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2" t="n"/>
    </row>
    <row r="841">
      <c r="C841" s="50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2" t="n"/>
    </row>
    <row r="842">
      <c r="C842" s="50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2" t="n"/>
    </row>
    <row r="843">
      <c r="C843" s="50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2" t="n"/>
    </row>
    <row r="844">
      <c r="C844" s="50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2" t="n"/>
    </row>
    <row r="845">
      <c r="C845" s="50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2" t="n"/>
    </row>
    <row r="846">
      <c r="C846" s="50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2" t="n"/>
    </row>
    <row r="847">
      <c r="C847" s="50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2" t="n"/>
    </row>
    <row r="848">
      <c r="C848" s="50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2" t="n"/>
    </row>
    <row r="849">
      <c r="C849" s="61">
        <f>IFERROR(IF(LANG="EN",INDEX(I18N_EN,MATCH("col.kpi",I18N_KEY,0)),INDEX(I18N_FR,MATCH("col.kpi",I18N_KEY,0))),"col.kpi")</f>
        <v/>
      </c>
      <c r="D849" s="62">
        <f>IFERROR(IF(LANG="EN",INDEX(I18N_EN,MATCH("col.unit",I18N_KEY,0)),INDEX(I18N_FR,MATCH("col.unit",I18N_KEY,0))),"col.unit")</f>
        <v/>
      </c>
      <c r="E849" s="62">
        <f>IFERROR(IF(LANG="EN",INDEX(I18N_EN,MATCH("col.current",I18N_KEY,0)),INDEX(I18N_FR,MATCH("col.current",I18N_KEY,0))),"col.current")</f>
        <v/>
      </c>
      <c r="F849" s="62">
        <f>IFERROR(IF(LANG="EN",INDEX(I18N_EN,MATCH("col.budget",I18N_KEY,0)),INDEX(I18N_FR,MATCH("col.budget",I18N_KEY,0))),"col.budget")</f>
        <v/>
      </c>
      <c r="G849" s="62">
        <f>IFERROR(IF(LANG="EN",INDEX(I18N_EN,MATCH("col.var",I18N_KEY,0)),INDEX(I18N_FR,MATCH("col.var",I18N_KEY,0))),"col.var")</f>
        <v/>
      </c>
      <c r="H849" s="62">
        <f>IFERROR(IF(LANG="EN",INDEX(I18N_EN,MATCH("col.rag",I18N_KEY,0)),INDEX(I18N_FR,MATCH("col.rag",I18N_KEY,0))),"col.rag")</f>
        <v/>
      </c>
      <c r="I849" s="3" t="n"/>
      <c r="J849" s="3" t="n"/>
      <c r="K849" s="3" t="n"/>
      <c r="L849" s="3" t="n"/>
      <c r="M849" s="3" t="n"/>
      <c r="N849" s="32" t="n"/>
    </row>
    <row r="850">
      <c r="C850" s="63">
        <f>IFERROR(IF(LANG="EN",INDEX(I18N_EN,MATCH("kpi.foot.total",I18N_KEY,0)),INDEX(I18N_FR,MATCH("kpi.foot.total",I18N_KEY,0))),"kpi.foot.total")</f>
        <v/>
      </c>
      <c r="D850" s="64" t="inlineStr">
        <is>
          <t>visites</t>
        </is>
      </c>
      <c r="E850" s="65">
        <f>IFERROR((SUMIFS('M3 · Base mensuelle'!$D$44:$AM$44,HDR,"&gt;="&amp;P_START,HDR,"&lt;="&amp;P_END)),"")</f>
        <v/>
      </c>
      <c r="F850" s="65">
        <f>IFERROR((SUMPRODUCT((BUD_MONTHS&gt;=MONTH(P_START))*(BUD_MONTHS&lt;=MONTH(P_END))*'M1 · Paramètres'!$H$45:$S$45)),"")</f>
        <v/>
      </c>
      <c r="G850" s="77">
        <f>IFERROR((E850)/(F850)-1,"")</f>
        <v/>
      </c>
      <c r="H850" s="68">
        <f>IF(P850="","",IF(P850="green",IFERROR(IF(LANG="EN",INDEX(I18N_EN,MATCH("rag.green",I18N_KEY,0)),INDEX(I18N_FR,MATCH("rag.green",I18N_KEY,0))),"rag.green"),IF(P850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850" s="3" t="n"/>
      <c r="J850" s="3" t="n"/>
      <c r="K850" s="3" t="n"/>
      <c r="L850" s="3" t="n"/>
      <c r="M850" s="3" t="n"/>
      <c r="N850" s="32" t="n"/>
      <c r="P850" s="69">
        <f>IFERROR(IF(F850=0,"",IF(INDEX(RAG_SENS,MATCH("kpi.foot.total",RAG_KEY,0))="UP",IF((E850/F850)&gt;=INDEX(RAG_SV,MATCH("kpi.foot.total",RAG_KEY,0)),"green",IF((E850/F850)&gt;=INDEX(RAG_SA,MATCH("kpi.foot.total",RAG_KEY,0)),"amber","red")),IF((E850/F850)&lt;=INDEX(RAG_SV,MATCH("kpi.foot.total",RAG_KEY,0)),"green",IF((E850/F850)&lt;=INDEX(RAG_SA,MATCH("kpi.foot.total",RAG_KEY,0)),"amber","red")))),"")</f>
        <v/>
      </c>
    </row>
    <row r="851">
      <c r="C851" s="53">
        <f>"💬 "&amp;IFERROR(IF(LANG="EN",INDEX(I18N_EN,MATCH("col.comment",I18N_KEY,0)),INDEX(I18N_FR,MATCH("col.comment",I18N_KEY,0))),"col.comment")</f>
        <v/>
      </c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4" t="n"/>
      <c r="O851" s="5" t="n"/>
    </row>
    <row r="852">
      <c r="C852" s="55">
        <f>IF(LANG="EN","Budget variance commentary.","Commentaire écart budgétaire.")</f>
        <v/>
      </c>
      <c r="D852" s="56" t="n"/>
      <c r="E852" s="56" t="n"/>
      <c r="F852" s="56" t="n"/>
      <c r="G852" s="56" t="n"/>
      <c r="H852" s="56" t="n"/>
      <c r="I852" s="56" t="n"/>
      <c r="J852" s="56" t="n"/>
      <c r="K852" s="56" t="n"/>
      <c r="L852" s="56" t="n"/>
      <c r="M852" s="56" t="n"/>
      <c r="N852" s="56" t="n"/>
      <c r="O852" s="57" t="n"/>
    </row>
    <row r="853">
      <c r="C853" s="50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2" t="n"/>
    </row>
    <row r="854">
      <c r="C854" s="58" t="n"/>
      <c r="D854" s="58" t="n"/>
      <c r="E854" s="58" t="n"/>
      <c r="F854" s="58" t="n"/>
      <c r="G854" s="58" t="n"/>
      <c r="H854" s="58" t="n"/>
      <c r="I854" s="58" t="n"/>
      <c r="J854" s="58" t="n"/>
      <c r="K854" s="58" t="n"/>
      <c r="L854" s="58" t="n"/>
      <c r="M854" s="58" t="n"/>
      <c r="N854" s="58" t="n"/>
      <c r="O854" s="59" t="n"/>
    </row>
    <row r="855">
      <c r="C855" s="60" t="n"/>
      <c r="D855" s="3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22" t="n"/>
    </row>
    <row r="856"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</row>
    <row r="857">
      <c r="C857" s="78" t="n"/>
      <c r="D857" s="78" t="n"/>
      <c r="E857" s="78" t="n"/>
      <c r="F857" s="78" t="n"/>
      <c r="G857" s="78" t="n"/>
      <c r="H857" s="78" t="n"/>
      <c r="I857" s="78" t="n"/>
      <c r="J857" s="78" t="n"/>
      <c r="K857" s="78" t="n"/>
      <c r="L857" s="78" t="n"/>
      <c r="M857" s="78" t="n"/>
      <c r="N857" s="78" t="n"/>
      <c r="O857" s="78" t="n"/>
    </row>
    <row r="858"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</row>
    <row r="859" ht="28" customHeight="1">
      <c r="C859" s="9">
        <f>"         6.   "&amp;IFERROR(IF(LANG="EN",INDEX(I18N_EN,MATCH("dept.mkt",I18N_KEY,0)),INDEX(I18N_FR,MATCH("dept.mkt",I18N_KEY,0))),"dept.mkt")&amp;"   ·   "&amp;IF(LANG="EN",INDEX(MOIS_EN,MONTH(PERIODE)),INDEX(MOIS_FR,MONTH(PERIODE)))&amp;" "&amp;YEAR(PERIODE)</f>
        <v/>
      </c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5">
        <f>"↑ "&amp;IFERROR(IF(LANG="EN",INDEX(I18N_EN,MATCH("nav.summary",I18N_KEY,0)),INDEX(I18N_FR,MATCH("nav.summary",I18N_KEY,0))),"nav.summary")</f>
        <v/>
      </c>
    </row>
    <row r="860">
      <c r="C860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</row>
    <row r="861"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</row>
    <row r="862" ht="5" customHeight="1">
      <c r="C862" s="17" t="n"/>
      <c r="D862" s="38" t="n"/>
      <c r="E862" s="38" t="n"/>
      <c r="F862" s="38" t="n"/>
      <c r="G862" s="38" t="n"/>
      <c r="H862" s="18" t="n"/>
      <c r="I862" s="17" t="n"/>
      <c r="J862" s="38" t="n"/>
      <c r="K862" s="38" t="n"/>
      <c r="L862" s="38" t="n"/>
      <c r="M862" s="38" t="n"/>
      <c r="N862" s="18" t="n"/>
    </row>
    <row r="863" ht="18" customHeight="1">
      <c r="C863" s="39">
        <f>"       "&amp;IFERROR(IF(LANG="EN",INDEX(I18N_EN,MATCH("kpi.mkt.events",I18N_KEY,0)),INDEX(I18N_FR,MATCH("kpi.mkt.events",I18N_KEY,0))),"kpi.mkt.events")</f>
        <v/>
      </c>
      <c r="D863" s="40" t="n"/>
      <c r="E863" s="40" t="n"/>
      <c r="F863" s="40" t="n"/>
      <c r="G863" s="40" t="n"/>
      <c r="H863" s="20" t="n"/>
      <c r="I863" s="39">
        <f>"       "&amp;IFERROR(IF(LANG="EN",INDEX(I18N_EN,MATCH("kpi.mkt.event_att",I18N_KEY,0)),INDEX(I18N_FR,MATCH("kpi.mkt.event_att",I18N_KEY,0))),"kpi.mkt.event_att")</f>
        <v/>
      </c>
      <c r="J863" s="40" t="n"/>
      <c r="K863" s="40" t="n"/>
      <c r="L863" s="40" t="n"/>
      <c r="M863" s="40" t="n"/>
      <c r="N863" s="20" t="n"/>
    </row>
    <row r="864" ht="42" customHeight="1">
      <c r="C864" s="41">
        <f>IFERROR((SUMIFS('M3 · Base mensuelle'!$D$51:$AM$51,HDR,"&gt;="&amp;P_START,HDR,"&lt;="&amp;P_END)),"")</f>
        <v/>
      </c>
      <c r="D864" s="40" t="n"/>
      <c r="E864" s="40" t="n"/>
      <c r="F864" s="40" t="n"/>
      <c r="G864" s="40" t="n"/>
      <c r="H864" s="20" t="n"/>
      <c r="I864" s="41">
        <f>IFERROR((SUMIFS('M3 · Base mensuelle'!$D$52:$AM$52,HDR,"&gt;="&amp;P_START,HDR,"&lt;="&amp;P_END)),"")</f>
        <v/>
      </c>
      <c r="J864" s="40" t="n"/>
      <c r="K864" s="40" t="n"/>
      <c r="L864" s="40" t="n"/>
      <c r="M864" s="40" t="n"/>
      <c r="N864" s="20" t="n"/>
    </row>
    <row r="865" ht="20" customHeight="1">
      <c r="C865" s="42">
        <f>IFERROR((IFERROR((SUMIFS('M3 · Base mensuelle'!$D$51:$AM$51,HDR,"&gt;="&amp;P_START,HDR,"&lt;="&amp;P_END)),""))/(IFERROR((SUMIFS('M3 · Base mensuelle'!$D$51:$AM$51,HDR,"&gt;="&amp;PP_START,HDR,"&lt;="&amp;PP_END)),""))-1,"")</f>
        <v/>
      </c>
      <c r="D865" s="36" t="n"/>
      <c r="E865" s="36" t="n"/>
      <c r="F865" s="36" t="n"/>
      <c r="G865" s="36" t="n"/>
      <c r="H865" s="22" t="n"/>
      <c r="I865" s="42">
        <f>IFERROR((IFERROR((SUMIFS('M3 · Base mensuelle'!$D$52:$AM$52,HDR,"&gt;="&amp;P_START,HDR,"&lt;="&amp;P_END)),""))/(IFERROR((SUMIFS('M3 · Base mensuelle'!$D$52:$AM$52,HDR,"&gt;="&amp;PP_START,HDR,"&lt;="&amp;PP_END)),""))-1,"")</f>
        <v/>
      </c>
      <c r="J865" s="36" t="n"/>
      <c r="K865" s="36" t="n"/>
      <c r="L865" s="36" t="n"/>
      <c r="M865" s="36" t="n"/>
      <c r="N865" s="22" t="n"/>
    </row>
    <row r="866"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</row>
    <row r="867" ht="5" customHeight="1">
      <c r="C867" s="17" t="n"/>
      <c r="D867" s="38" t="n"/>
      <c r="E867" s="38" t="n"/>
      <c r="F867" s="38" t="n"/>
      <c r="G867" s="38" t="n"/>
      <c r="H867" s="18" t="n"/>
      <c r="I867" s="17" t="n"/>
      <c r="J867" s="38" t="n"/>
      <c r="K867" s="38" t="n"/>
      <c r="L867" s="38" t="n"/>
      <c r="M867" s="38" t="n"/>
      <c r="N867" s="18" t="n"/>
    </row>
    <row r="868" ht="18" customHeight="1">
      <c r="C868" s="39">
        <f>"       "&amp;IFERROR(IF(LANG="EN",INDEX(I18N_EN,MATCH("kpi.mkt.event_roi",I18N_KEY,0)),INDEX(I18N_FR,MATCH("kpi.mkt.event_roi",I18N_KEY,0))),"kpi.mkt.event_roi")</f>
        <v/>
      </c>
      <c r="D868" s="40" t="n"/>
      <c r="E868" s="40" t="n"/>
      <c r="F868" s="40" t="n"/>
      <c r="G868" s="40" t="n"/>
      <c r="H868" s="20" t="n"/>
      <c r="I868" s="39">
        <f>"       "&amp;IFERROR(IF(LANG="EN",INDEX(I18N_EN,MATCH("kpi.mkt.event_sat",I18N_KEY,0)),INDEX(I18N_FR,MATCH("kpi.mkt.event_sat",I18N_KEY,0))),"kpi.mkt.event_sat")</f>
        <v/>
      </c>
      <c r="J868" s="40" t="n"/>
      <c r="K868" s="40" t="n"/>
      <c r="L868" s="40" t="n"/>
      <c r="M868" s="40" t="n"/>
      <c r="N868" s="20" t="n"/>
    </row>
    <row r="869" ht="42" customHeight="1">
      <c r="C869" s="79">
        <f>IFERROR((AVERAGEIFS('M3 · Base mensuelle'!$D$53:$AM$53,HDR,"&gt;="&amp;P_START,HDR,"&lt;="&amp;P_END)),"")</f>
        <v/>
      </c>
      <c r="D869" s="40" t="n"/>
      <c r="E869" s="40" t="n"/>
      <c r="F869" s="40" t="n"/>
      <c r="G869" s="40" t="n"/>
      <c r="H869" s="20" t="n"/>
      <c r="I869" s="41">
        <f>IFERROR((AVERAGEIFS('M3 · Base mensuelle'!$D$54:$AM$54,HDR,"&gt;="&amp;P_START,HDR,"&lt;="&amp;P_END)),"")</f>
        <v/>
      </c>
      <c r="J869" s="40" t="n"/>
      <c r="K869" s="40" t="n"/>
      <c r="L869" s="40" t="n"/>
      <c r="M869" s="40" t="n"/>
      <c r="N869" s="20" t="n"/>
    </row>
    <row r="870" ht="20" customHeight="1">
      <c r="C870" s="42">
        <f>IFERROR((IFERROR((AVERAGEIFS('M3 · Base mensuelle'!$D$53:$AM$53,HDR,"&gt;="&amp;P_START,HDR,"&lt;="&amp;P_END)),""))/(IFERROR((AVERAGEIFS('M3 · Base mensuelle'!$D$53:$AM$53,HDR,"&gt;="&amp;PP_START,HDR,"&lt;="&amp;PP_END)),""))-1,"")</f>
        <v/>
      </c>
      <c r="D870" s="36" t="n"/>
      <c r="E870" s="36" t="n"/>
      <c r="F870" s="36" t="n"/>
      <c r="G870" s="36" t="n"/>
      <c r="H870" s="22" t="n"/>
      <c r="I870" s="42">
        <f>IFERROR((IFERROR((AVERAGEIFS('M3 · Base mensuelle'!$D$54:$AM$54,HDR,"&gt;="&amp;P_START,HDR,"&lt;="&amp;P_END)),""))/(IFERROR((AVERAGEIFS('M3 · Base mensuelle'!$D$54:$AM$54,HDR,"&gt;="&amp;PP_START,HDR,"&lt;="&amp;PP_END)),""))-1,"")</f>
        <v/>
      </c>
      <c r="J870" s="36" t="n"/>
      <c r="K870" s="36" t="n"/>
      <c r="L870" s="36" t="n"/>
      <c r="M870" s="36" t="n"/>
      <c r="N870" s="22" t="n"/>
    </row>
    <row r="871"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</row>
    <row r="872"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</row>
    <row r="873">
      <c r="C873" s="43">
        <f>"▌ "&amp;IFERROR(IF(LANG="EN",INDEX(I18N_EN,MATCH("kpi.mkt.events",I18N_KEY,0)),INDEX(I18N_FR,MATCH("kpi.mkt.events",I18N_KEY,0))),"kpi.mkt.events")&amp;" — 12 mois / 12M"</f>
        <v/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</row>
    <row r="874"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</row>
    <row r="875"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</row>
    <row r="876"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</row>
    <row r="877"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</row>
    <row r="878"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</row>
    <row r="879"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</row>
    <row r="880"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</row>
    <row r="881"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</row>
    <row r="882"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</row>
    <row r="883"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</row>
    <row r="884"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</row>
    <row r="885">
      <c r="C885" s="43">
        <f>"▌ "&amp;IF(LANG="EN","Key gauges","Jauges clés")</f>
        <v/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</row>
    <row r="886">
      <c r="C886" s="44">
        <f>IFERROR(IF(LANG="EN",INDEX(I18N_EN,MATCH("kpi.mkt.event_roi",I18N_KEY,0)),INDEX(I18N_FR,MATCH("kpi.mkt.event_roi",I18N_KEY,0))),"kpi.mkt.event_roi")</f>
        <v/>
      </c>
      <c r="D886" s="3" t="n"/>
      <c r="E886" s="3" t="n"/>
      <c r="F886" s="3" t="n"/>
      <c r="G886" s="44">
        <f>IFERROR(IF(LANG="EN",INDEX(I18N_EN,MATCH("kpi.mkt.engagement",I18N_KEY,0)),INDEX(I18N_FR,MATCH("kpi.mkt.engagement",I18N_KEY,0))),"kpi.mkt.engagement")</f>
        <v/>
      </c>
      <c r="H886" s="3" t="n"/>
      <c r="I886" s="3" t="n"/>
      <c r="J886" s="3" t="n"/>
      <c r="K886" s="44">
        <f>IFERROR(IF(LANG="EN",INDEX(I18N_EN,MATCH("kpi.mkt.digital_conv",I18N_KEY,0)),INDEX(I18N_FR,MATCH("kpi.mkt.digital_conv",I18N_KEY,0))),"kpi.mkt.digital_conv")</f>
        <v/>
      </c>
      <c r="L886" s="3" t="n"/>
      <c r="M886" s="3" t="n"/>
      <c r="N886" s="3" t="n"/>
    </row>
    <row r="887"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</row>
    <row r="888"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</row>
    <row r="889"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</row>
    <row r="890"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</row>
    <row r="891"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</row>
    <row r="892"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</row>
    <row r="893"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</row>
    <row r="894">
      <c r="C894" s="45">
        <f>IFERROR((AVERAGEIFS('M3 · Base mensuelle'!$D$53:$AM$53,HDR,"&gt;="&amp;P_START,HDR,"&lt;="&amp;P_END)),"")</f>
        <v/>
      </c>
      <c r="D894" s="3" t="n"/>
      <c r="E894" s="3" t="n"/>
      <c r="F894" s="3" t="n"/>
      <c r="G894" s="45">
        <f>IFERROR((AVERAGEIFS('M3 · Base mensuelle'!$D$55:$AM$55,HDR,"&gt;="&amp;P_START,HDR,"&lt;="&amp;P_END)),"")</f>
        <v/>
      </c>
      <c r="H894" s="3" t="n"/>
      <c r="I894" s="3" t="n"/>
      <c r="J894" s="3" t="n"/>
      <c r="K894" s="45">
        <f>IFERROR((AVERAGEIFS('M3 · Base mensuelle'!$D$59:$AM$59,HDR,"&gt;="&amp;P_START,HDR,"&lt;="&amp;P_END)),"")</f>
        <v/>
      </c>
      <c r="L894" s="3" t="n"/>
      <c r="M894" s="3" t="n"/>
      <c r="N894" s="3" t="n"/>
    </row>
    <row r="895"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</row>
    <row r="896"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</row>
    <row r="897"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</row>
    <row r="898" ht="19" customHeight="1">
      <c r="C898" s="46">
        <f>"▸  6.1  "&amp;IF(LANG="EN","Social Media","Réseaux sociaux")</f>
        <v/>
      </c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  <c r="N898" s="48" t="n"/>
      <c r="O898" s="1" t="n"/>
    </row>
    <row r="899">
      <c r="C899" s="61">
        <f>IFERROR(IF(LANG="EN",INDEX(I18N_EN,MATCH("col.kpi",I18N_KEY,0)),INDEX(I18N_FR,MATCH("col.kpi",I18N_KEY,0))),"col.kpi")</f>
        <v/>
      </c>
      <c r="D899" s="62">
        <f>IFERROR(IF(LANG="EN",INDEX(I18N_EN,MATCH("col.unit",I18N_KEY,0)),INDEX(I18N_FR,MATCH("col.unit",I18N_KEY,0))),"col.unit")</f>
        <v/>
      </c>
      <c r="E899" s="62">
        <f>IFERROR(IF(LANG="EN",INDEX(I18N_EN,MATCH("col.current",I18N_KEY,0)),INDEX(I18N_FR,MATCH("col.current",I18N_KEY,0))),"col.current")</f>
        <v/>
      </c>
      <c r="F899" s="62">
        <f>IFERROR(IF(LANG="EN",INDEX(I18N_EN,MATCH("col.prev",I18N_KEY,0)),INDEX(I18N_FR,MATCH("col.prev",I18N_KEY,0))),"col.prev")</f>
        <v/>
      </c>
      <c r="G899" s="62">
        <f>IFERROR(IF(LANG="EN",INDEX(I18N_EN,MATCH("col.delta_prev",I18N_KEY,0)),INDEX(I18N_FR,MATCH("col.delta_prev",I18N_KEY,0))),"col.delta_prev")</f>
        <v/>
      </c>
      <c r="H899" s="62">
        <f>IFERROR(IF(LANG="EN",INDEX(I18N_EN,MATCH("col.py",I18N_KEY,0)),INDEX(I18N_FR,MATCH("col.py",I18N_KEY,0))),"col.py")</f>
        <v/>
      </c>
      <c r="I899" s="62">
        <f>IFERROR(IF(LANG="EN",INDEX(I18N_EN,MATCH("col.delta_py",I18N_KEY,0)),INDEX(I18N_FR,MATCH("col.delta_py",I18N_KEY,0))),"col.delta_py")</f>
        <v/>
      </c>
      <c r="J899" s="62">
        <f>IFERROR(IF(LANG="EN",INDEX(I18N_EN,MATCH("col.budget",I18N_KEY,0)),INDEX(I18N_FR,MATCH("col.budget",I18N_KEY,0))),"col.budget")</f>
        <v/>
      </c>
      <c r="K899" s="62">
        <f>IFERROR(IF(LANG="EN",INDEX(I18N_EN,MATCH("col.var",I18N_KEY,0)),INDEX(I18N_FR,MATCH("col.var",I18N_KEY,0))),"col.var")</f>
        <v/>
      </c>
      <c r="L899" s="62">
        <f>IFERROR(IF(LANG="EN",INDEX(I18N_EN,MATCH("col.rag",I18N_KEY,0)),INDEX(I18N_FR,MATCH("col.rag",I18N_KEY,0))),"col.rag")</f>
        <v/>
      </c>
      <c r="M899" s="3" t="n"/>
      <c r="N899" s="32" t="n"/>
    </row>
    <row r="900">
      <c r="C900" s="63">
        <f>IFERROR(IF(LANG="EN",INDEX(I18N_EN,MATCH("kpi.mkt.followers",I18N_KEY,0)),INDEX(I18N_FR,MATCH("kpi.mkt.followers",I18N_KEY,0))),"kpi.mkt.followers")</f>
        <v/>
      </c>
      <c r="D900" s="64" t="inlineStr">
        <is>
          <t>nb</t>
        </is>
      </c>
      <c r="E900" s="65">
        <f>IFERROR((INDEX('M3 · Base mensuelle'!$D$56:$AM$56,MATCH(P_END,HDR,0))),"")</f>
        <v/>
      </c>
      <c r="F900" s="65">
        <f>IFERROR((INDEX('M3 · Base mensuelle'!$D$56:$AM$56,MATCH(PP_END,HDR,0))),"")</f>
        <v/>
      </c>
      <c r="G900" s="66">
        <f>IFERROR((E900)/(F900)-1,"")</f>
        <v/>
      </c>
      <c r="H900" s="65">
        <f>IFERROR((INDEX('M3 · Base mensuelle'!$D$56:$AM$56,MATCH(PY_END,HDR,0))),"")</f>
        <v/>
      </c>
      <c r="I900" s="66">
        <f>IFERROR((E900)/(H900)-1,"")</f>
        <v/>
      </c>
      <c r="J900" s="67" t="n"/>
      <c r="K900" s="66">
        <f>IFERROR((E900)/(J900)-1,"")</f>
        <v/>
      </c>
      <c r="L900" s="68">
        <f>IF(O900="","",IF(O900="green",IFERROR(IF(LANG="EN",INDEX(I18N_EN,MATCH("rag.green",I18N_KEY,0)),INDEX(I18N_FR,MATCH("rag.green",I18N_KEY,0))),"rag.green"),IF(O900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00" s="3" t="n"/>
      <c r="N900" s="32" t="n"/>
      <c r="O900" s="69">
        <f>IFERROR(IF(IF(N(J900)&gt;0,J900,H900)=0,"",IF(INDEX(RAG_SENS,MATCH("kpi.mkt.followers",RAG_KEY,0))="UP",IF((E900/IF(N(J900)&gt;0,J900,H900))&gt;=INDEX(RAG_SV,MATCH("kpi.mkt.followers",RAG_KEY,0)),"green",IF((E900/IF(N(J900)&gt;0,J900,H900))&gt;=INDEX(RAG_SA,MATCH("kpi.mkt.followers",RAG_KEY,0)),"amber","red")),IF((E900/IF(N(J900)&gt;0,J900,H900))&lt;=INDEX(RAG_SV,MATCH("kpi.mkt.followers",RAG_KEY,0)),"green",IF((E900/IF(N(J900)&gt;0,J900,H900))&lt;=INDEX(RAG_SA,MATCH("kpi.mkt.followers",RAG_KEY,0)),"amber","red")))),"")</f>
        <v/>
      </c>
    </row>
    <row r="901">
      <c r="C901" s="63">
        <f>IFERROR(IF(LANG="EN",INDEX(I18N_EN,MATCH("kpi.mkt.engagement",I18N_KEY,0)),INDEX(I18N_FR,MATCH("kpi.mkt.engagement",I18N_KEY,0))),"kpi.mkt.engagement")</f>
        <v/>
      </c>
      <c r="D901" s="64" t="inlineStr">
        <is>
          <t>%</t>
        </is>
      </c>
      <c r="E901" s="71">
        <f>IFERROR((AVERAGEIFS('M3 · Base mensuelle'!$D$55:$AM$55,HDR,"&gt;="&amp;P_START,HDR,"&lt;="&amp;P_END)),"")</f>
        <v/>
      </c>
      <c r="F901" s="71">
        <f>IFERROR((AVERAGEIFS('M3 · Base mensuelle'!$D$55:$AM$55,HDR,"&gt;="&amp;PP_START,HDR,"&lt;="&amp;PP_END)),"")</f>
        <v/>
      </c>
      <c r="G901" s="66">
        <f>IFERROR((E901)/(F901)-1,"")</f>
        <v/>
      </c>
      <c r="H901" s="71">
        <f>IFERROR((AVERAGEIFS('M3 · Base mensuelle'!$D$55:$AM$55,HDR,"&gt;="&amp;PY_START,HDR,"&lt;="&amp;PY_END)),"")</f>
        <v/>
      </c>
      <c r="I901" s="66">
        <f>IFERROR((E901)/(H901)-1,"")</f>
        <v/>
      </c>
      <c r="J901" s="67" t="n"/>
      <c r="K901" s="66">
        <f>IFERROR((E901)/(J901)-1,"")</f>
        <v/>
      </c>
      <c r="L901" s="68">
        <f>IF(O901="","",IF(O901="green",IFERROR(IF(LANG="EN",INDEX(I18N_EN,MATCH("rag.green",I18N_KEY,0)),INDEX(I18N_FR,MATCH("rag.green",I18N_KEY,0))),"rag.green"),IF(O901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01" s="3" t="n"/>
      <c r="N901" s="32" t="n"/>
      <c r="O901" s="69">
        <f>IFERROR(IF(IF(N(J901)&gt;0,J901,H901)=0,"",IF(INDEX(RAG_SENS,MATCH("kpi.mkt.engagement",RAG_KEY,0))="UP",IF((E901/IF(N(J901)&gt;0,J901,H901))&gt;=INDEX(RAG_SV,MATCH("kpi.mkt.engagement",RAG_KEY,0)),"green",IF((E901/IF(N(J901)&gt;0,J901,H901))&gt;=INDEX(RAG_SA,MATCH("kpi.mkt.engagement",RAG_KEY,0)),"amber","red")),IF((E901/IF(N(J901)&gt;0,J901,H901))&lt;=INDEX(RAG_SV,MATCH("kpi.mkt.engagement",RAG_KEY,0)),"green",IF((E901/IF(N(J901)&gt;0,J901,H901))&lt;=INDEX(RAG_SA,MATCH("kpi.mkt.engagement",RAG_KEY,0)),"amber","red")))),"")</f>
        <v/>
      </c>
    </row>
    <row r="902">
      <c r="C902" s="63">
        <f>IFERROR(IF(LANG="EN",INDEX(I18N_EN,MATCH("kpi.mkt.reach",I18N_KEY,0)),INDEX(I18N_FR,MATCH("kpi.mkt.reach",I18N_KEY,0))),"kpi.mkt.reach")</f>
        <v/>
      </c>
      <c r="D902" s="64" t="inlineStr">
        <is>
          <t>nb</t>
        </is>
      </c>
      <c r="E902" s="65">
        <f>IFERROR((SUMIFS('M3 · Base mensuelle'!$D$57:$AM$57,HDR,"&gt;="&amp;P_START,HDR,"&lt;="&amp;P_END)),"")</f>
        <v/>
      </c>
      <c r="F902" s="65">
        <f>IFERROR((SUMIFS('M3 · Base mensuelle'!$D$57:$AM$57,HDR,"&gt;="&amp;PP_START,HDR,"&lt;="&amp;PP_END)),"")</f>
        <v/>
      </c>
      <c r="G902" s="66">
        <f>IFERROR((E902)/(F902)-1,"")</f>
        <v/>
      </c>
      <c r="H902" s="65">
        <f>IFERROR((SUMIFS('M3 · Base mensuelle'!$D$57:$AM$57,HDR,"&gt;="&amp;PY_START,HDR,"&lt;="&amp;PY_END)),"")</f>
        <v/>
      </c>
      <c r="I902" s="66">
        <f>IFERROR((E902)/(H902)-1,"")</f>
        <v/>
      </c>
      <c r="J902" s="67" t="n"/>
      <c r="K902" s="66">
        <f>IFERROR((E902)/(J902)-1,"")</f>
        <v/>
      </c>
      <c r="L902" s="68">
        <f>IF(O902="","",IF(O902="green",IFERROR(IF(LANG="EN",INDEX(I18N_EN,MATCH("rag.green",I18N_KEY,0)),INDEX(I18N_FR,MATCH("rag.green",I18N_KEY,0))),"rag.green"),IF(O902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02" s="3" t="n"/>
      <c r="N902" s="32" t="n"/>
      <c r="O902" s="69">
        <f>IFERROR(IF(IF(N(J902)&gt;0,J902,H902)=0,"",IF(INDEX(RAG_SENS,MATCH("kpi.mkt.reach",RAG_KEY,0))="UP",IF((E902/IF(N(J902)&gt;0,J902,H902))&gt;=INDEX(RAG_SV,MATCH("kpi.mkt.reach",RAG_KEY,0)),"green",IF((E902/IF(N(J902)&gt;0,J902,H902))&gt;=INDEX(RAG_SA,MATCH("kpi.mkt.reach",RAG_KEY,0)),"amber","red")),IF((E902/IF(N(J902)&gt;0,J902,H902))&lt;=INDEX(RAG_SV,MATCH("kpi.mkt.reach",RAG_KEY,0)),"green",IF((E902/IF(N(J902)&gt;0,J902,H902))&lt;=INDEX(RAG_SA,MATCH("kpi.mkt.reach",RAG_KEY,0)),"amber","red")))),"")</f>
        <v/>
      </c>
    </row>
    <row r="903">
      <c r="C903" s="63">
        <f>IFERROR(IF(LANG="EN",INDEX(I18N_EN,MATCH("kpi.mkt.impressions",I18N_KEY,0)),INDEX(I18N_FR,MATCH("kpi.mkt.impressions",I18N_KEY,0))),"kpi.mkt.impressions")</f>
        <v/>
      </c>
      <c r="D903" s="64" t="inlineStr">
        <is>
          <t>nb</t>
        </is>
      </c>
      <c r="E903" s="65">
        <f>IFERROR((SUMIFS('M3 · Base mensuelle'!$D$62:$AM$62,HDR,"&gt;="&amp;P_START,HDR,"&lt;="&amp;P_END)),"")</f>
        <v/>
      </c>
      <c r="F903" s="65">
        <f>IFERROR((SUMIFS('M3 · Base mensuelle'!$D$62:$AM$62,HDR,"&gt;="&amp;PP_START,HDR,"&lt;="&amp;PP_END)),"")</f>
        <v/>
      </c>
      <c r="G903" s="66">
        <f>IFERROR((E903)/(F903)-1,"")</f>
        <v/>
      </c>
      <c r="H903" s="65">
        <f>IFERROR((SUMIFS('M3 · Base mensuelle'!$D$62:$AM$62,HDR,"&gt;="&amp;PY_START,HDR,"&lt;="&amp;PY_END)),"")</f>
        <v/>
      </c>
      <c r="I903" s="66">
        <f>IFERROR((E903)/(H903)-1,"")</f>
        <v/>
      </c>
      <c r="J903" s="67" t="n"/>
      <c r="K903" s="66">
        <f>IFERROR((E903)/(J903)-1,"")</f>
        <v/>
      </c>
      <c r="L903" s="68">
        <f>IF(O903="","",IF(O903="green",IFERROR(IF(LANG="EN",INDEX(I18N_EN,MATCH("rag.green",I18N_KEY,0)),INDEX(I18N_FR,MATCH("rag.green",I18N_KEY,0))),"rag.green"),IF(O903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03" s="3" t="n"/>
      <c r="N903" s="32" t="n"/>
      <c r="O903" s="69">
        <f>IFERROR(IF(IF(N(J903)&gt;0,J903,H903)=0,"",IF(INDEX(RAG_SENS,MATCH("kpi.mkt.impressions",RAG_KEY,0))="UP",IF((E903/IF(N(J903)&gt;0,J903,H903))&gt;=INDEX(RAG_SV,MATCH("kpi.mkt.impressions",RAG_KEY,0)),"green",IF((E903/IF(N(J903)&gt;0,J903,H903))&gt;=INDEX(RAG_SA,MATCH("kpi.mkt.impressions",RAG_KEY,0)),"amber","red")),IF((E903/IF(N(J903)&gt;0,J903,H903))&lt;=INDEX(RAG_SV,MATCH("kpi.mkt.impressions",RAG_KEY,0)),"green",IF((E903/IF(N(J903)&gt;0,J903,H903))&lt;=INDEX(RAG_SA,MATCH("kpi.mkt.impressions",RAG_KEY,0)),"amber","red")))),"")</f>
        <v/>
      </c>
    </row>
    <row r="904">
      <c r="C904" s="72">
        <f>"◆ "&amp;IFERROR(IF(LANG="EN",INDEX(I18N_EN,MATCH("msg.highlights",I18N_KEY,0)),INDEX(I18N_FR,MATCH("msg.highlights",I18N_KEY,0))),"msg.highlights")</f>
        <v/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2" t="n"/>
    </row>
    <row r="905">
      <c r="C905" s="73">
        <f>IFERROR("▲ "&amp;INDEX(C900:C903,MATCH(MAX(G900:G903),G900:G903,0))&amp;"   "&amp;TEXT(MAX(G900:G903),"+0.0%;-0.0%"),"")</f>
        <v/>
      </c>
      <c r="D905" s="3" t="n"/>
      <c r="E905" s="3" t="n"/>
      <c r="F905" s="3" t="n"/>
      <c r="G905" s="3" t="n"/>
      <c r="H905" s="3" t="n"/>
      <c r="I905" s="74">
        <f>IFERROR("▼ "&amp;INDEX(C900:C903,MATCH(MIN(G900:G903),G900:G903,0))&amp;"   "&amp;TEXT(MIN(G900:G903),"+0.0%;-0.0%"),"")</f>
        <v/>
      </c>
      <c r="J905" s="3" t="n"/>
      <c r="K905" s="3" t="n"/>
      <c r="L905" s="3" t="n"/>
      <c r="M905" s="3" t="n"/>
      <c r="N905" s="32" t="n"/>
    </row>
    <row r="906">
      <c r="C906" s="53">
        <f>"💬 "&amp;IFERROR(IF(LANG="EN",INDEX(I18N_EN,MATCH("col.comment",I18N_KEY,0)),INDEX(I18N_FR,MATCH("col.comment",I18N_KEY,0))),"col.comment")</f>
        <v/>
      </c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4" t="n"/>
      <c r="O906" s="5" t="n"/>
    </row>
    <row r="907">
      <c r="C907" s="75">
        <f>IF('C5 · Marketing'!$D$32&lt;&gt;"",'C5 · Marketing'!$D$32,IFERROR(SUBSTITUTE(SUBSTITUTE(IF(G900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mkt.followers",I18N_KEY,0)),INDEX(I18N_FR,MATCH("kpi.mkt.followers",I18N_KEY,0))),"kpi.mkt.followers")),"{delta}",TEXT(ABS(G900),"0.0%")),""))</f>
        <v/>
      </c>
      <c r="D907" s="56" t="n"/>
      <c r="E907" s="56" t="n"/>
      <c r="F907" s="56" t="n"/>
      <c r="G907" s="56" t="n"/>
      <c r="H907" s="56" t="n"/>
      <c r="I907" s="56" t="n"/>
      <c r="J907" s="56" t="n"/>
      <c r="K907" s="56" t="n"/>
      <c r="L907" s="56" t="n"/>
      <c r="M907" s="56" t="n"/>
      <c r="N907" s="56" t="n"/>
      <c r="O907" s="57" t="n"/>
    </row>
    <row r="908">
      <c r="C908" s="50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2" t="n"/>
    </row>
    <row r="909">
      <c r="C909" s="58" t="n"/>
      <c r="D909" s="58" t="n"/>
      <c r="E909" s="58" t="n"/>
      <c r="F909" s="58" t="n"/>
      <c r="G909" s="58" t="n"/>
      <c r="H909" s="58" t="n"/>
      <c r="I909" s="58" t="n"/>
      <c r="J909" s="58" t="n"/>
      <c r="K909" s="58" t="n"/>
      <c r="L909" s="58" t="n"/>
      <c r="M909" s="58" t="n"/>
      <c r="N909" s="58" t="n"/>
      <c r="O909" s="59" t="n"/>
    </row>
    <row r="910">
      <c r="C910" s="60" t="n"/>
      <c r="D910" s="3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22" t="n"/>
    </row>
    <row r="911"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</row>
    <row r="912" ht="19" customHeight="1">
      <c r="C912" s="46">
        <f>"▸  6.1.1  "&amp;IF(LANG="EN","Follower Acquisition by Network","Recrutement d'abonnés par réseau")</f>
        <v/>
      </c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  <c r="N912" s="48" t="n"/>
      <c r="O912" s="1" t="n"/>
    </row>
    <row r="913">
      <c r="C913" s="80" t="inlineStr">
        <is>
          <t>Réseau / Network</t>
        </is>
      </c>
      <c r="D913" s="62" t="inlineStr">
        <is>
          <t>Abonnés / Followers</t>
        </is>
      </c>
      <c r="E913" s="62" t="inlineStr">
        <is>
          <t>Nouveaux / New</t>
        </is>
      </c>
      <c r="F913" s="62" t="inlineStr">
        <is>
          <t>Croissance / Growth</t>
        </is>
      </c>
      <c r="G913" s="3" t="n"/>
      <c r="H913" s="3" t="n"/>
      <c r="I913" s="3" t="n"/>
      <c r="J913" s="3" t="n"/>
      <c r="K913" s="3" t="n"/>
      <c r="L913" s="3" t="n"/>
      <c r="M913" s="3" t="n"/>
      <c r="N913" s="32" t="n"/>
    </row>
    <row r="914">
      <c r="C914" s="82" t="inlineStr">
        <is>
          <t>Facebook</t>
        </is>
      </c>
      <c r="D914" s="83" t="n">
        <v>42000</v>
      </c>
      <c r="E914" s="83" t="n">
        <v>1800</v>
      </c>
      <c r="F914" s="86" t="n">
        <v>0.045</v>
      </c>
      <c r="G914" s="3" t="n"/>
      <c r="H914" s="3" t="n"/>
      <c r="I914" s="3" t="n"/>
      <c r="J914" s="3" t="n"/>
      <c r="K914" s="3" t="n"/>
      <c r="L914" s="3" t="n"/>
      <c r="M914" s="3" t="n"/>
      <c r="N914" s="32" t="n"/>
    </row>
    <row r="915">
      <c r="C915" s="82" t="inlineStr">
        <is>
          <t>Instagram</t>
        </is>
      </c>
      <c r="D915" s="83" t="n">
        <v>26000</v>
      </c>
      <c r="E915" s="83" t="n">
        <v>1500</v>
      </c>
      <c r="F915" s="86" t="n">
        <v>0.061</v>
      </c>
      <c r="G915" s="3" t="n"/>
      <c r="H915" s="3" t="n"/>
      <c r="I915" s="3" t="n"/>
      <c r="J915" s="3" t="n"/>
      <c r="K915" s="3" t="n"/>
      <c r="L915" s="3" t="n"/>
      <c r="M915" s="3" t="n"/>
      <c r="N915" s="32" t="n"/>
    </row>
    <row r="916">
      <c r="C916" s="82" t="inlineStr">
        <is>
          <t>TikTok</t>
        </is>
      </c>
      <c r="D916" s="83" t="n">
        <v>8500</v>
      </c>
      <c r="E916" s="83" t="n">
        <v>820</v>
      </c>
      <c r="F916" s="86" t="n">
        <v>0.106</v>
      </c>
      <c r="G916" s="3" t="n"/>
      <c r="H916" s="3" t="n"/>
      <c r="I916" s="3" t="n"/>
      <c r="J916" s="3" t="n"/>
      <c r="K916" s="3" t="n"/>
      <c r="L916" s="3" t="n"/>
      <c r="M916" s="3" t="n"/>
      <c r="N916" s="32" t="n"/>
    </row>
    <row r="917">
      <c r="C917" s="82" t="inlineStr">
        <is>
          <t>LinkedIn</t>
        </is>
      </c>
      <c r="D917" s="83" t="n">
        <v>1500</v>
      </c>
      <c r="E917" s="83" t="n">
        <v>80</v>
      </c>
      <c r="F917" s="86" t="n">
        <v>0.056</v>
      </c>
      <c r="G917" s="3" t="n"/>
      <c r="H917" s="3" t="n"/>
      <c r="I917" s="3" t="n"/>
      <c r="J917" s="3" t="n"/>
      <c r="K917" s="3" t="n"/>
      <c r="L917" s="3" t="n"/>
      <c r="M917" s="3" t="n"/>
      <c r="N917" s="32" t="n"/>
    </row>
    <row r="918">
      <c r="C918" s="50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2" t="n"/>
    </row>
    <row r="919">
      <c r="C919" s="50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2" t="n"/>
    </row>
    <row r="920">
      <c r="C920" s="50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2" t="n"/>
    </row>
    <row r="921">
      <c r="C921" s="50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2" t="n"/>
    </row>
    <row r="922">
      <c r="C922" s="50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2" t="n"/>
    </row>
    <row r="923">
      <c r="C923" s="50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2" t="n"/>
    </row>
    <row r="924">
      <c r="C924" s="50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2" t="n"/>
    </row>
    <row r="925">
      <c r="C925" s="50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2" t="n"/>
    </row>
    <row r="926">
      <c r="C926" s="53">
        <f>"💬 "&amp;IFERROR(IF(LANG="EN",INDEX(I18N_EN,MATCH("col.comment",I18N_KEY,0)),INDEX(I18N_FR,MATCH("col.comment",I18N_KEY,0))),"col.comment")</f>
        <v/>
      </c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4" t="n"/>
      <c r="O926" s="5" t="n"/>
    </row>
    <row r="927">
      <c r="C927" s="55">
        <f>IF(LANG="EN","Commentary / data source: management systems (demo).","Commentaire / source : systèmes de gestion (démo).")</f>
        <v/>
      </c>
      <c r="D927" s="56" t="n"/>
      <c r="E927" s="56" t="n"/>
      <c r="F927" s="56" t="n"/>
      <c r="G927" s="56" t="n"/>
      <c r="H927" s="56" t="n"/>
      <c r="I927" s="56" t="n"/>
      <c r="J927" s="56" t="n"/>
      <c r="K927" s="56" t="n"/>
      <c r="L927" s="56" t="n"/>
      <c r="M927" s="56" t="n"/>
      <c r="N927" s="56" t="n"/>
      <c r="O927" s="57" t="n"/>
    </row>
    <row r="928">
      <c r="C928" s="50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2" t="n"/>
    </row>
    <row r="929">
      <c r="C929" s="58" t="n"/>
      <c r="D929" s="58" t="n"/>
      <c r="E929" s="58" t="n"/>
      <c r="F929" s="58" t="n"/>
      <c r="G929" s="58" t="n"/>
      <c r="H929" s="58" t="n"/>
      <c r="I929" s="58" t="n"/>
      <c r="J929" s="58" t="n"/>
      <c r="K929" s="58" t="n"/>
      <c r="L929" s="58" t="n"/>
      <c r="M929" s="58" t="n"/>
      <c r="N929" s="58" t="n"/>
      <c r="O929" s="59" t="n"/>
    </row>
    <row r="930">
      <c r="C930" s="60" t="n"/>
      <c r="D930" s="36" t="n"/>
      <c r="E930" s="36" t="n"/>
      <c r="F930" s="36" t="n"/>
      <c r="G930" s="36" t="n"/>
      <c r="H930" s="36" t="n"/>
      <c r="I930" s="36" t="n"/>
      <c r="J930" s="36" t="n"/>
      <c r="K930" s="36" t="n"/>
      <c r="L930" s="36" t="n"/>
      <c r="M930" s="36" t="n"/>
      <c r="N930" s="22" t="n"/>
    </row>
    <row r="931"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</row>
    <row r="932" ht="19" customHeight="1">
      <c r="C932" s="46">
        <f>"▸  6.2  "&amp;IF(LANG="EN","Direct Marketing","Marketing direct")</f>
        <v/>
      </c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  <c r="N932" s="48" t="n"/>
      <c r="O932" s="1" t="n"/>
    </row>
    <row r="933">
      <c r="C933" s="61">
        <f>IFERROR(IF(LANG="EN",INDEX(I18N_EN,MATCH("col.kpi",I18N_KEY,0)),INDEX(I18N_FR,MATCH("col.kpi",I18N_KEY,0))),"col.kpi")</f>
        <v/>
      </c>
      <c r="D933" s="62">
        <f>IFERROR(IF(LANG="EN",INDEX(I18N_EN,MATCH("col.unit",I18N_KEY,0)),INDEX(I18N_FR,MATCH("col.unit",I18N_KEY,0))),"col.unit")</f>
        <v/>
      </c>
      <c r="E933" s="62">
        <f>IFERROR(IF(LANG="EN",INDEX(I18N_EN,MATCH("col.current",I18N_KEY,0)),INDEX(I18N_FR,MATCH("col.current",I18N_KEY,0))),"col.current")</f>
        <v/>
      </c>
      <c r="F933" s="62">
        <f>IFERROR(IF(LANG="EN",INDEX(I18N_EN,MATCH("col.prev",I18N_KEY,0)),INDEX(I18N_FR,MATCH("col.prev",I18N_KEY,0))),"col.prev")</f>
        <v/>
      </c>
      <c r="G933" s="62">
        <f>IFERROR(IF(LANG="EN",INDEX(I18N_EN,MATCH("col.delta_prev",I18N_KEY,0)),INDEX(I18N_FR,MATCH("col.delta_prev",I18N_KEY,0))),"col.delta_prev")</f>
        <v/>
      </c>
      <c r="H933" s="62">
        <f>IFERROR(IF(LANG="EN",INDEX(I18N_EN,MATCH("col.py",I18N_KEY,0)),INDEX(I18N_FR,MATCH("col.py",I18N_KEY,0))),"col.py")</f>
        <v/>
      </c>
      <c r="I933" s="62">
        <f>IFERROR(IF(LANG="EN",INDEX(I18N_EN,MATCH("col.delta_py",I18N_KEY,0)),INDEX(I18N_FR,MATCH("col.delta_py",I18N_KEY,0))),"col.delta_py")</f>
        <v/>
      </c>
      <c r="J933" s="62">
        <f>IFERROR(IF(LANG="EN",INDEX(I18N_EN,MATCH("col.budget",I18N_KEY,0)),INDEX(I18N_FR,MATCH("col.budget",I18N_KEY,0))),"col.budget")</f>
        <v/>
      </c>
      <c r="K933" s="62">
        <f>IFERROR(IF(LANG="EN",INDEX(I18N_EN,MATCH("col.var",I18N_KEY,0)),INDEX(I18N_FR,MATCH("col.var",I18N_KEY,0))),"col.var")</f>
        <v/>
      </c>
      <c r="L933" s="62">
        <f>IFERROR(IF(LANG="EN",INDEX(I18N_EN,MATCH("col.rag",I18N_KEY,0)),INDEX(I18N_FR,MATCH("col.rag",I18N_KEY,0))),"col.rag")</f>
        <v/>
      </c>
      <c r="M933" s="3" t="n"/>
      <c r="N933" s="32" t="n"/>
    </row>
    <row r="934">
      <c r="C934" s="63">
        <f>IFERROR(IF(LANG="EN",INDEX(I18N_EN,MATCH("kpi.mkt.cpa",I18N_KEY,0)),INDEX(I18N_FR,MATCH("kpi.mkt.cpa",I18N_KEY,0))),"kpi.mkt.cpa")</f>
        <v/>
      </c>
      <c r="D934" s="64" t="inlineStr">
        <is>
          <t>FCFA</t>
        </is>
      </c>
      <c r="E934" s="70">
        <f>IFERROR((AVERAGEIFS('M3 · Base mensuelle'!$D$58:$AM$58,HDR,"&gt;="&amp;P_START,HDR,"&lt;="&amp;P_END))/1000000,"")</f>
        <v/>
      </c>
      <c r="F934" s="70">
        <f>IFERROR((AVERAGEIFS('M3 · Base mensuelle'!$D$58:$AM$58,HDR,"&gt;="&amp;PP_START,HDR,"&lt;="&amp;PP_END))/1000000,"")</f>
        <v/>
      </c>
      <c r="G934" s="66">
        <f>IFERROR((E934)/(F934)-1,"")</f>
        <v/>
      </c>
      <c r="H934" s="70">
        <f>IFERROR((AVERAGEIFS('M3 · Base mensuelle'!$D$58:$AM$58,HDR,"&gt;="&amp;PY_START,HDR,"&lt;="&amp;PY_END))/1000000,"")</f>
        <v/>
      </c>
      <c r="I934" s="66">
        <f>IFERROR((E934)/(H934)-1,"")</f>
        <v/>
      </c>
      <c r="J934" s="67" t="n"/>
      <c r="K934" s="66">
        <f>IFERROR((E934)/(J934)-1,"")</f>
        <v/>
      </c>
      <c r="L934" s="68">
        <f>IF(O934="","",IF(O934="green",IFERROR(IF(LANG="EN",INDEX(I18N_EN,MATCH("rag.green",I18N_KEY,0)),INDEX(I18N_FR,MATCH("rag.green",I18N_KEY,0))),"rag.green"),IF(O934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34" s="3" t="n"/>
      <c r="N934" s="32" t="n"/>
      <c r="O934" s="69">
        <f>IFERROR(IF(IF(N(J934)&gt;0,J934,H934)=0,"",IF(INDEX(RAG_SENS,MATCH("kpi.mkt.cpa",RAG_KEY,0))="UP",IF((E934/IF(N(J934)&gt;0,J934,H934))&gt;=INDEX(RAG_SV,MATCH("kpi.mkt.cpa",RAG_KEY,0)),"green",IF((E934/IF(N(J934)&gt;0,J934,H934))&gt;=INDEX(RAG_SA,MATCH("kpi.mkt.cpa",RAG_KEY,0)),"amber","red")),IF((E934/IF(N(J934)&gt;0,J934,H934))&lt;=INDEX(RAG_SV,MATCH("kpi.mkt.cpa",RAG_KEY,0)),"green",IF((E934/IF(N(J934)&gt;0,J934,H934))&lt;=INDEX(RAG_SA,MATCH("kpi.mkt.cpa",RAG_KEY,0)),"amber","red")))),"")</f>
        <v/>
      </c>
    </row>
    <row r="935">
      <c r="C935" s="63">
        <f>IFERROR(IF(LANG="EN",INDEX(I18N_EN,MATCH("kpi.mkt.digital_conv",I18N_KEY,0)),INDEX(I18N_FR,MATCH("kpi.mkt.digital_conv",I18N_KEY,0))),"kpi.mkt.digital_conv")</f>
        <v/>
      </c>
      <c r="D935" s="64" t="inlineStr">
        <is>
          <t>%</t>
        </is>
      </c>
      <c r="E935" s="71">
        <f>IFERROR((AVERAGEIFS('M3 · Base mensuelle'!$D$59:$AM$59,HDR,"&gt;="&amp;P_START,HDR,"&lt;="&amp;P_END)),"")</f>
        <v/>
      </c>
      <c r="F935" s="71">
        <f>IFERROR((AVERAGEIFS('M3 · Base mensuelle'!$D$59:$AM$59,HDR,"&gt;="&amp;PP_START,HDR,"&lt;="&amp;PP_END)),"")</f>
        <v/>
      </c>
      <c r="G935" s="66">
        <f>IFERROR((E935)/(F935)-1,"")</f>
        <v/>
      </c>
      <c r="H935" s="71">
        <f>IFERROR((AVERAGEIFS('M3 · Base mensuelle'!$D$59:$AM$59,HDR,"&gt;="&amp;PY_START,HDR,"&lt;="&amp;PY_END)),"")</f>
        <v/>
      </c>
      <c r="I935" s="66">
        <f>IFERROR((E935)/(H935)-1,"")</f>
        <v/>
      </c>
      <c r="J935" s="67" t="n"/>
      <c r="K935" s="66">
        <f>IFERROR((E935)/(J935)-1,"")</f>
        <v/>
      </c>
      <c r="L935" s="68">
        <f>IF(O935="","",IF(O935="green",IFERROR(IF(LANG="EN",INDEX(I18N_EN,MATCH("rag.green",I18N_KEY,0)),INDEX(I18N_FR,MATCH("rag.green",I18N_KEY,0))),"rag.green"),IF(O935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35" s="3" t="n"/>
      <c r="N935" s="32" t="n"/>
      <c r="O935" s="69">
        <f>IFERROR(IF(IF(N(J935)&gt;0,J935,H935)=0,"",IF(INDEX(RAG_SENS,MATCH("kpi.mkt.digital_conv",RAG_KEY,0))="UP",IF((E935/IF(N(J935)&gt;0,J935,H935))&gt;=INDEX(RAG_SV,MATCH("kpi.mkt.digital_conv",RAG_KEY,0)),"green",IF((E935/IF(N(J935)&gt;0,J935,H935))&gt;=INDEX(RAG_SA,MATCH("kpi.mkt.digital_conv",RAG_KEY,0)),"amber","red")),IF((E935/IF(N(J935)&gt;0,J935,H935))&lt;=INDEX(RAG_SV,MATCH("kpi.mkt.digital_conv",RAG_KEY,0)),"green",IF((E935/IF(N(J935)&gt;0,J935,H935))&lt;=INDEX(RAG_SA,MATCH("kpi.mkt.digital_conv",RAG_KEY,0)),"amber","red")))),"")</f>
        <v/>
      </c>
    </row>
    <row r="936">
      <c r="C936" s="63">
        <f>IFERROR(IF(LANG="EN",INDEX(I18N_EN,MATCH("kpi.mkt.campaigns",I18N_KEY,0)),INDEX(I18N_FR,MATCH("kpi.mkt.campaigns",I18N_KEY,0))),"kpi.mkt.campaigns")</f>
        <v/>
      </c>
      <c r="D936" s="64" t="inlineStr">
        <is>
          <t>nb</t>
        </is>
      </c>
      <c r="E936" s="65">
        <f>IFERROR((INDEX('M3 · Base mensuelle'!$D$63:$AM$63,MATCH(P_END,HDR,0))),"")</f>
        <v/>
      </c>
      <c r="F936" s="65">
        <f>IFERROR((INDEX('M3 · Base mensuelle'!$D$63:$AM$63,MATCH(PP_END,HDR,0))),"")</f>
        <v/>
      </c>
      <c r="G936" s="66">
        <f>IFERROR((E936)/(F936)-1,"")</f>
        <v/>
      </c>
      <c r="H936" s="65">
        <f>IFERROR((INDEX('M3 · Base mensuelle'!$D$63:$AM$63,MATCH(PY_END,HDR,0))),"")</f>
        <v/>
      </c>
      <c r="I936" s="66">
        <f>IFERROR((E936)/(H936)-1,"")</f>
        <v/>
      </c>
      <c r="J936" s="67" t="n"/>
      <c r="K936" s="66">
        <f>IFERROR((E936)/(J936)-1,"")</f>
        <v/>
      </c>
      <c r="L936" s="68">
        <f>IF(O936="","",IF(O936="green",IFERROR(IF(LANG="EN",INDEX(I18N_EN,MATCH("rag.green",I18N_KEY,0)),INDEX(I18N_FR,MATCH("rag.green",I18N_KEY,0))),"rag.green"),IF(O936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936" s="3" t="n"/>
      <c r="N936" s="32" t="n"/>
      <c r="O936" s="69">
        <f>IFERROR(IF(IF(N(J936)&gt;0,J936,H936)=0,"",IF(INDEX(RAG_SENS,MATCH("kpi.mkt.campaigns",RAG_KEY,0))="UP",IF((E936/IF(N(J936)&gt;0,J936,H936))&gt;=INDEX(RAG_SV,MATCH("kpi.mkt.campaigns",RAG_KEY,0)),"green",IF((E936/IF(N(J936)&gt;0,J936,H936))&gt;=INDEX(RAG_SA,MATCH("kpi.mkt.campaigns",RAG_KEY,0)),"amber","red")),IF((E936/IF(N(J936)&gt;0,J936,H936))&lt;=INDEX(RAG_SV,MATCH("kpi.mkt.campaigns",RAG_KEY,0)),"green",IF((E936/IF(N(J936)&gt;0,J936,H936))&lt;=INDEX(RAG_SA,MATCH("kpi.mkt.campaigns",RAG_KEY,0)),"amber","red")))),"")</f>
        <v/>
      </c>
    </row>
    <row r="937">
      <c r="C937" s="72">
        <f>"◆ "&amp;IFERROR(IF(LANG="EN",INDEX(I18N_EN,MATCH("msg.highlights",I18N_KEY,0)),INDEX(I18N_FR,MATCH("msg.highlights",I18N_KEY,0))),"msg.highlights")</f>
        <v/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2" t="n"/>
    </row>
    <row r="938">
      <c r="C938" s="73">
        <f>IFERROR("▲ "&amp;INDEX(C934:C936,MATCH(MAX(G934:G936),G934:G936,0))&amp;"   "&amp;TEXT(MAX(G934:G936),"+0.0%;-0.0%"),"")</f>
        <v/>
      </c>
      <c r="D938" s="3" t="n"/>
      <c r="E938" s="3" t="n"/>
      <c r="F938" s="3" t="n"/>
      <c r="G938" s="3" t="n"/>
      <c r="H938" s="3" t="n"/>
      <c r="I938" s="74">
        <f>IFERROR("▼ "&amp;INDEX(C934:C936,MATCH(MIN(G934:G936),G934:G936,0))&amp;"   "&amp;TEXT(MIN(G934:G936),"+0.0%;-0.0%"),"")</f>
        <v/>
      </c>
      <c r="J938" s="3" t="n"/>
      <c r="K938" s="3" t="n"/>
      <c r="L938" s="3" t="n"/>
      <c r="M938" s="3" t="n"/>
      <c r="N938" s="32" t="n"/>
    </row>
    <row r="939">
      <c r="C939" s="53">
        <f>"💬 "&amp;IFERROR(IF(LANG="EN",INDEX(I18N_EN,MATCH("col.comment",I18N_KEY,0)),INDEX(I18N_FR,MATCH("col.comment",I18N_KEY,0))),"col.comment")</f>
        <v/>
      </c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4" t="n"/>
      <c r="O939" s="5" t="n"/>
    </row>
    <row r="940">
      <c r="C940" s="75">
        <f>IF('C5 · Marketing'!$D$34&lt;&gt;"",'C5 · Marketing'!$D$34,IFERROR(SUBSTITUTE(SUBSTITUTE(IF(G934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mkt.cpa",I18N_KEY,0)),INDEX(I18N_FR,MATCH("kpi.mkt.cpa",I18N_KEY,0))),"kpi.mkt.cpa")),"{delta}",TEXT(ABS(G934),"0.0%")),""))</f>
        <v/>
      </c>
      <c r="D940" s="56" t="n"/>
      <c r="E940" s="56" t="n"/>
      <c r="F940" s="56" t="n"/>
      <c r="G940" s="56" t="n"/>
      <c r="H940" s="56" t="n"/>
      <c r="I940" s="56" t="n"/>
      <c r="J940" s="56" t="n"/>
      <c r="K940" s="56" t="n"/>
      <c r="L940" s="56" t="n"/>
      <c r="M940" s="56" t="n"/>
      <c r="N940" s="56" t="n"/>
      <c r="O940" s="57" t="n"/>
    </row>
    <row r="941">
      <c r="C941" s="50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2" t="n"/>
    </row>
    <row r="942">
      <c r="C942" s="58" t="n"/>
      <c r="D942" s="58" t="n"/>
      <c r="E942" s="58" t="n"/>
      <c r="F942" s="58" t="n"/>
      <c r="G942" s="58" t="n"/>
      <c r="H942" s="58" t="n"/>
      <c r="I942" s="58" t="n"/>
      <c r="J942" s="58" t="n"/>
      <c r="K942" s="58" t="n"/>
      <c r="L942" s="58" t="n"/>
      <c r="M942" s="58" t="n"/>
      <c r="N942" s="58" t="n"/>
      <c r="O942" s="59" t="n"/>
    </row>
    <row r="943">
      <c r="C943" s="60" t="n"/>
      <c r="D943" s="36" t="n"/>
      <c r="E943" s="36" t="n"/>
      <c r="F943" s="36" t="n"/>
      <c r="G943" s="36" t="n"/>
      <c r="H943" s="36" t="n"/>
      <c r="I943" s="36" t="n"/>
      <c r="J943" s="36" t="n"/>
      <c r="K943" s="36" t="n"/>
      <c r="L943" s="36" t="n"/>
      <c r="M943" s="36" t="n"/>
      <c r="N943" s="22" t="n"/>
    </row>
    <row r="944"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</row>
    <row r="945" ht="19" customHeight="1">
      <c r="C945" s="46">
        <f>"▸  6.3  "&amp;IF(LANG="EN","Customers Database Analysis","Analyse base clients")</f>
        <v/>
      </c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  <c r="N945" s="48" t="n"/>
      <c r="O945" s="1" t="n"/>
    </row>
    <row r="946">
      <c r="C946" s="53">
        <f>"💬 "&amp;IFERROR(IF(LANG="EN",INDEX(I18N_EN,MATCH("col.comment",I18N_KEY,0)),INDEX(I18N_FR,MATCH("col.comment",I18N_KEY,0))),"col.comment")</f>
        <v/>
      </c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4" t="n"/>
      <c r="O946" s="5" t="n"/>
    </row>
    <row r="947">
      <c r="C947" s="55">
        <f>IF(LANG="EN","Commentary.","Commentaire.")</f>
        <v/>
      </c>
      <c r="D947" s="56" t="n"/>
      <c r="E947" s="56" t="n"/>
      <c r="F947" s="56" t="n"/>
      <c r="G947" s="56" t="n"/>
      <c r="H947" s="56" t="n"/>
      <c r="I947" s="56" t="n"/>
      <c r="J947" s="56" t="n"/>
      <c r="K947" s="56" t="n"/>
      <c r="L947" s="56" t="n"/>
      <c r="M947" s="56" t="n"/>
      <c r="N947" s="56" t="n"/>
      <c r="O947" s="57" t="n"/>
    </row>
    <row r="948">
      <c r="C948" s="50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2" t="n"/>
    </row>
    <row r="949">
      <c r="C949" s="58" t="n"/>
      <c r="D949" s="58" t="n"/>
      <c r="E949" s="58" t="n"/>
      <c r="F949" s="58" t="n"/>
      <c r="G949" s="58" t="n"/>
      <c r="H949" s="58" t="n"/>
      <c r="I949" s="58" t="n"/>
      <c r="J949" s="58" t="n"/>
      <c r="K949" s="58" t="n"/>
      <c r="L949" s="58" t="n"/>
      <c r="M949" s="58" t="n"/>
      <c r="N949" s="58" t="n"/>
      <c r="O949" s="59" t="n"/>
    </row>
    <row r="950">
      <c r="C950" s="60" t="n"/>
      <c r="D950" s="36" t="n"/>
      <c r="E950" s="36" t="n"/>
      <c r="F950" s="36" t="n"/>
      <c r="G950" s="36" t="n"/>
      <c r="H950" s="36" t="n"/>
      <c r="I950" s="36" t="n"/>
      <c r="J950" s="36" t="n"/>
      <c r="K950" s="36" t="n"/>
      <c r="L950" s="36" t="n"/>
      <c r="M950" s="36" t="n"/>
      <c r="N950" s="22" t="n"/>
    </row>
    <row r="951"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</row>
    <row r="952" ht="19" customHeight="1">
      <c r="C952" s="46">
        <f>"▸  6.3.1  "&amp;IF(LANG="EN","Customer Profile and Location","Profil &amp; localisation clients")</f>
        <v/>
      </c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  <c r="N952" s="48" t="n"/>
      <c r="O952" s="1" t="n"/>
    </row>
    <row r="953">
      <c r="C953" s="80" t="inlineStr">
        <is>
          <t>Segment</t>
        </is>
      </c>
      <c r="D953" s="62" t="inlineStr">
        <is>
          <t>Part / Share</t>
        </is>
      </c>
      <c r="E953" s="81" t="inlineStr">
        <is>
          <t>Localisation / Location</t>
        </is>
      </c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2" t="n"/>
    </row>
    <row r="954">
      <c r="C954" s="82" t="inlineStr">
        <is>
          <t>Familles / Families</t>
        </is>
      </c>
      <c r="D954" s="86" t="n">
        <v>0.38</v>
      </c>
      <c r="E954" s="84" t="inlineStr">
        <is>
          <t>Yopougon</t>
        </is>
      </c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2" t="n"/>
    </row>
    <row r="955">
      <c r="C955" s="82" t="inlineStr">
        <is>
          <t>Jeunes actifs / Young pros</t>
        </is>
      </c>
      <c r="D955" s="86" t="n">
        <v>0.27</v>
      </c>
      <c r="E955" s="84" t="inlineStr">
        <is>
          <t>Plateau / Cocody</t>
        </is>
      </c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2" t="n"/>
    </row>
    <row r="956">
      <c r="C956" s="82" t="inlineStr">
        <is>
          <t>Étudiants / Students</t>
        </is>
      </c>
      <c r="D956" s="86" t="n">
        <v>0.18</v>
      </c>
      <c r="E956" s="84" t="inlineStr">
        <is>
          <t>Yopougon</t>
        </is>
      </c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2" t="n"/>
    </row>
    <row r="957">
      <c r="C957" s="82" t="inlineStr">
        <is>
          <t>Touristes / Tourists</t>
        </is>
      </c>
      <c r="D957" s="86" t="n">
        <v>0.07000000000000001</v>
      </c>
      <c r="E957" s="84" t="inlineStr">
        <is>
          <t>Hors zone / Out of area</t>
        </is>
      </c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2" t="n"/>
    </row>
    <row r="958">
      <c r="C958" s="82" t="inlineStr">
        <is>
          <t>Seniors</t>
        </is>
      </c>
      <c r="D958" s="86" t="n">
        <v>0.1</v>
      </c>
      <c r="E958" s="84" t="inlineStr">
        <is>
          <t>Yopougon</t>
        </is>
      </c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2" t="n"/>
    </row>
    <row r="959">
      <c r="C959" s="50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2" t="n"/>
    </row>
    <row r="960">
      <c r="C960" s="50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2" t="n"/>
    </row>
    <row r="961">
      <c r="C961" s="50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2" t="n"/>
    </row>
    <row r="962">
      <c r="C962" s="50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2" t="n"/>
    </row>
    <row r="963">
      <c r="C963" s="50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2" t="n"/>
    </row>
    <row r="964">
      <c r="C964" s="50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2" t="n"/>
    </row>
    <row r="965">
      <c r="C965" s="50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2" t="n"/>
    </row>
    <row r="966">
      <c r="C966" s="50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2" t="n"/>
    </row>
    <row r="967">
      <c r="C967" s="53">
        <f>"💬 "&amp;IFERROR(IF(LANG="EN",INDEX(I18N_EN,MATCH("col.comment",I18N_KEY,0)),INDEX(I18N_FR,MATCH("col.comment",I18N_KEY,0))),"col.comment")</f>
        <v/>
      </c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4" t="n"/>
      <c r="O967" s="5" t="n"/>
    </row>
    <row r="968">
      <c r="C968" s="55">
        <f>IF(LANG="EN","Commentary / data source: management systems (demo).","Commentaire / source : systèmes de gestion (démo).")</f>
        <v/>
      </c>
      <c r="D968" s="56" t="n"/>
      <c r="E968" s="56" t="n"/>
      <c r="F968" s="56" t="n"/>
      <c r="G968" s="56" t="n"/>
      <c r="H968" s="56" t="n"/>
      <c r="I968" s="56" t="n"/>
      <c r="J968" s="56" t="n"/>
      <c r="K968" s="56" t="n"/>
      <c r="L968" s="56" t="n"/>
      <c r="M968" s="56" t="n"/>
      <c r="N968" s="56" t="n"/>
      <c r="O968" s="57" t="n"/>
    </row>
    <row r="969">
      <c r="C969" s="50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2" t="n"/>
    </row>
    <row r="970">
      <c r="C970" s="58" t="n"/>
      <c r="D970" s="58" t="n"/>
      <c r="E970" s="58" t="n"/>
      <c r="F970" s="58" t="n"/>
      <c r="G970" s="58" t="n"/>
      <c r="H970" s="58" t="n"/>
      <c r="I970" s="58" t="n"/>
      <c r="J970" s="58" t="n"/>
      <c r="K970" s="58" t="n"/>
      <c r="L970" s="58" t="n"/>
      <c r="M970" s="58" t="n"/>
      <c r="N970" s="58" t="n"/>
      <c r="O970" s="59" t="n"/>
    </row>
    <row r="971">
      <c r="C971" s="60" t="n"/>
      <c r="D971" s="36" t="n"/>
      <c r="E971" s="36" t="n"/>
      <c r="F971" s="36" t="n"/>
      <c r="G971" s="36" t="n"/>
      <c r="H971" s="36" t="n"/>
      <c r="I971" s="36" t="n"/>
      <c r="J971" s="36" t="n"/>
      <c r="K971" s="36" t="n"/>
      <c r="L971" s="36" t="n"/>
      <c r="M971" s="36" t="n"/>
      <c r="N971" s="22" t="n"/>
    </row>
    <row r="972"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</row>
    <row r="973" ht="19" customHeight="1">
      <c r="C973" s="46">
        <f>"▸  6.3.2  "&amp;IF(LANG="EN","Customer Behaviour &amp; Satisfaction","Comportement &amp; satisfaction clients")</f>
        <v/>
      </c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  <c r="N973" s="48" t="n"/>
      <c r="O973" s="1" t="n"/>
    </row>
    <row r="974">
      <c r="C974" s="80" t="inlineStr">
        <is>
          <t>Indicateur / Metric</t>
        </is>
      </c>
      <c r="D974" s="81" t="inlineStr">
        <is>
          <t>Valeur / Value</t>
        </is>
      </c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2" t="n"/>
    </row>
    <row r="975">
      <c r="C975" s="82" t="inlineStr">
        <is>
          <t>Panier moyen / Avg basket</t>
        </is>
      </c>
      <c r="D975" s="84" t="inlineStr">
        <is>
          <t>18 500 FCFA</t>
        </is>
      </c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2" t="n"/>
    </row>
    <row r="976">
      <c r="C976" s="82" t="inlineStr">
        <is>
          <t>Fréquence visite / Visit frequency</t>
        </is>
      </c>
      <c r="D976" s="84" t="inlineStr">
        <is>
          <t>2,3 / mois</t>
        </is>
      </c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2" t="n"/>
    </row>
    <row r="977">
      <c r="C977" s="82" t="inlineStr">
        <is>
          <t>CSAT</t>
        </is>
      </c>
      <c r="D977" s="84" t="inlineStr">
        <is>
          <t>84%</t>
        </is>
      </c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2" t="n"/>
    </row>
    <row r="978">
      <c r="C978" s="82" t="inlineStr">
        <is>
          <t>NPS</t>
        </is>
      </c>
      <c r="D978" s="84" t="inlineStr">
        <is>
          <t>42</t>
        </is>
      </c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2" t="n"/>
    </row>
    <row r="979">
      <c r="C979" s="82" t="inlineStr">
        <is>
          <t>Taux de recommandation / Recommendation</t>
        </is>
      </c>
      <c r="D979" s="84" t="inlineStr">
        <is>
          <t>79%</t>
        </is>
      </c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2" t="n"/>
    </row>
    <row r="980">
      <c r="C980" s="82" t="inlineStr">
        <is>
          <t>Réclamations / Complaints</t>
        </is>
      </c>
      <c r="D980" s="84" t="inlineStr">
        <is>
          <t>18 (mois / month)</t>
        </is>
      </c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2" t="n"/>
    </row>
    <row r="981">
      <c r="C981" s="50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2" t="n"/>
    </row>
    <row r="982">
      <c r="C982" s="53">
        <f>"💬 "&amp;IFERROR(IF(LANG="EN",INDEX(I18N_EN,MATCH("col.comment",I18N_KEY,0)),INDEX(I18N_FR,MATCH("col.comment",I18N_KEY,0))),"col.comment")</f>
        <v/>
      </c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4" t="n"/>
      <c r="O982" s="5" t="n"/>
    </row>
    <row r="983">
      <c r="C983" s="55">
        <f>IF(LANG="EN","Commentary / data source: management systems (demo).","Commentaire / source : systèmes de gestion (démo).")</f>
        <v/>
      </c>
      <c r="D983" s="56" t="n"/>
      <c r="E983" s="56" t="n"/>
      <c r="F983" s="56" t="n"/>
      <c r="G983" s="56" t="n"/>
      <c r="H983" s="56" t="n"/>
      <c r="I983" s="56" t="n"/>
      <c r="J983" s="56" t="n"/>
      <c r="K983" s="56" t="n"/>
      <c r="L983" s="56" t="n"/>
      <c r="M983" s="56" t="n"/>
      <c r="N983" s="56" t="n"/>
      <c r="O983" s="57" t="n"/>
    </row>
    <row r="984">
      <c r="C984" s="50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2" t="n"/>
    </row>
    <row r="985">
      <c r="C985" s="58" t="n"/>
      <c r="D985" s="58" t="n"/>
      <c r="E985" s="58" t="n"/>
      <c r="F985" s="58" t="n"/>
      <c r="G985" s="58" t="n"/>
      <c r="H985" s="58" t="n"/>
      <c r="I985" s="58" t="n"/>
      <c r="J985" s="58" t="n"/>
      <c r="K985" s="58" t="n"/>
      <c r="L985" s="58" t="n"/>
      <c r="M985" s="58" t="n"/>
      <c r="N985" s="58" t="n"/>
      <c r="O985" s="59" t="n"/>
    </row>
    <row r="986">
      <c r="C986" s="60" t="n"/>
      <c r="D986" s="36" t="n"/>
      <c r="E986" s="36" t="n"/>
      <c r="F986" s="36" t="n"/>
      <c r="G986" s="36" t="n"/>
      <c r="H986" s="36" t="n"/>
      <c r="I986" s="36" t="n"/>
      <c r="J986" s="36" t="n"/>
      <c r="K986" s="36" t="n"/>
      <c r="L986" s="36" t="n"/>
      <c r="M986" s="36" t="n"/>
      <c r="N986" s="22" t="n"/>
    </row>
    <row r="987"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</row>
    <row r="988" ht="19" customHeight="1">
      <c r="C988" s="46">
        <f>"▸  6.4  "&amp;IF(LANG="EN","Marketing and Commercial Events","Événements marketing &amp; commerciaux")</f>
        <v/>
      </c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  <c r="N988" s="48" t="n"/>
      <c r="O988" s="1" t="n"/>
    </row>
    <row r="989">
      <c r="C989" s="80" t="inlineStr">
        <is>
          <t>Événement / Event</t>
        </is>
      </c>
      <c r="D989" s="81" t="inlineStr">
        <is>
          <t>Date</t>
        </is>
      </c>
      <c r="E989" s="62" t="inlineStr">
        <is>
          <t>Affluence / Attendance</t>
        </is>
      </c>
      <c r="F989" s="62" t="inlineStr">
        <is>
          <t>Coût / Cost</t>
        </is>
      </c>
      <c r="G989" s="62" t="inlineStr">
        <is>
          <t>ROI</t>
        </is>
      </c>
      <c r="H989" s="3" t="n"/>
      <c r="I989" s="3" t="n"/>
      <c r="J989" s="3" t="n"/>
      <c r="K989" s="3" t="n"/>
      <c r="L989" s="3" t="n"/>
      <c r="M989" s="3" t="n"/>
      <c r="N989" s="32" t="n"/>
    </row>
    <row r="990">
      <c r="C990" s="82" t="inlineStr">
        <is>
          <t>Fête des mères / Mothers Day</t>
        </is>
      </c>
      <c r="D990" s="84" t="inlineStr">
        <is>
          <t>2026-05</t>
        </is>
      </c>
      <c r="E990" s="83" t="n">
        <v>4200</v>
      </c>
      <c r="F990" s="83" t="n">
        <v>3500000</v>
      </c>
      <c r="G990" s="86" t="n">
        <v>2.1</v>
      </c>
      <c r="H990" s="3" t="n"/>
      <c r="I990" s="3" t="n"/>
      <c r="J990" s="3" t="n"/>
      <c r="K990" s="3" t="n"/>
      <c r="L990" s="3" t="n"/>
      <c r="M990" s="3" t="n"/>
      <c r="N990" s="32" t="n"/>
    </row>
    <row r="991">
      <c r="C991" s="82" t="inlineStr">
        <is>
          <t>Soldes d'été / Summer sales</t>
        </is>
      </c>
      <c r="D991" s="84" t="inlineStr">
        <is>
          <t>2026-06</t>
        </is>
      </c>
      <c r="E991" s="83" t="n">
        <v>6800</v>
      </c>
      <c r="F991" s="83" t="n">
        <v>5200000</v>
      </c>
      <c r="G991" s="86" t="n">
        <v>2.6</v>
      </c>
      <c r="H991" s="3" t="n"/>
      <c r="I991" s="3" t="n"/>
      <c r="J991" s="3" t="n"/>
      <c r="K991" s="3" t="n"/>
      <c r="L991" s="3" t="n"/>
      <c r="M991" s="3" t="n"/>
      <c r="N991" s="32" t="n"/>
    </row>
    <row r="992">
      <c r="C992" s="82" t="inlineStr">
        <is>
          <t>Kids Festival</t>
        </is>
      </c>
      <c r="D992" s="84" t="inlineStr">
        <is>
          <t>2026-06</t>
        </is>
      </c>
      <c r="E992" s="83" t="n">
        <v>3100</v>
      </c>
      <c r="F992" s="83" t="n">
        <v>2800000</v>
      </c>
      <c r="G992" s="86" t="n">
        <v>1.4</v>
      </c>
      <c r="H992" s="3" t="n"/>
      <c r="I992" s="3" t="n"/>
      <c r="J992" s="3" t="n"/>
      <c r="K992" s="3" t="n"/>
      <c r="L992" s="3" t="n"/>
      <c r="M992" s="3" t="n"/>
      <c r="N992" s="32" t="n"/>
    </row>
    <row r="993">
      <c r="C993" s="82" t="inlineStr">
        <is>
          <t>Concert live</t>
        </is>
      </c>
      <c r="D993" s="84" t="inlineStr">
        <is>
          <t>2026-06</t>
        </is>
      </c>
      <c r="E993" s="83" t="n">
        <v>2400</v>
      </c>
      <c r="F993" s="83" t="n">
        <v>4100000</v>
      </c>
      <c r="G993" s="86" t="n">
        <v>0.9</v>
      </c>
      <c r="H993" s="3" t="n"/>
      <c r="I993" s="3" t="n"/>
      <c r="J993" s="3" t="n"/>
      <c r="K993" s="3" t="n"/>
      <c r="L993" s="3" t="n"/>
      <c r="M993" s="3" t="n"/>
      <c r="N993" s="32" t="n"/>
    </row>
    <row r="994">
      <c r="C994" s="50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2" t="n"/>
    </row>
    <row r="995">
      <c r="C995" s="50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2" t="n"/>
    </row>
    <row r="996">
      <c r="C996" s="50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2" t="n"/>
    </row>
    <row r="997">
      <c r="C997" s="50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2" t="n"/>
    </row>
    <row r="998">
      <c r="C998" s="50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2" t="n"/>
    </row>
    <row r="999">
      <c r="C999" s="50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2" t="n"/>
    </row>
    <row r="1000">
      <c r="C1000" s="50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2" t="n"/>
    </row>
    <row r="1001">
      <c r="C1001" s="50" t="n"/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2" t="n"/>
    </row>
    <row r="1002">
      <c r="C1002" s="53">
        <f>"💬 "&amp;IFERROR(IF(LANG="EN",INDEX(I18N_EN,MATCH("col.comment",I18N_KEY,0)),INDEX(I18N_FR,MATCH("col.comment",I18N_KEY,0))),"col.comment")</f>
        <v/>
      </c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4" t="n"/>
      <c r="O1002" s="5" t="n"/>
    </row>
    <row r="1003">
      <c r="C1003" s="55">
        <f>IF(LANG="EN","Commentary / data source: management systems (demo).","Commentaire / source : systèmes de gestion (démo).")</f>
        <v/>
      </c>
      <c r="D1003" s="56" t="n"/>
      <c r="E1003" s="56" t="n"/>
      <c r="F1003" s="56" t="n"/>
      <c r="G1003" s="56" t="n"/>
      <c r="H1003" s="56" t="n"/>
      <c r="I1003" s="56" t="n"/>
      <c r="J1003" s="56" t="n"/>
      <c r="K1003" s="56" t="n"/>
      <c r="L1003" s="56" t="n"/>
      <c r="M1003" s="56" t="n"/>
      <c r="N1003" s="56" t="n"/>
      <c r="O1003" s="57" t="n"/>
    </row>
    <row r="1004">
      <c r="C1004" s="50" t="n"/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2" t="n"/>
    </row>
    <row r="1005">
      <c r="C1005" s="58" t="n"/>
      <c r="D1005" s="58" t="n"/>
      <c r="E1005" s="58" t="n"/>
      <c r="F1005" s="58" t="n"/>
      <c r="G1005" s="58" t="n"/>
      <c r="H1005" s="58" t="n"/>
      <c r="I1005" s="58" t="n"/>
      <c r="J1005" s="58" t="n"/>
      <c r="K1005" s="58" t="n"/>
      <c r="L1005" s="58" t="n"/>
      <c r="M1005" s="58" t="n"/>
      <c r="N1005" s="58" t="n"/>
      <c r="O1005" s="59" t="n"/>
    </row>
    <row r="1006">
      <c r="C1006" s="60" t="n"/>
      <c r="D1006" s="36" t="n"/>
      <c r="E1006" s="36" t="n"/>
      <c r="F1006" s="36" t="n"/>
      <c r="G1006" s="36" t="n"/>
      <c r="H1006" s="36" t="n"/>
      <c r="I1006" s="36" t="n"/>
      <c r="J1006" s="36" t="n"/>
      <c r="K1006" s="36" t="n"/>
      <c r="L1006" s="36" t="n"/>
      <c r="M1006" s="36" t="n"/>
      <c r="N1006" s="22" t="n"/>
    </row>
    <row r="1007">
      <c r="C1007" s="3" t="n"/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</row>
    <row r="1008" ht="19" customHeight="1">
      <c r="C1008" s="46">
        <f>"▸  6.5  "&amp;IF(LANG="EN","Marketing Budget","Budget marketing")</f>
        <v/>
      </c>
      <c r="D1008" s="47" t="n"/>
      <c r="E1008" s="47" t="n"/>
      <c r="F1008" s="47" t="n"/>
      <c r="G1008" s="47" t="n"/>
      <c r="H1008" s="47" t="n"/>
      <c r="I1008" s="47" t="n"/>
      <c r="J1008" s="47" t="n"/>
      <c r="K1008" s="47" t="n"/>
      <c r="L1008" s="47" t="n"/>
      <c r="M1008" s="47" t="n"/>
      <c r="N1008" s="48" t="n"/>
      <c r="O1008" s="1" t="n"/>
    </row>
    <row r="1009">
      <c r="C1009" s="61">
        <f>IFERROR(IF(LANG="EN",INDEX(I18N_EN,MATCH("col.kpi",I18N_KEY,0)),INDEX(I18N_FR,MATCH("col.kpi",I18N_KEY,0))),"col.kpi")</f>
        <v/>
      </c>
      <c r="D1009" s="62">
        <f>IFERROR(IF(LANG="EN",INDEX(I18N_EN,MATCH("col.unit",I18N_KEY,0)),INDEX(I18N_FR,MATCH("col.unit",I18N_KEY,0))),"col.unit")</f>
        <v/>
      </c>
      <c r="E1009" s="62">
        <f>IFERROR(IF(LANG="EN",INDEX(I18N_EN,MATCH("col.current",I18N_KEY,0)),INDEX(I18N_FR,MATCH("col.current",I18N_KEY,0))),"col.current")</f>
        <v/>
      </c>
      <c r="F1009" s="62">
        <f>IFERROR(IF(LANG="EN",INDEX(I18N_EN,MATCH("col.prev",I18N_KEY,0)),INDEX(I18N_FR,MATCH("col.prev",I18N_KEY,0))),"col.prev")</f>
        <v/>
      </c>
      <c r="G1009" s="62">
        <f>IFERROR(IF(LANG="EN",INDEX(I18N_EN,MATCH("col.delta_prev",I18N_KEY,0)),INDEX(I18N_FR,MATCH("col.delta_prev",I18N_KEY,0))),"col.delta_prev")</f>
        <v/>
      </c>
      <c r="H1009" s="62">
        <f>IFERROR(IF(LANG="EN",INDEX(I18N_EN,MATCH("col.py",I18N_KEY,0)),INDEX(I18N_FR,MATCH("col.py",I18N_KEY,0))),"col.py")</f>
        <v/>
      </c>
      <c r="I1009" s="62">
        <f>IFERROR(IF(LANG="EN",INDEX(I18N_EN,MATCH("col.delta_py",I18N_KEY,0)),INDEX(I18N_FR,MATCH("col.delta_py",I18N_KEY,0))),"col.delta_py")</f>
        <v/>
      </c>
      <c r="J1009" s="62">
        <f>IFERROR(IF(LANG="EN",INDEX(I18N_EN,MATCH("col.budget",I18N_KEY,0)),INDEX(I18N_FR,MATCH("col.budget",I18N_KEY,0))),"col.budget")</f>
        <v/>
      </c>
      <c r="K1009" s="62">
        <f>IFERROR(IF(LANG="EN",INDEX(I18N_EN,MATCH("col.var",I18N_KEY,0)),INDEX(I18N_FR,MATCH("col.var",I18N_KEY,0))),"col.var")</f>
        <v/>
      </c>
      <c r="L1009" s="62">
        <f>IFERROR(IF(LANG="EN",INDEX(I18N_EN,MATCH("col.rag",I18N_KEY,0)),INDEX(I18N_FR,MATCH("col.rag",I18N_KEY,0))),"col.rag")</f>
        <v/>
      </c>
      <c r="M1009" s="3" t="n"/>
      <c r="N1009" s="32" t="n"/>
    </row>
    <row r="1010">
      <c r="C1010" s="63">
        <f>IFERROR(IF(LANG="EN",INDEX(I18N_EN,MATCH("kpi.mkt.spend",I18N_KEY,0)),INDEX(I18N_FR,MATCH("kpi.mkt.spend",I18N_KEY,0))),"kpi.mkt.spend")</f>
        <v/>
      </c>
      <c r="D1010" s="64" t="inlineStr">
        <is>
          <t>FCFA</t>
        </is>
      </c>
      <c r="E1010" s="70">
        <f>IFERROR((SUMIFS('M3 · Base mensuelle'!$D$60:$AM$60,HDR,"&gt;="&amp;P_START,HDR,"&lt;="&amp;P_END))/1000000,"")</f>
        <v/>
      </c>
      <c r="F1010" s="70">
        <f>IFERROR((SUMIFS('M3 · Base mensuelle'!$D$60:$AM$60,HDR,"&gt;="&amp;PP_START,HDR,"&lt;="&amp;PP_END))/1000000,"")</f>
        <v/>
      </c>
      <c r="G1010" s="66">
        <f>IFERROR((E1010)/(F1010)-1,"")</f>
        <v/>
      </c>
      <c r="H1010" s="70">
        <f>IFERROR((SUMIFS('M3 · Base mensuelle'!$D$60:$AM$60,HDR,"&gt;="&amp;PY_START,HDR,"&lt;="&amp;PY_END))/1000000,"")</f>
        <v/>
      </c>
      <c r="I1010" s="66">
        <f>IFERROR((E1010)/(H1010)-1,"")</f>
        <v/>
      </c>
      <c r="J1010" s="70">
        <f>IFERROR((SUMPRODUCT((BUD_MONTHS&gt;=MONTH(P_START))*(BUD_MONTHS&lt;=MONTH(P_END))*'M1 · Paramètres'!$H$61:$S$61))/1000000,"")</f>
        <v/>
      </c>
      <c r="K1010" s="66">
        <f>IFERROR((E1010)/(J1010)-1,"")</f>
        <v/>
      </c>
      <c r="L1010" s="68">
        <f>IF(O1010="","",IF(O1010="green",IFERROR(IF(LANG="EN",INDEX(I18N_EN,MATCH("rag.green",I18N_KEY,0)),INDEX(I18N_FR,MATCH("rag.green",I18N_KEY,0))),"rag.green"),IF(O1010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10" s="3" t="n"/>
      <c r="N1010" s="32" t="n"/>
      <c r="O1010" s="69">
        <f>IFERROR(IF(IF(N(J1010)&gt;0,J1010,H1010)=0,"",IF(INDEX(RAG_SENS,MATCH("kpi.mkt.spend",RAG_KEY,0))="UP",IF((E1010/IF(N(J1010)&gt;0,J1010,H1010))&gt;=INDEX(RAG_SV,MATCH("kpi.mkt.spend",RAG_KEY,0)),"green",IF((E1010/IF(N(J1010)&gt;0,J1010,H1010))&gt;=INDEX(RAG_SA,MATCH("kpi.mkt.spend",RAG_KEY,0)),"amber","red")),IF((E1010/IF(N(J1010)&gt;0,J1010,H1010))&lt;=INDEX(RAG_SV,MATCH("kpi.mkt.spend",RAG_KEY,0)),"green",IF((E1010/IF(N(J1010)&gt;0,J1010,H1010))&lt;=INDEX(RAG_SA,MATCH("kpi.mkt.spend",RAG_KEY,0)),"amber","red")))),"")</f>
        <v/>
      </c>
    </row>
    <row r="1011">
      <c r="C1011" s="63">
        <f>IFERROR(IF(LANG="EN",INDEX(I18N_EN,MATCH("kpi.mkt.spend_pct",I18N_KEY,0)),INDEX(I18N_FR,MATCH("kpi.mkt.spend_pct",I18N_KEY,0))),"kpi.mkt.spend_pct")</f>
        <v/>
      </c>
      <c r="D1011" s="64" t="inlineStr">
        <is>
          <t>%</t>
        </is>
      </c>
      <c r="E1011" s="71">
        <f>IFERROR((AVERAGEIFS('M3 · Base mensuelle'!$D$61:$AM$61,HDR,"&gt;="&amp;P_START,HDR,"&lt;="&amp;P_END)),"")</f>
        <v/>
      </c>
      <c r="F1011" s="71">
        <f>IFERROR((AVERAGEIFS('M3 · Base mensuelle'!$D$61:$AM$61,HDR,"&gt;="&amp;PP_START,HDR,"&lt;="&amp;PP_END)),"")</f>
        <v/>
      </c>
      <c r="G1011" s="66">
        <f>IFERROR((E1011)/(F1011)-1,"")</f>
        <v/>
      </c>
      <c r="H1011" s="71">
        <f>IFERROR((AVERAGEIFS('M3 · Base mensuelle'!$D$61:$AM$61,HDR,"&gt;="&amp;PY_START,HDR,"&lt;="&amp;PY_END)),"")</f>
        <v/>
      </c>
      <c r="I1011" s="66">
        <f>IFERROR((E1011)/(H1011)-1,"")</f>
        <v/>
      </c>
      <c r="J1011" s="67" t="n"/>
      <c r="K1011" s="66">
        <f>IFERROR((E1011)/(J1011)-1,"")</f>
        <v/>
      </c>
      <c r="L1011" s="68">
        <f>IF(O1011="","",IF(O1011="green",IFERROR(IF(LANG="EN",INDEX(I18N_EN,MATCH("rag.green",I18N_KEY,0)),INDEX(I18N_FR,MATCH("rag.green",I18N_KEY,0))),"rag.green"),IF(O1011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11" s="3" t="n"/>
      <c r="N1011" s="32" t="n"/>
      <c r="O1011" s="69">
        <f>IFERROR(IF(IF(N(J1011)&gt;0,J1011,H1011)=0,"",IF(INDEX(RAG_SENS,MATCH("kpi.mkt.spend_pct",RAG_KEY,0))="UP",IF((E1011/IF(N(J1011)&gt;0,J1011,H1011))&gt;=INDEX(RAG_SV,MATCH("kpi.mkt.spend_pct",RAG_KEY,0)),"green",IF((E1011/IF(N(J1011)&gt;0,J1011,H1011))&gt;=INDEX(RAG_SA,MATCH("kpi.mkt.spend_pct",RAG_KEY,0)),"amber","red")),IF((E1011/IF(N(J1011)&gt;0,J1011,H1011))&lt;=INDEX(RAG_SV,MATCH("kpi.mkt.spend_pct",RAG_KEY,0)),"green",IF((E1011/IF(N(J1011)&gt;0,J1011,H1011))&lt;=INDEX(RAG_SA,MATCH("kpi.mkt.spend_pct",RAG_KEY,0)),"amber","red")))),"")</f>
        <v/>
      </c>
    </row>
    <row r="1012">
      <c r="C1012" s="63">
        <f>IFERROR(IF(LANG="EN",INDEX(I18N_EN,MATCH("kpi.mkt.event_roi",I18N_KEY,0)),INDEX(I18N_FR,MATCH("kpi.mkt.event_roi",I18N_KEY,0))),"kpi.mkt.event_roi")</f>
        <v/>
      </c>
      <c r="D1012" s="64" t="inlineStr">
        <is>
          <t>%</t>
        </is>
      </c>
      <c r="E1012" s="71">
        <f>IFERROR((AVERAGEIFS('M3 · Base mensuelle'!$D$53:$AM$53,HDR,"&gt;="&amp;P_START,HDR,"&lt;="&amp;P_END)),"")</f>
        <v/>
      </c>
      <c r="F1012" s="71">
        <f>IFERROR((AVERAGEIFS('M3 · Base mensuelle'!$D$53:$AM$53,HDR,"&gt;="&amp;PP_START,HDR,"&lt;="&amp;PP_END)),"")</f>
        <v/>
      </c>
      <c r="G1012" s="66">
        <f>IFERROR((E1012)/(F1012)-1,"")</f>
        <v/>
      </c>
      <c r="H1012" s="71">
        <f>IFERROR((AVERAGEIFS('M3 · Base mensuelle'!$D$53:$AM$53,HDR,"&gt;="&amp;PY_START,HDR,"&lt;="&amp;PY_END)),"")</f>
        <v/>
      </c>
      <c r="I1012" s="66">
        <f>IFERROR((E1012)/(H1012)-1,"")</f>
        <v/>
      </c>
      <c r="J1012" s="67" t="n"/>
      <c r="K1012" s="66">
        <f>IFERROR((E1012)/(J1012)-1,"")</f>
        <v/>
      </c>
      <c r="L1012" s="68">
        <f>IF(O1012="","",IF(O1012="green",IFERROR(IF(LANG="EN",INDEX(I18N_EN,MATCH("rag.green",I18N_KEY,0)),INDEX(I18N_FR,MATCH("rag.green",I18N_KEY,0))),"rag.green"),IF(O1012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12" s="3" t="n"/>
      <c r="N1012" s="32" t="n"/>
      <c r="O1012" s="69">
        <f>IFERROR(IF(IF(N(J1012)&gt;0,J1012,H1012)=0,"",IF(INDEX(RAG_SENS,MATCH("kpi.mkt.event_roi",RAG_KEY,0))="UP",IF((E1012/IF(N(J1012)&gt;0,J1012,H1012))&gt;=INDEX(RAG_SV,MATCH("kpi.mkt.event_roi",RAG_KEY,0)),"green",IF((E1012/IF(N(J1012)&gt;0,J1012,H1012))&gt;=INDEX(RAG_SA,MATCH("kpi.mkt.event_roi",RAG_KEY,0)),"amber","red")),IF((E1012/IF(N(J1012)&gt;0,J1012,H1012))&lt;=INDEX(RAG_SV,MATCH("kpi.mkt.event_roi",RAG_KEY,0)),"green",IF((E1012/IF(N(J1012)&gt;0,J1012,H1012))&lt;=INDEX(RAG_SA,MATCH("kpi.mkt.event_roi",RAG_KEY,0)),"amber","red")))),"")</f>
        <v/>
      </c>
    </row>
    <row r="1013">
      <c r="C1013" s="63">
        <f>IFERROR(IF(LANG="EN",INDEX(I18N_EN,MATCH("kpi.mkt.event_sat",I18N_KEY,0)),INDEX(I18N_FR,MATCH("kpi.mkt.event_sat",I18N_KEY,0))),"kpi.mkt.event_sat")</f>
        <v/>
      </c>
      <c r="D1013" s="64" t="inlineStr">
        <is>
          <t>score</t>
        </is>
      </c>
      <c r="E1013" s="65">
        <f>IFERROR((AVERAGEIFS('M3 · Base mensuelle'!$D$54:$AM$54,HDR,"&gt;="&amp;P_START,HDR,"&lt;="&amp;P_END)),"")</f>
        <v/>
      </c>
      <c r="F1013" s="65">
        <f>IFERROR((AVERAGEIFS('M3 · Base mensuelle'!$D$54:$AM$54,HDR,"&gt;="&amp;PP_START,HDR,"&lt;="&amp;PP_END)),"")</f>
        <v/>
      </c>
      <c r="G1013" s="66">
        <f>IFERROR((E1013)/(F1013)-1,"")</f>
        <v/>
      </c>
      <c r="H1013" s="65">
        <f>IFERROR((AVERAGEIFS('M3 · Base mensuelle'!$D$54:$AM$54,HDR,"&gt;="&amp;PY_START,HDR,"&lt;="&amp;PY_END)),"")</f>
        <v/>
      </c>
      <c r="I1013" s="66">
        <f>IFERROR((E1013)/(H1013)-1,"")</f>
        <v/>
      </c>
      <c r="J1013" s="67" t="n"/>
      <c r="K1013" s="66">
        <f>IFERROR((E1013)/(J1013)-1,"")</f>
        <v/>
      </c>
      <c r="L1013" s="68">
        <f>IF(O1013="","",IF(O1013="green",IFERROR(IF(LANG="EN",INDEX(I18N_EN,MATCH("rag.green",I18N_KEY,0)),INDEX(I18N_FR,MATCH("rag.green",I18N_KEY,0))),"rag.green"),IF(O1013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13" s="3" t="n"/>
      <c r="N1013" s="32" t="n"/>
      <c r="O1013" s="69">
        <f>IFERROR(IF(IF(N(J1013)&gt;0,J1013,H1013)=0,"",IF(INDEX(RAG_SENS,MATCH("kpi.mkt.event_sat",RAG_KEY,0))="UP",IF((E1013/IF(N(J1013)&gt;0,J1013,H1013))&gt;=INDEX(RAG_SV,MATCH("kpi.mkt.event_sat",RAG_KEY,0)),"green",IF((E1013/IF(N(J1013)&gt;0,J1013,H1013))&gt;=INDEX(RAG_SA,MATCH("kpi.mkt.event_sat",RAG_KEY,0)),"amber","red")),IF((E1013/IF(N(J1013)&gt;0,J1013,H1013))&lt;=INDEX(RAG_SV,MATCH("kpi.mkt.event_sat",RAG_KEY,0)),"green",IF((E1013/IF(N(J1013)&gt;0,J1013,H1013))&lt;=INDEX(RAG_SA,MATCH("kpi.mkt.event_sat",RAG_KEY,0)),"amber","red")))),"")</f>
        <v/>
      </c>
    </row>
    <row r="1014">
      <c r="C1014" s="72">
        <f>"◆ "&amp;IFERROR(IF(LANG="EN",INDEX(I18N_EN,MATCH("msg.highlights",I18N_KEY,0)),INDEX(I18N_FR,MATCH("msg.highlights",I18N_KEY,0))),"msg.highlights")</f>
        <v/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2" t="n"/>
    </row>
    <row r="1015">
      <c r="C1015" s="73">
        <f>IFERROR("▲ "&amp;INDEX(C1010:C1013,MATCH(MAX(G1010:G1013),G1010:G1013,0))&amp;"   "&amp;TEXT(MAX(G1010:G1013),"+0.0%;-0.0%"),"")</f>
        <v/>
      </c>
      <c r="D1015" s="3" t="n"/>
      <c r="E1015" s="3" t="n"/>
      <c r="F1015" s="3" t="n"/>
      <c r="G1015" s="3" t="n"/>
      <c r="H1015" s="3" t="n"/>
      <c r="I1015" s="74">
        <f>IFERROR("▼ "&amp;INDEX(C1010:C1013,MATCH(MIN(G1010:G1013),G1010:G1013,0))&amp;"   "&amp;TEXT(MIN(G1010:G1013),"+0.0%;-0.0%"),"")</f>
        <v/>
      </c>
      <c r="J1015" s="3" t="n"/>
      <c r="K1015" s="3" t="n"/>
      <c r="L1015" s="3" t="n"/>
      <c r="M1015" s="3" t="n"/>
      <c r="N1015" s="32" t="n"/>
    </row>
    <row r="1016">
      <c r="C1016" s="53">
        <f>"💬 "&amp;IFERROR(IF(LANG="EN",INDEX(I18N_EN,MATCH("col.comment",I18N_KEY,0)),INDEX(I18N_FR,MATCH("col.comment",I18N_KEY,0))),"col.comment")</f>
        <v/>
      </c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4" t="n"/>
      <c r="O1016" s="5" t="n"/>
    </row>
    <row r="1017">
      <c r="C1017" s="75">
        <f>IF('C5 · Marketing'!$D$36&lt;&gt;"",'C5 · Marketing'!$D$36,IFERROR(SUBSTITUTE(SUBSTITUTE(IF(G1010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mkt.spend",I18N_KEY,0)),INDEX(I18N_FR,MATCH("kpi.mkt.spend",I18N_KEY,0))),"kpi.mkt.spend")),"{delta}",TEXT(ABS(G1010),"0.0%")),""))</f>
        <v/>
      </c>
      <c r="D1017" s="56" t="n"/>
      <c r="E1017" s="56" t="n"/>
      <c r="F1017" s="56" t="n"/>
      <c r="G1017" s="56" t="n"/>
      <c r="H1017" s="56" t="n"/>
      <c r="I1017" s="56" t="n"/>
      <c r="J1017" s="56" t="n"/>
      <c r="K1017" s="56" t="n"/>
      <c r="L1017" s="56" t="n"/>
      <c r="M1017" s="56" t="n"/>
      <c r="N1017" s="56" t="n"/>
      <c r="O1017" s="57" t="n"/>
    </row>
    <row r="1018">
      <c r="C1018" s="50" t="n"/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2" t="n"/>
    </row>
    <row r="1019">
      <c r="C1019" s="58" t="n"/>
      <c r="D1019" s="58" t="n"/>
      <c r="E1019" s="58" t="n"/>
      <c r="F1019" s="58" t="n"/>
      <c r="G1019" s="58" t="n"/>
      <c r="H1019" s="58" t="n"/>
      <c r="I1019" s="58" t="n"/>
      <c r="J1019" s="58" t="n"/>
      <c r="K1019" s="58" t="n"/>
      <c r="L1019" s="58" t="n"/>
      <c r="M1019" s="58" t="n"/>
      <c r="N1019" s="58" t="n"/>
      <c r="O1019" s="59" t="n"/>
    </row>
    <row r="1020">
      <c r="C1020" s="60" t="n"/>
      <c r="D1020" s="36" t="n"/>
      <c r="E1020" s="36" t="n"/>
      <c r="F1020" s="36" t="n"/>
      <c r="G1020" s="36" t="n"/>
      <c r="H1020" s="36" t="n"/>
      <c r="I1020" s="36" t="n"/>
      <c r="J1020" s="36" t="n"/>
      <c r="K1020" s="36" t="n"/>
      <c r="L1020" s="36" t="n"/>
      <c r="M1020" s="36" t="n"/>
      <c r="N1020" s="22" t="n"/>
    </row>
    <row r="1021">
      <c r="C1021" s="3" t="n"/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</row>
    <row r="1022" ht="19" customHeight="1">
      <c r="C1022" s="46">
        <f>"▸  6.6  "&amp;IF(LANG="EN","Marketing Vendor Assessment","Évaluation prestataires marketing")</f>
        <v/>
      </c>
      <c r="D1022" s="47" t="n"/>
      <c r="E1022" s="47" t="n"/>
      <c r="F1022" s="47" t="n"/>
      <c r="G1022" s="47" t="n"/>
      <c r="H1022" s="47" t="n"/>
      <c r="I1022" s="47" t="n"/>
      <c r="J1022" s="47" t="n"/>
      <c r="K1022" s="47" t="n"/>
      <c r="L1022" s="47" t="n"/>
      <c r="M1022" s="47" t="n"/>
      <c r="N1022" s="48" t="n"/>
      <c r="O1022" s="1" t="n"/>
    </row>
    <row r="1023">
      <c r="C1023" s="80" t="inlineStr">
        <is>
          <t>Prestataire / Vendor</t>
        </is>
      </c>
      <c r="D1023" s="81" t="inlineStr">
        <is>
          <t>Service</t>
        </is>
      </c>
      <c r="E1023" s="62" t="inlineStr">
        <is>
          <t>Score /10</t>
        </is>
      </c>
      <c r="F1023" s="81" t="inlineStr">
        <is>
          <t>Statut / Status</t>
        </is>
      </c>
      <c r="G1023" s="3" t="n"/>
      <c r="H1023" s="3" t="n"/>
      <c r="I1023" s="3" t="n"/>
      <c r="J1023" s="3" t="n"/>
      <c r="K1023" s="3" t="n"/>
      <c r="L1023" s="3" t="n"/>
      <c r="M1023" s="3" t="n"/>
      <c r="N1023" s="32" t="n"/>
    </row>
    <row r="1024">
      <c r="C1024" s="82" t="inlineStr">
        <is>
          <t>Agence Pulse</t>
        </is>
      </c>
      <c r="D1024" s="84" t="inlineStr">
        <is>
          <t>Community management</t>
        </is>
      </c>
      <c r="E1024" s="83" t="n">
        <v>8</v>
      </c>
      <c r="F1024" s="84" t="inlineStr">
        <is>
          <t>Conforme / OK</t>
        </is>
      </c>
      <c r="G1024" s="3" t="n"/>
      <c r="H1024" s="3" t="n"/>
      <c r="I1024" s="3" t="n"/>
      <c r="J1024" s="3" t="n"/>
      <c r="K1024" s="3" t="n"/>
      <c r="L1024" s="3" t="n"/>
      <c r="M1024" s="3" t="n"/>
      <c r="N1024" s="32" t="n"/>
    </row>
    <row r="1025">
      <c r="C1025" s="82" t="inlineStr">
        <is>
          <t>PrintCI</t>
        </is>
      </c>
      <c r="D1025" s="84" t="inlineStr">
        <is>
          <t>Impression / Print</t>
        </is>
      </c>
      <c r="E1025" s="83" t="n">
        <v>7</v>
      </c>
      <c r="F1025" s="84" t="inlineStr">
        <is>
          <t>Conforme / OK</t>
        </is>
      </c>
      <c r="G1025" s="3" t="n"/>
      <c r="H1025" s="3" t="n"/>
      <c r="I1025" s="3" t="n"/>
      <c r="J1025" s="3" t="n"/>
      <c r="K1025" s="3" t="n"/>
      <c r="L1025" s="3" t="n"/>
      <c r="M1025" s="3" t="n"/>
      <c r="N1025" s="32" t="n"/>
    </row>
    <row r="1026">
      <c r="C1026" s="82" t="inlineStr">
        <is>
          <t>EventPro</t>
        </is>
      </c>
      <c r="D1026" s="84" t="inlineStr">
        <is>
          <t>Événementiel / Events</t>
        </is>
      </c>
      <c r="E1026" s="83" t="n">
        <v>6</v>
      </c>
      <c r="F1026" s="84" t="inlineStr">
        <is>
          <t>Vigilance / Watch</t>
        </is>
      </c>
      <c r="G1026" s="3" t="n"/>
      <c r="H1026" s="3" t="n"/>
      <c r="I1026" s="3" t="n"/>
      <c r="J1026" s="3" t="n"/>
      <c r="K1026" s="3" t="n"/>
      <c r="L1026" s="3" t="n"/>
      <c r="M1026" s="3" t="n"/>
      <c r="N1026" s="32" t="n"/>
    </row>
    <row r="1027">
      <c r="C1027" s="82" t="inlineStr">
        <is>
          <t>DataReach</t>
        </is>
      </c>
      <c r="D1027" s="84" t="inlineStr">
        <is>
          <t>Média digital / Digital</t>
        </is>
      </c>
      <c r="E1027" s="83" t="n">
        <v>9</v>
      </c>
      <c r="F1027" s="84" t="inlineStr">
        <is>
          <t>Conforme / OK</t>
        </is>
      </c>
      <c r="G1027" s="3" t="n"/>
      <c r="H1027" s="3" t="n"/>
      <c r="I1027" s="3" t="n"/>
      <c r="J1027" s="3" t="n"/>
      <c r="K1027" s="3" t="n"/>
      <c r="L1027" s="3" t="n"/>
      <c r="M1027" s="3" t="n"/>
      <c r="N1027" s="32" t="n"/>
    </row>
    <row r="1028">
      <c r="C1028" s="50" t="n"/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2" t="n"/>
    </row>
    <row r="1029">
      <c r="C1029" s="50" t="n"/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2" t="n"/>
    </row>
    <row r="1030">
      <c r="C1030" s="50" t="n"/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2" t="n"/>
    </row>
    <row r="1031">
      <c r="C1031" s="50" t="n"/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2" t="n"/>
    </row>
    <row r="1032">
      <c r="C1032" s="50" t="n"/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2" t="n"/>
    </row>
    <row r="1033">
      <c r="C1033" s="50" t="n"/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2" t="n"/>
    </row>
    <row r="1034">
      <c r="C1034" s="50" t="n"/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2" t="n"/>
    </row>
    <row r="1035">
      <c r="C1035" s="50" t="n"/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2" t="n"/>
    </row>
    <row r="1036">
      <c r="C1036" s="53">
        <f>"💬 "&amp;IFERROR(IF(LANG="EN",INDEX(I18N_EN,MATCH("col.comment",I18N_KEY,0)),INDEX(I18N_FR,MATCH("col.comment",I18N_KEY,0))),"col.comment")</f>
        <v/>
      </c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4" t="n"/>
      <c r="O1036" s="5" t="n"/>
    </row>
    <row r="1037">
      <c r="C1037" s="55">
        <f>IF(LANG="EN","Commentary / data source: management systems (demo).","Commentaire / source : systèmes de gestion (démo).")</f>
        <v/>
      </c>
      <c r="D1037" s="56" t="n"/>
      <c r="E1037" s="56" t="n"/>
      <c r="F1037" s="56" t="n"/>
      <c r="G1037" s="56" t="n"/>
      <c r="H1037" s="56" t="n"/>
      <c r="I1037" s="56" t="n"/>
      <c r="J1037" s="56" t="n"/>
      <c r="K1037" s="56" t="n"/>
      <c r="L1037" s="56" t="n"/>
      <c r="M1037" s="56" t="n"/>
      <c r="N1037" s="56" t="n"/>
      <c r="O1037" s="57" t="n"/>
    </row>
    <row r="1038">
      <c r="C1038" s="50" t="n"/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2" t="n"/>
    </row>
    <row r="1039">
      <c r="C1039" s="58" t="n"/>
      <c r="D1039" s="58" t="n"/>
      <c r="E1039" s="58" t="n"/>
      <c r="F1039" s="58" t="n"/>
      <c r="G1039" s="58" t="n"/>
      <c r="H1039" s="58" t="n"/>
      <c r="I1039" s="58" t="n"/>
      <c r="J1039" s="58" t="n"/>
      <c r="K1039" s="58" t="n"/>
      <c r="L1039" s="58" t="n"/>
      <c r="M1039" s="58" t="n"/>
      <c r="N1039" s="58" t="n"/>
      <c r="O1039" s="59" t="n"/>
    </row>
    <row r="1040">
      <c r="C1040" s="60" t="n"/>
      <c r="D1040" s="36" t="n"/>
      <c r="E1040" s="36" t="n"/>
      <c r="F1040" s="36" t="n"/>
      <c r="G1040" s="36" t="n"/>
      <c r="H1040" s="36" t="n"/>
      <c r="I1040" s="36" t="n"/>
      <c r="J1040" s="36" t="n"/>
      <c r="K1040" s="36" t="n"/>
      <c r="L1040" s="36" t="n"/>
      <c r="M1040" s="36" t="n"/>
      <c r="N1040" s="22" t="n"/>
    </row>
    <row r="1041">
      <c r="C1041" s="3" t="n"/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</row>
    <row r="1042" ht="19" customHeight="1">
      <c r="C1042" s="46">
        <f>"▸  6.7  "&amp;IF(LANG="EN","CRM / Loyalty Analysis","Analyse CRM / fidélité")</f>
        <v/>
      </c>
      <c r="D1042" s="47" t="n"/>
      <c r="E1042" s="47" t="n"/>
      <c r="F1042" s="47" t="n"/>
      <c r="G1042" s="47" t="n"/>
      <c r="H1042" s="47" t="n"/>
      <c r="I1042" s="47" t="n"/>
      <c r="J1042" s="47" t="n"/>
      <c r="K1042" s="47" t="n"/>
      <c r="L1042" s="47" t="n"/>
      <c r="M1042" s="47" t="n"/>
      <c r="N1042" s="48" t="n"/>
      <c r="O1042" s="1" t="n"/>
    </row>
    <row r="1043">
      <c r="C1043" s="61">
        <f>IFERROR(IF(LANG="EN",INDEX(I18N_EN,MATCH("col.kpi",I18N_KEY,0)),INDEX(I18N_FR,MATCH("col.kpi",I18N_KEY,0))),"col.kpi")</f>
        <v/>
      </c>
      <c r="D1043" s="62">
        <f>IFERROR(IF(LANG="EN",INDEX(I18N_EN,MATCH("col.unit",I18N_KEY,0)),INDEX(I18N_FR,MATCH("col.unit",I18N_KEY,0))),"col.unit")</f>
        <v/>
      </c>
      <c r="E1043" s="62">
        <f>IFERROR(IF(LANG="EN",INDEX(I18N_EN,MATCH("col.current",I18N_KEY,0)),INDEX(I18N_FR,MATCH("col.current",I18N_KEY,0))),"col.current")</f>
        <v/>
      </c>
      <c r="F1043" s="62">
        <f>IFERROR(IF(LANG="EN",INDEX(I18N_EN,MATCH("col.prev",I18N_KEY,0)),INDEX(I18N_FR,MATCH("col.prev",I18N_KEY,0))),"col.prev")</f>
        <v/>
      </c>
      <c r="G1043" s="62">
        <f>IFERROR(IF(LANG="EN",INDEX(I18N_EN,MATCH("col.delta_prev",I18N_KEY,0)),INDEX(I18N_FR,MATCH("col.delta_prev",I18N_KEY,0))),"col.delta_prev")</f>
        <v/>
      </c>
      <c r="H1043" s="62">
        <f>IFERROR(IF(LANG="EN",INDEX(I18N_EN,MATCH("col.py",I18N_KEY,0)),INDEX(I18N_FR,MATCH("col.py",I18N_KEY,0))),"col.py")</f>
        <v/>
      </c>
      <c r="I1043" s="62">
        <f>IFERROR(IF(LANG="EN",INDEX(I18N_EN,MATCH("col.delta_py",I18N_KEY,0)),INDEX(I18N_FR,MATCH("col.delta_py",I18N_KEY,0))),"col.delta_py")</f>
        <v/>
      </c>
      <c r="J1043" s="62">
        <f>IFERROR(IF(LANG="EN",INDEX(I18N_EN,MATCH("col.budget",I18N_KEY,0)),INDEX(I18N_FR,MATCH("col.budget",I18N_KEY,0))),"col.budget")</f>
        <v/>
      </c>
      <c r="K1043" s="62">
        <f>IFERROR(IF(LANG="EN",INDEX(I18N_EN,MATCH("col.var",I18N_KEY,0)),INDEX(I18N_FR,MATCH("col.var",I18N_KEY,0))),"col.var")</f>
        <v/>
      </c>
      <c r="L1043" s="62">
        <f>IFERROR(IF(LANG="EN",INDEX(I18N_EN,MATCH("col.rag",I18N_KEY,0)),INDEX(I18N_FR,MATCH("col.rag",I18N_KEY,0))),"col.rag")</f>
        <v/>
      </c>
      <c r="M1043" s="3" t="n"/>
      <c r="N1043" s="32" t="n"/>
    </row>
    <row r="1044">
      <c r="C1044" s="63">
        <f>IFERROR(IF(LANG="EN",INDEX(I18N_EN,MATCH("kpi.mkt.nps",I18N_KEY,0)),INDEX(I18N_FR,MATCH("kpi.mkt.nps",I18N_KEY,0))),"kpi.mkt.nps")</f>
        <v/>
      </c>
      <c r="D1044" s="64" t="inlineStr">
        <is>
          <t>score</t>
        </is>
      </c>
      <c r="E1044" s="65">
        <f>IFERROR((AVERAGEIFS('M3 · Base mensuelle'!$D$64:$AM$64,HDR,"&gt;="&amp;P_START,HDR,"&lt;="&amp;P_END)),"")</f>
        <v/>
      </c>
      <c r="F1044" s="65">
        <f>IFERROR((AVERAGEIFS('M3 · Base mensuelle'!$D$64:$AM$64,HDR,"&gt;="&amp;PP_START,HDR,"&lt;="&amp;PP_END)),"")</f>
        <v/>
      </c>
      <c r="G1044" s="66">
        <f>IFERROR((E1044)/(F1044)-1,"")</f>
        <v/>
      </c>
      <c r="H1044" s="65">
        <f>IFERROR((AVERAGEIFS('M3 · Base mensuelle'!$D$64:$AM$64,HDR,"&gt;="&amp;PY_START,HDR,"&lt;="&amp;PY_END)),"")</f>
        <v/>
      </c>
      <c r="I1044" s="66">
        <f>IFERROR((E1044)/(H1044)-1,"")</f>
        <v/>
      </c>
      <c r="J1044" s="67" t="n"/>
      <c r="K1044" s="66">
        <f>IFERROR((E1044)/(J1044)-1,"")</f>
        <v/>
      </c>
      <c r="L1044" s="68">
        <f>IF(O1044="","",IF(O1044="green",IFERROR(IF(LANG="EN",INDEX(I18N_EN,MATCH("rag.green",I18N_KEY,0)),INDEX(I18N_FR,MATCH("rag.green",I18N_KEY,0))),"rag.green"),IF(O1044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44" s="3" t="n"/>
      <c r="N1044" s="32" t="n"/>
      <c r="O1044" s="69">
        <f>IFERROR(IF(IF(N(J1044)&gt;0,J1044,H1044)=0,"",IF(INDEX(RAG_SENS,MATCH("kpi.mkt.nps",RAG_KEY,0))="UP",IF((E1044/IF(N(J1044)&gt;0,J1044,H1044))&gt;=INDEX(RAG_SV,MATCH("kpi.mkt.nps",RAG_KEY,0)),"green",IF((E1044/IF(N(J1044)&gt;0,J1044,H1044))&gt;=INDEX(RAG_SA,MATCH("kpi.mkt.nps",RAG_KEY,0)),"amber","red")),IF((E1044/IF(N(J1044)&gt;0,J1044,H1044))&lt;=INDEX(RAG_SV,MATCH("kpi.mkt.nps",RAG_KEY,0)),"green",IF((E1044/IF(N(J1044)&gt;0,J1044,H1044))&lt;=INDEX(RAG_SA,MATCH("kpi.mkt.nps",RAG_KEY,0)),"amber","red")))),"")</f>
        <v/>
      </c>
    </row>
    <row r="1045">
      <c r="C1045" s="63">
        <f>IFERROR(IF(LANG="EN",INDEX(I18N_EN,MATCH("kpi.mkt.members",I18N_KEY,0)),INDEX(I18N_FR,MATCH("kpi.mkt.members",I18N_KEY,0))),"kpi.mkt.members")</f>
        <v/>
      </c>
      <c r="D1045" s="64" t="inlineStr">
        <is>
          <t>nb</t>
        </is>
      </c>
      <c r="E1045" s="65">
        <f>IFERROR((INDEX('M3 · Base mensuelle'!$D$65:$AM$65,MATCH(P_END,HDR,0))),"")</f>
        <v/>
      </c>
      <c r="F1045" s="65">
        <f>IFERROR((INDEX('M3 · Base mensuelle'!$D$65:$AM$65,MATCH(PP_END,HDR,0))),"")</f>
        <v/>
      </c>
      <c r="G1045" s="66">
        <f>IFERROR((E1045)/(F1045)-1,"")</f>
        <v/>
      </c>
      <c r="H1045" s="65">
        <f>IFERROR((INDEX('M3 · Base mensuelle'!$D$65:$AM$65,MATCH(PY_END,HDR,0))),"")</f>
        <v/>
      </c>
      <c r="I1045" s="66">
        <f>IFERROR((E1045)/(H1045)-1,"")</f>
        <v/>
      </c>
      <c r="J1045" s="67" t="n"/>
      <c r="K1045" s="66">
        <f>IFERROR((E1045)/(J1045)-1,"")</f>
        <v/>
      </c>
      <c r="L1045" s="68">
        <f>IF(O1045="","",IF(O1045="green",IFERROR(IF(LANG="EN",INDEX(I18N_EN,MATCH("rag.green",I18N_KEY,0)),INDEX(I18N_FR,MATCH("rag.green",I18N_KEY,0))),"rag.green"),IF(O1045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45" s="3" t="n"/>
      <c r="N1045" s="32" t="n"/>
      <c r="O1045" s="69">
        <f>IFERROR(IF(IF(N(J1045)&gt;0,J1045,H1045)=0,"",IF(INDEX(RAG_SENS,MATCH("kpi.mkt.members",RAG_KEY,0))="UP",IF((E1045/IF(N(J1045)&gt;0,J1045,H1045))&gt;=INDEX(RAG_SV,MATCH("kpi.mkt.members",RAG_KEY,0)),"green",IF((E1045/IF(N(J1045)&gt;0,J1045,H1045))&gt;=INDEX(RAG_SA,MATCH("kpi.mkt.members",RAG_KEY,0)),"amber","red")),IF((E1045/IF(N(J1045)&gt;0,J1045,H1045))&lt;=INDEX(RAG_SV,MATCH("kpi.mkt.members",RAG_KEY,0)),"green",IF((E1045/IF(N(J1045)&gt;0,J1045,H1045))&lt;=INDEX(RAG_SA,MATCH("kpi.mkt.members",RAG_KEY,0)),"amber","red")))),"")</f>
        <v/>
      </c>
    </row>
    <row r="1046">
      <c r="C1046" s="63">
        <f>IFERROR(IF(LANG="EN",INDEX(I18N_EN,MATCH("kpi.mkt.member_act",I18N_KEY,0)),INDEX(I18N_FR,MATCH("kpi.mkt.member_act",I18N_KEY,0))),"kpi.mkt.member_act")</f>
        <v/>
      </c>
      <c r="D1046" s="64" t="inlineStr">
        <is>
          <t>%</t>
        </is>
      </c>
      <c r="E1046" s="71">
        <f>IFERROR((AVERAGEIFS('M3 · Base mensuelle'!$D$66:$AM$66,HDR,"&gt;="&amp;P_START,HDR,"&lt;="&amp;P_END)),"")</f>
        <v/>
      </c>
      <c r="F1046" s="71">
        <f>IFERROR((AVERAGEIFS('M3 · Base mensuelle'!$D$66:$AM$66,HDR,"&gt;="&amp;PP_START,HDR,"&lt;="&amp;PP_END)),"")</f>
        <v/>
      </c>
      <c r="G1046" s="66">
        <f>IFERROR((E1046)/(F1046)-1,"")</f>
        <v/>
      </c>
      <c r="H1046" s="71">
        <f>IFERROR((AVERAGEIFS('M3 · Base mensuelle'!$D$66:$AM$66,HDR,"&gt;="&amp;PY_START,HDR,"&lt;="&amp;PY_END)),"")</f>
        <v/>
      </c>
      <c r="I1046" s="66">
        <f>IFERROR((E1046)/(H1046)-1,"")</f>
        <v/>
      </c>
      <c r="J1046" s="67" t="n"/>
      <c r="K1046" s="66">
        <f>IFERROR((E1046)/(J1046)-1,"")</f>
        <v/>
      </c>
      <c r="L1046" s="68">
        <f>IF(O1046="","",IF(O1046="green",IFERROR(IF(LANG="EN",INDEX(I18N_EN,MATCH("rag.green",I18N_KEY,0)),INDEX(I18N_FR,MATCH("rag.green",I18N_KEY,0))),"rag.green"),IF(O1046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46" s="3" t="n"/>
      <c r="N1046" s="32" t="n"/>
      <c r="O1046" s="69">
        <f>IFERROR(IF(IF(N(J1046)&gt;0,J1046,H1046)=0,"",IF(INDEX(RAG_SENS,MATCH("kpi.mkt.member_act",RAG_KEY,0))="UP",IF((E1046/IF(N(J1046)&gt;0,J1046,H1046))&gt;=INDEX(RAG_SV,MATCH("kpi.mkt.member_act",RAG_KEY,0)),"green",IF((E1046/IF(N(J1046)&gt;0,J1046,H1046))&gt;=INDEX(RAG_SA,MATCH("kpi.mkt.member_act",RAG_KEY,0)),"amber","red")),IF((E1046/IF(N(J1046)&gt;0,J1046,H1046))&lt;=INDEX(RAG_SV,MATCH("kpi.mkt.member_act",RAG_KEY,0)),"green",IF((E1046/IF(N(J1046)&gt;0,J1046,H1046))&lt;=INDEX(RAG_SA,MATCH("kpi.mkt.member_act",RAG_KEY,0)),"amber","red")))),"")</f>
        <v/>
      </c>
    </row>
    <row r="1047">
      <c r="C1047" s="63">
        <f>IFERROR(IF(LANG="EN",INDEX(I18N_EN,MATCH("kpi.mkt.basket_member",I18N_KEY,0)),INDEX(I18N_FR,MATCH("kpi.mkt.basket_member",I18N_KEY,0))),"kpi.mkt.basket_member")</f>
        <v/>
      </c>
      <c r="D1047" s="64" t="inlineStr">
        <is>
          <t>FCFA</t>
        </is>
      </c>
      <c r="E1047" s="70">
        <f>IFERROR((AVERAGEIFS('M3 · Base mensuelle'!$D$67:$AM$67,HDR,"&gt;="&amp;P_START,HDR,"&lt;="&amp;P_END))/1000000,"")</f>
        <v/>
      </c>
      <c r="F1047" s="70">
        <f>IFERROR((AVERAGEIFS('M3 · Base mensuelle'!$D$67:$AM$67,HDR,"&gt;="&amp;PP_START,HDR,"&lt;="&amp;PP_END))/1000000,"")</f>
        <v/>
      </c>
      <c r="G1047" s="66">
        <f>IFERROR((E1047)/(F1047)-1,"")</f>
        <v/>
      </c>
      <c r="H1047" s="70">
        <f>IFERROR((AVERAGEIFS('M3 · Base mensuelle'!$D$67:$AM$67,HDR,"&gt;="&amp;PY_START,HDR,"&lt;="&amp;PY_END))/1000000,"")</f>
        <v/>
      </c>
      <c r="I1047" s="66">
        <f>IFERROR((E1047)/(H1047)-1,"")</f>
        <v/>
      </c>
      <c r="J1047" s="67" t="n"/>
      <c r="K1047" s="66">
        <f>IFERROR((E1047)/(J1047)-1,"")</f>
        <v/>
      </c>
      <c r="L1047" s="68">
        <f>IF(O1047="","",IF(O1047="green",IFERROR(IF(LANG="EN",INDEX(I18N_EN,MATCH("rag.green",I18N_KEY,0)),INDEX(I18N_FR,MATCH("rag.green",I18N_KEY,0))),"rag.green"),IF(O1047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047" s="3" t="n"/>
      <c r="N1047" s="32" t="n"/>
      <c r="O1047" s="69">
        <f>IFERROR(IF(IF(N(J1047)&gt;0,J1047,H1047)=0,"",IF(INDEX(RAG_SENS,MATCH("kpi.mkt.basket_member",RAG_KEY,0))="UP",IF((E1047/IF(N(J1047)&gt;0,J1047,H1047))&gt;=INDEX(RAG_SV,MATCH("kpi.mkt.basket_member",RAG_KEY,0)),"green",IF((E1047/IF(N(J1047)&gt;0,J1047,H1047))&gt;=INDEX(RAG_SA,MATCH("kpi.mkt.basket_member",RAG_KEY,0)),"amber","red")),IF((E1047/IF(N(J1047)&gt;0,J1047,H1047))&lt;=INDEX(RAG_SV,MATCH("kpi.mkt.basket_member",RAG_KEY,0)),"green",IF((E1047/IF(N(J1047)&gt;0,J1047,H1047))&lt;=INDEX(RAG_SA,MATCH("kpi.mkt.basket_member",RAG_KEY,0)),"amber","red")))),"")</f>
        <v/>
      </c>
    </row>
    <row r="1048">
      <c r="C1048" s="72">
        <f>"◆ "&amp;IFERROR(IF(LANG="EN",INDEX(I18N_EN,MATCH("msg.highlights",I18N_KEY,0)),INDEX(I18N_FR,MATCH("msg.highlights",I18N_KEY,0))),"msg.highlights")</f>
        <v/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2" t="n"/>
    </row>
    <row r="1049">
      <c r="C1049" s="73">
        <f>IFERROR("▲ "&amp;INDEX(C1044:C1047,MATCH(MAX(G1044:G1047),G1044:G1047,0))&amp;"   "&amp;TEXT(MAX(G1044:G1047),"+0.0%;-0.0%"),"")</f>
        <v/>
      </c>
      <c r="D1049" s="3" t="n"/>
      <c r="E1049" s="3" t="n"/>
      <c r="F1049" s="3" t="n"/>
      <c r="G1049" s="3" t="n"/>
      <c r="H1049" s="3" t="n"/>
      <c r="I1049" s="74">
        <f>IFERROR("▼ "&amp;INDEX(C1044:C1047,MATCH(MIN(G1044:G1047),G1044:G1047,0))&amp;"   "&amp;TEXT(MIN(G1044:G1047),"+0.0%;-0.0%"),"")</f>
        <v/>
      </c>
      <c r="J1049" s="3" t="n"/>
      <c r="K1049" s="3" t="n"/>
      <c r="L1049" s="3" t="n"/>
      <c r="M1049" s="3" t="n"/>
      <c r="N1049" s="32" t="n"/>
    </row>
    <row r="1050">
      <c r="C1050" s="53">
        <f>"💬 "&amp;IFERROR(IF(LANG="EN",INDEX(I18N_EN,MATCH("col.comment",I18N_KEY,0)),INDEX(I18N_FR,MATCH("col.comment",I18N_KEY,0))),"col.comment")</f>
        <v/>
      </c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4" t="n"/>
      <c r="O1050" s="5" t="n"/>
    </row>
    <row r="1051">
      <c r="C1051" s="75">
        <f>IF('C5 · Marketing'!$D$40&lt;&gt;"",'C5 · Marketing'!$D$40,IFERROR(SUBSTITUTE(SUBSTITUTE(IF(G1044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mkt.nps",I18N_KEY,0)),INDEX(I18N_FR,MATCH("kpi.mkt.nps",I18N_KEY,0))),"kpi.mkt.nps")),"{delta}",TEXT(ABS(G1044),"0.0%")),""))</f>
        <v/>
      </c>
      <c r="D1051" s="56" t="n"/>
      <c r="E1051" s="56" t="n"/>
      <c r="F1051" s="56" t="n"/>
      <c r="G1051" s="56" t="n"/>
      <c r="H1051" s="56" t="n"/>
      <c r="I1051" s="56" t="n"/>
      <c r="J1051" s="56" t="n"/>
      <c r="K1051" s="56" t="n"/>
      <c r="L1051" s="56" t="n"/>
      <c r="M1051" s="56" t="n"/>
      <c r="N1051" s="56" t="n"/>
      <c r="O1051" s="57" t="n"/>
    </row>
    <row r="1052">
      <c r="C1052" s="50" t="n"/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2" t="n"/>
    </row>
    <row r="1053">
      <c r="C1053" s="58" t="n"/>
      <c r="D1053" s="58" t="n"/>
      <c r="E1053" s="58" t="n"/>
      <c r="F1053" s="58" t="n"/>
      <c r="G1053" s="58" t="n"/>
      <c r="H1053" s="58" t="n"/>
      <c r="I1053" s="58" t="n"/>
      <c r="J1053" s="58" t="n"/>
      <c r="K1053" s="58" t="n"/>
      <c r="L1053" s="58" t="n"/>
      <c r="M1053" s="58" t="n"/>
      <c r="N1053" s="58" t="n"/>
      <c r="O1053" s="59" t="n"/>
    </row>
    <row r="1054">
      <c r="C1054" s="60" t="n"/>
      <c r="D1054" s="36" t="n"/>
      <c r="E1054" s="36" t="n"/>
      <c r="F1054" s="36" t="n"/>
      <c r="G1054" s="36" t="n"/>
      <c r="H1054" s="36" t="n"/>
      <c r="I1054" s="36" t="n"/>
      <c r="J1054" s="36" t="n"/>
      <c r="K1054" s="36" t="n"/>
      <c r="L1054" s="36" t="n"/>
      <c r="M1054" s="36" t="n"/>
      <c r="N1054" s="22" t="n"/>
    </row>
    <row r="1055">
      <c r="C1055" s="3" t="n"/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</row>
    <row r="1056" ht="19" customHeight="1">
      <c r="C1056" s="46">
        <f>"🎯  6.8  "&amp;IF(LANG="EN","Budget vs Actual","Budget vs Réalisé")</f>
        <v/>
      </c>
      <c r="D1056" s="47" t="n"/>
      <c r="E1056" s="47" t="n"/>
      <c r="F1056" s="47" t="n"/>
      <c r="G1056" s="47" t="n"/>
      <c r="H1056" s="47" t="n"/>
      <c r="I1056" s="47" t="n"/>
      <c r="J1056" s="47" t="n"/>
      <c r="K1056" s="47" t="n"/>
      <c r="L1056" s="47" t="n"/>
      <c r="M1056" s="47" t="n"/>
      <c r="N1056" s="48" t="n"/>
      <c r="O1056" s="1" t="n"/>
    </row>
    <row r="1057">
      <c r="C1057" s="76">
        <f>"▌ "&amp;IF(LANG="EN","Actual vs Budget — 12 months","Réalisé vs Budget — 12 mois")</f>
        <v/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2" t="n"/>
    </row>
    <row r="1058">
      <c r="C1058" s="50" t="n"/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2" t="n"/>
    </row>
    <row r="1059">
      <c r="C1059" s="50" t="n"/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2" t="n"/>
    </row>
    <row r="1060">
      <c r="C1060" s="50" t="n"/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2" t="n"/>
    </row>
    <row r="1061">
      <c r="C1061" s="50" t="n"/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2" t="n"/>
    </row>
    <row r="1062">
      <c r="C1062" s="50" t="n"/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2" t="n"/>
    </row>
    <row r="1063">
      <c r="C1063" s="50" t="n"/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2" t="n"/>
    </row>
    <row r="1064">
      <c r="C1064" s="50" t="n"/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2" t="n"/>
    </row>
    <row r="1065">
      <c r="C1065" s="50" t="n"/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2" t="n"/>
    </row>
    <row r="1066">
      <c r="C1066" s="50" t="n"/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2" t="n"/>
    </row>
    <row r="1067">
      <c r="C1067" s="50" t="n"/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2" t="n"/>
    </row>
    <row r="1068">
      <c r="C1068" s="50" t="n"/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2" t="n"/>
    </row>
    <row r="1069">
      <c r="C1069" s="50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2" t="n"/>
    </row>
    <row r="1070">
      <c r="C1070" s="61">
        <f>IFERROR(IF(LANG="EN",INDEX(I18N_EN,MATCH("col.kpi",I18N_KEY,0)),INDEX(I18N_FR,MATCH("col.kpi",I18N_KEY,0))),"col.kpi")</f>
        <v/>
      </c>
      <c r="D1070" s="62">
        <f>IFERROR(IF(LANG="EN",INDEX(I18N_EN,MATCH("col.unit",I18N_KEY,0)),INDEX(I18N_FR,MATCH("col.unit",I18N_KEY,0))),"col.unit")</f>
        <v/>
      </c>
      <c r="E1070" s="62">
        <f>IFERROR(IF(LANG="EN",INDEX(I18N_EN,MATCH("col.current",I18N_KEY,0)),INDEX(I18N_FR,MATCH("col.current",I18N_KEY,0))),"col.current")</f>
        <v/>
      </c>
      <c r="F1070" s="62">
        <f>IFERROR(IF(LANG="EN",INDEX(I18N_EN,MATCH("col.budget",I18N_KEY,0)),INDEX(I18N_FR,MATCH("col.budget",I18N_KEY,0))),"col.budget")</f>
        <v/>
      </c>
      <c r="G1070" s="62">
        <f>IFERROR(IF(LANG="EN",INDEX(I18N_EN,MATCH("col.var",I18N_KEY,0)),INDEX(I18N_FR,MATCH("col.var",I18N_KEY,0))),"col.var")</f>
        <v/>
      </c>
      <c r="H1070" s="62">
        <f>IFERROR(IF(LANG="EN",INDEX(I18N_EN,MATCH("col.rag",I18N_KEY,0)),INDEX(I18N_FR,MATCH("col.rag",I18N_KEY,0))),"col.rag")</f>
        <v/>
      </c>
      <c r="I1070" s="3" t="n"/>
      <c r="J1070" s="3" t="n"/>
      <c r="K1070" s="3" t="n"/>
      <c r="L1070" s="3" t="n"/>
      <c r="M1070" s="3" t="n"/>
      <c r="N1070" s="32" t="n"/>
    </row>
    <row r="1071">
      <c r="C1071" s="63">
        <f>IFERROR(IF(LANG="EN",INDEX(I18N_EN,MATCH("kpi.mkt.spend",I18N_KEY,0)),INDEX(I18N_FR,MATCH("kpi.mkt.spend",I18N_KEY,0))),"kpi.mkt.spend")</f>
        <v/>
      </c>
      <c r="D1071" s="64" t="inlineStr">
        <is>
          <t>FCFA</t>
        </is>
      </c>
      <c r="E1071" s="70">
        <f>IFERROR((SUMIFS('M3 · Base mensuelle'!$D$60:$AM$60,HDR,"&gt;="&amp;P_START,HDR,"&lt;="&amp;P_END))/1000000,"")</f>
        <v/>
      </c>
      <c r="F1071" s="70">
        <f>IFERROR((SUMPRODUCT((BUD_MONTHS&gt;=MONTH(P_START))*(BUD_MONTHS&lt;=MONTH(P_END))*'M1 · Paramètres'!$H$61:$S$61))/1000000,"")</f>
        <v/>
      </c>
      <c r="G1071" s="77">
        <f>IFERROR((E1071)/(F1071)-1,"")</f>
        <v/>
      </c>
      <c r="H1071" s="68">
        <f>IF(P1071="","",IF(P1071="green",IFERROR(IF(LANG="EN",INDEX(I18N_EN,MATCH("rag.green",I18N_KEY,0)),INDEX(I18N_FR,MATCH("rag.green",I18N_KEY,0))),"rag.green"),IF(P1071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071" s="3" t="n"/>
      <c r="J1071" s="3" t="n"/>
      <c r="K1071" s="3" t="n"/>
      <c r="L1071" s="3" t="n"/>
      <c r="M1071" s="3" t="n"/>
      <c r="N1071" s="32" t="n"/>
      <c r="P1071" s="69">
        <f>IFERROR(IF(F1071=0,"",IF(INDEX(RAG_SENS,MATCH("kpi.mkt.spend",RAG_KEY,0))="UP",IF((E1071/F1071)&gt;=INDEX(RAG_SV,MATCH("kpi.mkt.spend",RAG_KEY,0)),"green",IF((E1071/F1071)&gt;=INDEX(RAG_SA,MATCH("kpi.mkt.spend",RAG_KEY,0)),"amber","red")),IF((E1071/F1071)&lt;=INDEX(RAG_SV,MATCH("kpi.mkt.spend",RAG_KEY,0)),"green",IF((E1071/F1071)&lt;=INDEX(RAG_SA,MATCH("kpi.mkt.spend",RAG_KEY,0)),"amber","red")))),"")</f>
        <v/>
      </c>
    </row>
    <row r="1072">
      <c r="C1072" s="53">
        <f>"💬 "&amp;IFERROR(IF(LANG="EN",INDEX(I18N_EN,MATCH("col.comment",I18N_KEY,0)),INDEX(I18N_FR,MATCH("col.comment",I18N_KEY,0))),"col.comment")</f>
        <v/>
      </c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4" t="n"/>
      <c r="O1072" s="5" t="n"/>
    </row>
    <row r="1073">
      <c r="C1073" s="55">
        <f>IF(LANG="EN","Budget variance commentary.","Commentaire écart budgétaire.")</f>
        <v/>
      </c>
      <c r="D1073" s="56" t="n"/>
      <c r="E1073" s="56" t="n"/>
      <c r="F1073" s="56" t="n"/>
      <c r="G1073" s="56" t="n"/>
      <c r="H1073" s="56" t="n"/>
      <c r="I1073" s="56" t="n"/>
      <c r="J1073" s="56" t="n"/>
      <c r="K1073" s="56" t="n"/>
      <c r="L1073" s="56" t="n"/>
      <c r="M1073" s="56" t="n"/>
      <c r="N1073" s="56" t="n"/>
      <c r="O1073" s="57" t="n"/>
    </row>
    <row r="1074">
      <c r="C1074" s="50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2" t="n"/>
    </row>
    <row r="1075">
      <c r="C1075" s="58" t="n"/>
      <c r="D1075" s="58" t="n"/>
      <c r="E1075" s="58" t="n"/>
      <c r="F1075" s="58" t="n"/>
      <c r="G1075" s="58" t="n"/>
      <c r="H1075" s="58" t="n"/>
      <c r="I1075" s="58" t="n"/>
      <c r="J1075" s="58" t="n"/>
      <c r="K1075" s="58" t="n"/>
      <c r="L1075" s="58" t="n"/>
      <c r="M1075" s="58" t="n"/>
      <c r="N1075" s="58" t="n"/>
      <c r="O1075" s="59" t="n"/>
    </row>
    <row r="1076">
      <c r="C1076" s="60" t="n"/>
      <c r="D1076" s="36" t="n"/>
      <c r="E1076" s="36" t="n"/>
      <c r="F1076" s="36" t="n"/>
      <c r="G1076" s="36" t="n"/>
      <c r="H1076" s="36" t="n"/>
      <c r="I1076" s="36" t="n"/>
      <c r="J1076" s="36" t="n"/>
      <c r="K1076" s="36" t="n"/>
      <c r="L1076" s="36" t="n"/>
      <c r="M1076" s="36" t="n"/>
      <c r="N1076" s="22" t="n"/>
    </row>
    <row r="1077"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</row>
    <row r="1078">
      <c r="C1078" s="78" t="n"/>
      <c r="D1078" s="78" t="n"/>
      <c r="E1078" s="78" t="n"/>
      <c r="F1078" s="78" t="n"/>
      <c r="G1078" s="78" t="n"/>
      <c r="H1078" s="78" t="n"/>
      <c r="I1078" s="78" t="n"/>
      <c r="J1078" s="78" t="n"/>
      <c r="K1078" s="78" t="n"/>
      <c r="L1078" s="78" t="n"/>
      <c r="M1078" s="78" t="n"/>
      <c r="N1078" s="78" t="n"/>
      <c r="O1078" s="78" t="n"/>
    </row>
    <row r="1079"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</row>
    <row r="1080" ht="28" customHeight="1">
      <c r="C1080" s="9">
        <f>"         7.   "&amp;IFERROR(IF(LANG="EN",INDEX(I18N_EN,MATCH("dept.com",I18N_KEY,0)),INDEX(I18N_FR,MATCH("dept.com",I18N_KEY,0))),"dept.com")&amp;"   ·   "&amp;IF(LANG="EN",INDEX(MOIS_EN,MONTH(PERIODE)),INDEX(MOIS_FR,MONTH(PERIODE)))&amp;" "&amp;YEAR(PERIODE)</f>
        <v/>
      </c>
      <c r="D1080" s="1" t="n"/>
      <c r="E1080" s="1" t="n"/>
      <c r="F1080" s="1" t="n"/>
      <c r="G1080" s="1" t="n"/>
      <c r="H1080" s="1" t="n"/>
      <c r="I1080" s="1" t="n"/>
      <c r="J1080" s="1" t="n"/>
      <c r="K1080" s="1" t="n"/>
      <c r="L1080" s="1" t="n"/>
      <c r="M1080" s="1" t="n"/>
      <c r="N1080" s="1" t="n"/>
      <c r="O1080" s="15">
        <f>"↑ "&amp;IFERROR(IF(LANG="EN",INDEX(I18N_EN,MATCH("nav.summary",I18N_KEY,0)),INDEX(I18N_FR,MATCH("nav.summary",I18N_KEY,0))),"nav.summary")</f>
        <v/>
      </c>
    </row>
    <row r="1081">
      <c r="C1081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</row>
    <row r="1082">
      <c r="C1082" s="3" t="n"/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</row>
    <row r="1083" ht="5" customHeight="1">
      <c r="C1083" s="17" t="n"/>
      <c r="D1083" s="38" t="n"/>
      <c r="E1083" s="38" t="n"/>
      <c r="F1083" s="38" t="n"/>
      <c r="G1083" s="38" t="n"/>
      <c r="H1083" s="18" t="n"/>
      <c r="I1083" s="17" t="n"/>
      <c r="J1083" s="38" t="n"/>
      <c r="K1083" s="38" t="n"/>
      <c r="L1083" s="38" t="n"/>
      <c r="M1083" s="38" t="n"/>
      <c r="N1083" s="18" t="n"/>
    </row>
    <row r="1084" ht="18" customHeight="1">
      <c r="C1084" s="39">
        <f>"       "&amp;IFERROR(IF(LANG="EN",INDEX(I18N_EN,MATCH("kpi.com.tenant_sales",I18N_KEY,0)),INDEX(I18N_FR,MATCH("kpi.com.tenant_sales",I18N_KEY,0))),"kpi.com.tenant_sales")</f>
        <v/>
      </c>
      <c r="D1084" s="40" t="n"/>
      <c r="E1084" s="40" t="n"/>
      <c r="F1084" s="40" t="n"/>
      <c r="G1084" s="40" t="n"/>
      <c r="H1084" s="20" t="n"/>
      <c r="I1084" s="39">
        <f>"       "&amp;IFERROR(IF(LANG="EN",INDEX(I18N_EN,MATCH("kpi.com.total_sales",I18N_KEY,0)),INDEX(I18N_FR,MATCH("kpi.com.total_sales",I18N_KEY,0))),"kpi.com.total_sales")</f>
        <v/>
      </c>
      <c r="J1084" s="40" t="n"/>
      <c r="K1084" s="40" t="n"/>
      <c r="L1084" s="40" t="n"/>
      <c r="M1084" s="40" t="n"/>
      <c r="N1084" s="20" t="n"/>
    </row>
    <row r="1085" ht="42" customHeight="1">
      <c r="C1085" s="87">
        <f>IFERROR((SUMIFS('M3 · Base mensuelle'!$D$68:$AM$68,HDR,"&gt;="&amp;P_START,HDR,"&lt;="&amp;P_END))/1000000,"")</f>
        <v/>
      </c>
      <c r="D1085" s="40" t="n"/>
      <c r="E1085" s="40" t="n"/>
      <c r="F1085" s="40" t="n"/>
      <c r="G1085" s="40" t="n"/>
      <c r="H1085" s="20" t="n"/>
      <c r="I1085" s="87">
        <f>IFERROR((SUMIFS('M3 · Base mensuelle'!$D$69:$AM$69,HDR,"&gt;="&amp;P_START,HDR,"&lt;="&amp;P_END))/1000000,"")</f>
        <v/>
      </c>
      <c r="J1085" s="40" t="n"/>
      <c r="K1085" s="40" t="n"/>
      <c r="L1085" s="40" t="n"/>
      <c r="M1085" s="40" t="n"/>
      <c r="N1085" s="20" t="n"/>
    </row>
    <row r="1086" ht="20" customHeight="1">
      <c r="C1086" s="42">
        <f>IFERROR((IFERROR((SUMIFS('M3 · Base mensuelle'!$D$68:$AM$68,HDR,"&gt;="&amp;P_START,HDR,"&lt;="&amp;P_END)),""))/(IFERROR((SUMIFS('M3 · Base mensuelle'!$D$68:$AM$68,HDR,"&gt;="&amp;PP_START,HDR,"&lt;="&amp;PP_END)),""))-1,"")</f>
        <v/>
      </c>
      <c r="D1086" s="36" t="n"/>
      <c r="E1086" s="36" t="n"/>
      <c r="F1086" s="36" t="n"/>
      <c r="G1086" s="36" t="n"/>
      <c r="H1086" s="22" t="n"/>
      <c r="I1086" s="42">
        <f>IFERROR((IFERROR((SUMIFS('M3 · Base mensuelle'!$D$69:$AM$69,HDR,"&gt;="&amp;P_START,HDR,"&lt;="&amp;P_END)),""))/(IFERROR((SUMIFS('M3 · Base mensuelle'!$D$69:$AM$69,HDR,"&gt;="&amp;PP_START,HDR,"&lt;="&amp;PP_END)),""))-1,"")</f>
        <v/>
      </c>
      <c r="J1086" s="36" t="n"/>
      <c r="K1086" s="36" t="n"/>
      <c r="L1086" s="36" t="n"/>
      <c r="M1086" s="36" t="n"/>
      <c r="N1086" s="22" t="n"/>
    </row>
    <row r="1087">
      <c r="C1087" s="3" t="n"/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</row>
    <row r="1088" ht="5" customHeight="1">
      <c r="C1088" s="17" t="n"/>
      <c r="D1088" s="38" t="n"/>
      <c r="E1088" s="38" t="n"/>
      <c r="F1088" s="38" t="n"/>
      <c r="G1088" s="38" t="n"/>
      <c r="H1088" s="18" t="n"/>
      <c r="I1088" s="17" t="n"/>
      <c r="J1088" s="38" t="n"/>
      <c r="K1088" s="38" t="n"/>
      <c r="L1088" s="38" t="n"/>
      <c r="M1088" s="38" t="n"/>
      <c r="N1088" s="18" t="n"/>
    </row>
    <row r="1089" ht="18" customHeight="1">
      <c r="C1089" s="39">
        <f>"       "&amp;IFERROR(IF(LANG="EN",INDEX(I18N_EN,MATCH("kpi.com.sales_sqm",I18N_KEY,0)),INDEX(I18N_FR,MATCH("kpi.com.sales_sqm",I18N_KEY,0))),"kpi.com.sales_sqm")</f>
        <v/>
      </c>
      <c r="D1089" s="40" t="n"/>
      <c r="E1089" s="40" t="n"/>
      <c r="F1089" s="40" t="n"/>
      <c r="G1089" s="40" t="n"/>
      <c r="H1089" s="20" t="n"/>
      <c r="I1089" s="39">
        <f>"       "&amp;IFERROR(IF(LANG="EN",INDEX(I18N_EN,MATCH("kpi.com.lfl",I18N_KEY,0)),INDEX(I18N_FR,MATCH("kpi.com.lfl",I18N_KEY,0))),"kpi.com.lfl")</f>
        <v/>
      </c>
      <c r="J1089" s="40" t="n"/>
      <c r="K1089" s="40" t="n"/>
      <c r="L1089" s="40" t="n"/>
      <c r="M1089" s="40" t="n"/>
      <c r="N1089" s="20" t="n"/>
    </row>
    <row r="1090" ht="42" customHeight="1">
      <c r="C1090" s="88">
        <f>IFERROR((AVERAGEIFS('M3 · Base mensuelle'!$D$70:$AM$70,HDR,"&gt;="&amp;P_START,HDR,"&lt;="&amp;P_END)),"")</f>
        <v/>
      </c>
      <c r="D1090" s="40" t="n"/>
      <c r="E1090" s="40" t="n"/>
      <c r="F1090" s="40" t="n"/>
      <c r="G1090" s="40" t="n"/>
      <c r="H1090" s="20" t="n"/>
      <c r="I1090" s="79">
        <f>IFERROR((AVERAGEIFS('M3 · Base mensuelle'!$D$71:$AM$71,HDR,"&gt;="&amp;P_START,HDR,"&lt;="&amp;P_END)),"")</f>
        <v/>
      </c>
      <c r="J1090" s="40" t="n"/>
      <c r="K1090" s="40" t="n"/>
      <c r="L1090" s="40" t="n"/>
      <c r="M1090" s="40" t="n"/>
      <c r="N1090" s="20" t="n"/>
    </row>
    <row r="1091" ht="20" customHeight="1">
      <c r="C1091" s="42">
        <f>IFERROR((IFERROR((AVERAGEIFS('M3 · Base mensuelle'!$D$70:$AM$70,HDR,"&gt;="&amp;P_START,HDR,"&lt;="&amp;P_END)),""))/(IFERROR((AVERAGEIFS('M3 · Base mensuelle'!$D$70:$AM$70,HDR,"&gt;="&amp;PP_START,HDR,"&lt;="&amp;PP_END)),""))-1,"")</f>
        <v/>
      </c>
      <c r="D1091" s="36" t="n"/>
      <c r="E1091" s="36" t="n"/>
      <c r="F1091" s="36" t="n"/>
      <c r="G1091" s="36" t="n"/>
      <c r="H1091" s="22" t="n"/>
      <c r="I1091" s="42">
        <f>IFERROR((IFERROR((AVERAGEIFS('M3 · Base mensuelle'!$D$71:$AM$71,HDR,"&gt;="&amp;P_START,HDR,"&lt;="&amp;P_END)),""))/(IFERROR((AVERAGEIFS('M3 · Base mensuelle'!$D$71:$AM$71,HDR,"&gt;="&amp;PP_START,HDR,"&lt;="&amp;PP_END)),""))-1,"")</f>
        <v/>
      </c>
      <c r="J1091" s="36" t="n"/>
      <c r="K1091" s="36" t="n"/>
      <c r="L1091" s="36" t="n"/>
      <c r="M1091" s="36" t="n"/>
      <c r="N1091" s="22" t="n"/>
    </row>
    <row r="1092">
      <c r="C1092" s="3" t="n"/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</row>
    <row r="1093">
      <c r="C1093" s="3" t="n"/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</row>
    <row r="1094">
      <c r="C1094" s="43">
        <f>"▌ "&amp;IFERROR(IF(LANG="EN",INDEX(I18N_EN,MATCH("kpi.com.tenant_sales",I18N_KEY,0)),INDEX(I18N_FR,MATCH("kpi.com.tenant_sales",I18N_KEY,0))),"kpi.com.tenant_sales")&amp;" — 12 mois / 12M"</f>
        <v/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</row>
    <row r="1095">
      <c r="C1095" s="3" t="n"/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</row>
    <row r="1096">
      <c r="C1096" s="3" t="n"/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</row>
    <row r="1097">
      <c r="C1097" s="3" t="n"/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</row>
    <row r="1098">
      <c r="C1098" s="3" t="n"/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</row>
    <row r="1099">
      <c r="C1099" s="3" t="n"/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</row>
    <row r="1100">
      <c r="C1100" s="3" t="n"/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</row>
    <row r="1101">
      <c r="C1101" s="3" t="n"/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</row>
    <row r="1102">
      <c r="C1102" s="3" t="n"/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</row>
    <row r="1103">
      <c r="C1103" s="3" t="n"/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</row>
    <row r="1104">
      <c r="C1104" s="3" t="n"/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</row>
    <row r="1105">
      <c r="C1105" s="3" t="n"/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</row>
    <row r="1106">
      <c r="C1106" s="43">
        <f>"▌ "&amp;IF(LANG="EN","Key gauges","Jauges clés")</f>
        <v/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</row>
    <row r="1107">
      <c r="C1107" s="44">
        <f>IFERROR(IF(LANG="EN",INDEX(I18N_EN,MATCH("kpi.com.lfl",I18N_KEY,0)),INDEX(I18N_FR,MATCH("kpi.com.lfl",I18N_KEY,0))),"kpi.com.lfl")</f>
        <v/>
      </c>
      <c r="D1107" s="3" t="n"/>
      <c r="E1107" s="3" t="n"/>
      <c r="F1107" s="3" t="n"/>
      <c r="G1107" s="44">
        <f>IFERROR(IF(LANG="EN",INDEX(I18N_EN,MATCH("kpi.com.pipeline_conv",I18N_KEY,0)),INDEX(I18N_FR,MATCH("kpi.com.pipeline_conv",I18N_KEY,0))),"kpi.com.pipeline_conv")</f>
        <v/>
      </c>
      <c r="H1107" s="3" t="n"/>
      <c r="I1107" s="3" t="n"/>
      <c r="J1107" s="3" t="n"/>
      <c r="K1107" s="44">
        <f>IFERROR(IF(LANG="EN",INDEX(I18N_EN,MATCH("kpi.com.kiosk_occ",I18N_KEY,0)),INDEX(I18N_FR,MATCH("kpi.com.kiosk_occ",I18N_KEY,0))),"kpi.com.kiosk_occ")</f>
        <v/>
      </c>
      <c r="L1107" s="3" t="n"/>
      <c r="M1107" s="3" t="n"/>
      <c r="N1107" s="3" t="n"/>
    </row>
    <row r="1108">
      <c r="C1108" s="3" t="n"/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</row>
    <row r="1109">
      <c r="C1109" s="3" t="n"/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</row>
    <row r="1110">
      <c r="C1110" s="3" t="n"/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</row>
    <row r="1111">
      <c r="C1111" s="3" t="n"/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</row>
    <row r="1112">
      <c r="C1112" s="3" t="n"/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</row>
    <row r="1113">
      <c r="C1113" s="3" t="n"/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</row>
    <row r="1114">
      <c r="C1114" s="3" t="n"/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</row>
    <row r="1115">
      <c r="C1115" s="45">
        <f>IFERROR((AVERAGEIFS('M3 · Base mensuelle'!$D$71:$AM$71,HDR,"&gt;="&amp;P_START,HDR,"&lt;="&amp;P_END)),"")</f>
        <v/>
      </c>
      <c r="D1115" s="3" t="n"/>
      <c r="E1115" s="3" t="n"/>
      <c r="F1115" s="3" t="n"/>
      <c r="G1115" s="45">
        <f>IFERROR((AVERAGEIFS('M3 · Base mensuelle'!$D$75:$AM$75,HDR,"&gt;="&amp;P_START,HDR,"&lt;="&amp;P_END)),"")</f>
        <v/>
      </c>
      <c r="H1115" s="3" t="n"/>
      <c r="I1115" s="3" t="n"/>
      <c r="J1115" s="3" t="n"/>
      <c r="K1115" s="45">
        <f>IFERROR((AVERAGEIFS('M3 · Base mensuelle'!$D$78:$AM$78,HDR,"&gt;="&amp;P_START,HDR,"&lt;="&amp;P_END)),"")</f>
        <v/>
      </c>
      <c r="L1115" s="3" t="n"/>
      <c r="M1115" s="3" t="n"/>
      <c r="N1115" s="3" t="n"/>
    </row>
    <row r="1116">
      <c r="C1116" s="3" t="n"/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</row>
    <row r="1117">
      <c r="C1117" s="3" t="n"/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</row>
    <row r="1118">
      <c r="C1118" s="3" t="n"/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</row>
    <row r="1119" ht="19" customHeight="1">
      <c r="C1119" s="46">
        <f>"▸  7.1  "&amp;IF(LANG="EN","Sales Dashboard","Tableau de bord des ventes")</f>
        <v/>
      </c>
      <c r="D1119" s="47" t="n"/>
      <c r="E1119" s="47" t="n"/>
      <c r="F1119" s="47" t="n"/>
      <c r="G1119" s="47" t="n"/>
      <c r="H1119" s="47" t="n"/>
      <c r="I1119" s="47" t="n"/>
      <c r="J1119" s="47" t="n"/>
      <c r="K1119" s="47" t="n"/>
      <c r="L1119" s="47" t="n"/>
      <c r="M1119" s="47" t="n"/>
      <c r="N1119" s="48" t="n"/>
      <c r="O1119" s="1" t="n"/>
    </row>
    <row r="1120">
      <c r="C1120" s="61">
        <f>IFERROR(IF(LANG="EN",INDEX(I18N_EN,MATCH("col.kpi",I18N_KEY,0)),INDEX(I18N_FR,MATCH("col.kpi",I18N_KEY,0))),"col.kpi")</f>
        <v/>
      </c>
      <c r="D1120" s="62">
        <f>IFERROR(IF(LANG="EN",INDEX(I18N_EN,MATCH("col.unit",I18N_KEY,0)),INDEX(I18N_FR,MATCH("col.unit",I18N_KEY,0))),"col.unit")</f>
        <v/>
      </c>
      <c r="E1120" s="62">
        <f>IFERROR(IF(LANG="EN",INDEX(I18N_EN,MATCH("col.current",I18N_KEY,0)),INDEX(I18N_FR,MATCH("col.current",I18N_KEY,0))),"col.current")</f>
        <v/>
      </c>
      <c r="F1120" s="62">
        <f>IFERROR(IF(LANG="EN",INDEX(I18N_EN,MATCH("col.prev",I18N_KEY,0)),INDEX(I18N_FR,MATCH("col.prev",I18N_KEY,0))),"col.prev")</f>
        <v/>
      </c>
      <c r="G1120" s="62">
        <f>IFERROR(IF(LANG="EN",INDEX(I18N_EN,MATCH("col.delta_prev",I18N_KEY,0)),INDEX(I18N_FR,MATCH("col.delta_prev",I18N_KEY,0))),"col.delta_prev")</f>
        <v/>
      </c>
      <c r="H1120" s="62">
        <f>IFERROR(IF(LANG="EN",INDEX(I18N_EN,MATCH("col.py",I18N_KEY,0)),INDEX(I18N_FR,MATCH("col.py",I18N_KEY,0))),"col.py")</f>
        <v/>
      </c>
      <c r="I1120" s="62">
        <f>IFERROR(IF(LANG="EN",INDEX(I18N_EN,MATCH("col.delta_py",I18N_KEY,0)),INDEX(I18N_FR,MATCH("col.delta_py",I18N_KEY,0))),"col.delta_py")</f>
        <v/>
      </c>
      <c r="J1120" s="62">
        <f>IFERROR(IF(LANG="EN",INDEX(I18N_EN,MATCH("col.budget",I18N_KEY,0)),INDEX(I18N_FR,MATCH("col.budget",I18N_KEY,0))),"col.budget")</f>
        <v/>
      </c>
      <c r="K1120" s="62">
        <f>IFERROR(IF(LANG="EN",INDEX(I18N_EN,MATCH("col.var",I18N_KEY,0)),INDEX(I18N_FR,MATCH("col.var",I18N_KEY,0))),"col.var")</f>
        <v/>
      </c>
      <c r="L1120" s="62">
        <f>IFERROR(IF(LANG="EN",INDEX(I18N_EN,MATCH("col.rag",I18N_KEY,0)),INDEX(I18N_FR,MATCH("col.rag",I18N_KEY,0))),"col.rag")</f>
        <v/>
      </c>
      <c r="M1120" s="3" t="n"/>
      <c r="N1120" s="32" t="n"/>
    </row>
    <row r="1121">
      <c r="C1121" s="63">
        <f>IFERROR(IF(LANG="EN",INDEX(I18N_EN,MATCH("kpi.com.tenant_sales",I18N_KEY,0)),INDEX(I18N_FR,MATCH("kpi.com.tenant_sales",I18N_KEY,0))),"kpi.com.tenant_sales")</f>
        <v/>
      </c>
      <c r="D1121" s="64" t="inlineStr">
        <is>
          <t>FCFA</t>
        </is>
      </c>
      <c r="E1121" s="70">
        <f>IFERROR((SUMIFS('M3 · Base mensuelle'!$D$68:$AM$68,HDR,"&gt;="&amp;P_START,HDR,"&lt;="&amp;P_END))/1000000,"")</f>
        <v/>
      </c>
      <c r="F1121" s="70">
        <f>IFERROR((SUMIFS('M3 · Base mensuelle'!$D$68:$AM$68,HDR,"&gt;="&amp;PP_START,HDR,"&lt;="&amp;PP_END))/1000000,"")</f>
        <v/>
      </c>
      <c r="G1121" s="66">
        <f>IFERROR((E1121)/(F1121)-1,"")</f>
        <v/>
      </c>
      <c r="H1121" s="70">
        <f>IFERROR((SUMIFS('M3 · Base mensuelle'!$D$68:$AM$68,HDR,"&gt;="&amp;PY_START,HDR,"&lt;="&amp;PY_END))/1000000,"")</f>
        <v/>
      </c>
      <c r="I1121" s="66">
        <f>IFERROR((E1121)/(H1121)-1,"")</f>
        <v/>
      </c>
      <c r="J1121" s="70">
        <f>IFERROR((SUMPRODUCT((BUD_MONTHS&gt;=MONTH(P_START))*(BUD_MONTHS&lt;=MONTH(P_END))*'M1 · Paramètres'!$H$69:$S$69))/1000000,"")</f>
        <v/>
      </c>
      <c r="K1121" s="66">
        <f>IFERROR((E1121)/(J1121)-1,"")</f>
        <v/>
      </c>
      <c r="L1121" s="68">
        <f>IF(O1121="","",IF(O1121="green",IFERROR(IF(LANG="EN",INDEX(I18N_EN,MATCH("rag.green",I18N_KEY,0)),INDEX(I18N_FR,MATCH("rag.green",I18N_KEY,0))),"rag.green"),IF(O1121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21" s="3" t="n"/>
      <c r="N1121" s="32" t="n"/>
      <c r="O1121" s="69">
        <f>IFERROR(IF(IF(N(J1121)&gt;0,J1121,H1121)=0,"",IF(INDEX(RAG_SENS,MATCH("kpi.com.tenant_sales",RAG_KEY,0))="UP",IF((E1121/IF(N(J1121)&gt;0,J1121,H1121))&gt;=INDEX(RAG_SV,MATCH("kpi.com.tenant_sales",RAG_KEY,0)),"green",IF((E1121/IF(N(J1121)&gt;0,J1121,H1121))&gt;=INDEX(RAG_SA,MATCH("kpi.com.tenant_sales",RAG_KEY,0)),"amber","red")),IF((E1121/IF(N(J1121)&gt;0,J1121,H1121))&lt;=INDEX(RAG_SV,MATCH("kpi.com.tenant_sales",RAG_KEY,0)),"green",IF((E1121/IF(N(J1121)&gt;0,J1121,H1121))&lt;=INDEX(RAG_SA,MATCH("kpi.com.tenant_sales",RAG_KEY,0)),"amber","red")))),"")</f>
        <v/>
      </c>
    </row>
    <row r="1122">
      <c r="C1122" s="63">
        <f>IFERROR(IF(LANG="EN",INDEX(I18N_EN,MATCH("kpi.com.total_sales",I18N_KEY,0)),INDEX(I18N_FR,MATCH("kpi.com.total_sales",I18N_KEY,0))),"kpi.com.total_sales")</f>
        <v/>
      </c>
      <c r="D1122" s="64" t="inlineStr">
        <is>
          <t>FCFA</t>
        </is>
      </c>
      <c r="E1122" s="70">
        <f>IFERROR((SUMIFS('M3 · Base mensuelle'!$D$69:$AM$69,HDR,"&gt;="&amp;P_START,HDR,"&lt;="&amp;P_END))/1000000,"")</f>
        <v/>
      </c>
      <c r="F1122" s="70">
        <f>IFERROR((SUMIFS('M3 · Base mensuelle'!$D$69:$AM$69,HDR,"&gt;="&amp;PP_START,HDR,"&lt;="&amp;PP_END))/1000000,"")</f>
        <v/>
      </c>
      <c r="G1122" s="66">
        <f>IFERROR((E1122)/(F1122)-1,"")</f>
        <v/>
      </c>
      <c r="H1122" s="70">
        <f>IFERROR((SUMIFS('M3 · Base mensuelle'!$D$69:$AM$69,HDR,"&gt;="&amp;PY_START,HDR,"&lt;="&amp;PY_END))/1000000,"")</f>
        <v/>
      </c>
      <c r="I1122" s="66">
        <f>IFERROR((E1122)/(H1122)-1,"")</f>
        <v/>
      </c>
      <c r="J1122" s="70">
        <f>IFERROR((SUMPRODUCT((BUD_MONTHS&gt;=MONTH(P_START))*(BUD_MONTHS&lt;=MONTH(P_END))*'M1 · Paramètres'!$H$70:$S$70))/1000000,"")</f>
        <v/>
      </c>
      <c r="K1122" s="66">
        <f>IFERROR((E1122)/(J1122)-1,"")</f>
        <v/>
      </c>
      <c r="L1122" s="68">
        <f>IF(O1122="","",IF(O1122="green",IFERROR(IF(LANG="EN",INDEX(I18N_EN,MATCH("rag.green",I18N_KEY,0)),INDEX(I18N_FR,MATCH("rag.green",I18N_KEY,0))),"rag.green"),IF(O1122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22" s="3" t="n"/>
      <c r="N1122" s="32" t="n"/>
      <c r="O1122" s="69">
        <f>IFERROR(IF(IF(N(J1122)&gt;0,J1122,H1122)=0,"",IF(INDEX(RAG_SENS,MATCH("kpi.com.total_sales",RAG_KEY,0))="UP",IF((E1122/IF(N(J1122)&gt;0,J1122,H1122))&gt;=INDEX(RAG_SV,MATCH("kpi.com.total_sales",RAG_KEY,0)),"green",IF((E1122/IF(N(J1122)&gt;0,J1122,H1122))&gt;=INDEX(RAG_SA,MATCH("kpi.com.total_sales",RAG_KEY,0)),"amber","red")),IF((E1122/IF(N(J1122)&gt;0,J1122,H1122))&lt;=INDEX(RAG_SV,MATCH("kpi.com.total_sales",RAG_KEY,0)),"green",IF((E1122/IF(N(J1122)&gt;0,J1122,H1122))&lt;=INDEX(RAG_SA,MATCH("kpi.com.total_sales",RAG_KEY,0)),"amber","red")))),"")</f>
        <v/>
      </c>
    </row>
    <row r="1123">
      <c r="C1123" s="63">
        <f>IFERROR(IF(LANG="EN",INDEX(I18N_EN,MATCH("kpi.com.sales_sqm",I18N_KEY,0)),INDEX(I18N_FR,MATCH("kpi.com.sales_sqm",I18N_KEY,0))),"kpi.com.sales_sqm")</f>
        <v/>
      </c>
      <c r="D1123" s="64" t="inlineStr">
        <is>
          <t>FCFA/m²</t>
        </is>
      </c>
      <c r="E1123" s="85">
        <f>IFERROR((AVERAGEIFS('M3 · Base mensuelle'!$D$70:$AM$70,HDR,"&gt;="&amp;P_START,HDR,"&lt;="&amp;P_END)),"")</f>
        <v/>
      </c>
      <c r="F1123" s="85">
        <f>IFERROR((AVERAGEIFS('M3 · Base mensuelle'!$D$70:$AM$70,HDR,"&gt;="&amp;PP_START,HDR,"&lt;="&amp;PP_END)),"")</f>
        <v/>
      </c>
      <c r="G1123" s="66">
        <f>IFERROR((E1123)/(F1123)-1,"")</f>
        <v/>
      </c>
      <c r="H1123" s="85">
        <f>IFERROR((AVERAGEIFS('M3 · Base mensuelle'!$D$70:$AM$70,HDR,"&gt;="&amp;PY_START,HDR,"&lt;="&amp;PY_END)),"")</f>
        <v/>
      </c>
      <c r="I1123" s="66">
        <f>IFERROR((E1123)/(H1123)-1,"")</f>
        <v/>
      </c>
      <c r="J1123" s="67" t="n"/>
      <c r="K1123" s="66">
        <f>IFERROR((E1123)/(J1123)-1,"")</f>
        <v/>
      </c>
      <c r="L1123" s="68">
        <f>IF(O1123="","",IF(O1123="green",IFERROR(IF(LANG="EN",INDEX(I18N_EN,MATCH("rag.green",I18N_KEY,0)),INDEX(I18N_FR,MATCH("rag.green",I18N_KEY,0))),"rag.green"),IF(O1123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23" s="3" t="n"/>
      <c r="N1123" s="32" t="n"/>
      <c r="O1123" s="69">
        <f>IFERROR(IF(IF(N(J1123)&gt;0,J1123,H1123)=0,"",IF(INDEX(RAG_SENS,MATCH("kpi.com.sales_sqm",RAG_KEY,0))="UP",IF((E1123/IF(N(J1123)&gt;0,J1123,H1123))&gt;=INDEX(RAG_SV,MATCH("kpi.com.sales_sqm",RAG_KEY,0)),"green",IF((E1123/IF(N(J1123)&gt;0,J1123,H1123))&gt;=INDEX(RAG_SA,MATCH("kpi.com.sales_sqm",RAG_KEY,0)),"amber","red")),IF((E1123/IF(N(J1123)&gt;0,J1123,H1123))&lt;=INDEX(RAG_SV,MATCH("kpi.com.sales_sqm",RAG_KEY,0)),"green",IF((E1123/IF(N(J1123)&gt;0,J1123,H1123))&lt;=INDEX(RAG_SA,MATCH("kpi.com.sales_sqm",RAG_KEY,0)),"amber","red")))),"")</f>
        <v/>
      </c>
    </row>
    <row r="1124">
      <c r="C1124" s="63">
        <f>IFERROR(IF(LANG="EN",INDEX(I18N_EN,MATCH("kpi.com.lfl",I18N_KEY,0)),INDEX(I18N_FR,MATCH("kpi.com.lfl",I18N_KEY,0))),"kpi.com.lfl")</f>
        <v/>
      </c>
      <c r="D1124" s="64" t="inlineStr">
        <is>
          <t>%</t>
        </is>
      </c>
      <c r="E1124" s="71">
        <f>IFERROR((AVERAGEIFS('M3 · Base mensuelle'!$D$71:$AM$71,HDR,"&gt;="&amp;P_START,HDR,"&lt;="&amp;P_END)),"")</f>
        <v/>
      </c>
      <c r="F1124" s="71">
        <f>IFERROR((AVERAGEIFS('M3 · Base mensuelle'!$D$71:$AM$71,HDR,"&gt;="&amp;PP_START,HDR,"&lt;="&amp;PP_END)),"")</f>
        <v/>
      </c>
      <c r="G1124" s="66">
        <f>IFERROR((E1124)/(F1124)-1,"")</f>
        <v/>
      </c>
      <c r="H1124" s="71">
        <f>IFERROR((AVERAGEIFS('M3 · Base mensuelle'!$D$71:$AM$71,HDR,"&gt;="&amp;PY_START,HDR,"&lt;="&amp;PY_END)),"")</f>
        <v/>
      </c>
      <c r="I1124" s="66">
        <f>IFERROR((E1124)/(H1124)-1,"")</f>
        <v/>
      </c>
      <c r="J1124" s="67" t="n"/>
      <c r="K1124" s="66">
        <f>IFERROR((E1124)/(J1124)-1,"")</f>
        <v/>
      </c>
      <c r="L1124" s="68">
        <f>IF(O1124="","",IF(O1124="green",IFERROR(IF(LANG="EN",INDEX(I18N_EN,MATCH("rag.green",I18N_KEY,0)),INDEX(I18N_FR,MATCH("rag.green",I18N_KEY,0))),"rag.green"),IF(O1124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24" s="3" t="n"/>
      <c r="N1124" s="32" t="n"/>
      <c r="O1124" s="69">
        <f>IFERROR(IF(IF(N(J1124)&gt;0,J1124,H1124)=0,"",IF(INDEX(RAG_SENS,MATCH("kpi.com.lfl",RAG_KEY,0))="UP",IF((E1124/IF(N(J1124)&gt;0,J1124,H1124))&gt;=INDEX(RAG_SV,MATCH("kpi.com.lfl",RAG_KEY,0)),"green",IF((E1124/IF(N(J1124)&gt;0,J1124,H1124))&gt;=INDEX(RAG_SA,MATCH("kpi.com.lfl",RAG_KEY,0)),"amber","red")),IF((E1124/IF(N(J1124)&gt;0,J1124,H1124))&lt;=INDEX(RAG_SV,MATCH("kpi.com.lfl",RAG_KEY,0)),"green",IF((E1124/IF(N(J1124)&gt;0,J1124,H1124))&lt;=INDEX(RAG_SA,MATCH("kpi.com.lfl",RAG_KEY,0)),"amber","red")))),"")</f>
        <v/>
      </c>
    </row>
    <row r="1125">
      <c r="C1125" s="72">
        <f>"◆ "&amp;IFERROR(IF(LANG="EN",INDEX(I18N_EN,MATCH("msg.highlights",I18N_KEY,0)),INDEX(I18N_FR,MATCH("msg.highlights",I18N_KEY,0))),"msg.highlights")</f>
        <v/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2" t="n"/>
    </row>
    <row r="1126">
      <c r="C1126" s="73">
        <f>IFERROR("▲ "&amp;INDEX(C1121:C1124,MATCH(MAX(G1121:G1124),G1121:G1124,0))&amp;"   "&amp;TEXT(MAX(G1121:G1124),"+0.0%;-0.0%"),"")</f>
        <v/>
      </c>
      <c r="D1126" s="3" t="n"/>
      <c r="E1126" s="3" t="n"/>
      <c r="F1126" s="3" t="n"/>
      <c r="G1126" s="3" t="n"/>
      <c r="H1126" s="3" t="n"/>
      <c r="I1126" s="74">
        <f>IFERROR("▼ "&amp;INDEX(C1121:C1124,MATCH(MIN(G1121:G1124),G1121:G1124,0))&amp;"   "&amp;TEXT(MIN(G1121:G1124),"+0.0%;-0.0%"),"")</f>
        <v/>
      </c>
      <c r="J1126" s="3" t="n"/>
      <c r="K1126" s="3" t="n"/>
      <c r="L1126" s="3" t="n"/>
      <c r="M1126" s="3" t="n"/>
      <c r="N1126" s="32" t="n"/>
    </row>
    <row r="1127">
      <c r="C1127" s="53">
        <f>"💬 "&amp;IFERROR(IF(LANG="EN",INDEX(I18N_EN,MATCH("col.comment",I18N_KEY,0)),INDEX(I18N_FR,MATCH("col.comment",I18N_KEY,0))),"col.comment")</f>
        <v/>
      </c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4" t="n"/>
      <c r="O1127" s="5" t="n"/>
    </row>
    <row r="1128">
      <c r="C1128" s="75">
        <f>IF('C6 · Commercial'!$D$29&lt;&gt;"",'C6 · Commercial'!$D$29,IFERROR(SUBSTITUTE(SUBSTITUTE(IF(G1121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com.tenant_sales",I18N_KEY,0)),INDEX(I18N_FR,MATCH("kpi.com.tenant_sales",I18N_KEY,0))),"kpi.com.tenant_sales")),"{delta}",TEXT(ABS(G1121),"0.0%")),""))</f>
        <v/>
      </c>
      <c r="D1128" s="56" t="n"/>
      <c r="E1128" s="56" t="n"/>
      <c r="F1128" s="56" t="n"/>
      <c r="G1128" s="56" t="n"/>
      <c r="H1128" s="56" t="n"/>
      <c r="I1128" s="56" t="n"/>
      <c r="J1128" s="56" t="n"/>
      <c r="K1128" s="56" t="n"/>
      <c r="L1128" s="56" t="n"/>
      <c r="M1128" s="56" t="n"/>
      <c r="N1128" s="56" t="n"/>
      <c r="O1128" s="57" t="n"/>
    </row>
    <row r="1129">
      <c r="C1129" s="50" t="n"/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2" t="n"/>
    </row>
    <row r="1130">
      <c r="C1130" s="58" t="n"/>
      <c r="D1130" s="58" t="n"/>
      <c r="E1130" s="58" t="n"/>
      <c r="F1130" s="58" t="n"/>
      <c r="G1130" s="58" t="n"/>
      <c r="H1130" s="58" t="n"/>
      <c r="I1130" s="58" t="n"/>
      <c r="J1130" s="58" t="n"/>
      <c r="K1130" s="58" t="n"/>
      <c r="L1130" s="58" t="n"/>
      <c r="M1130" s="58" t="n"/>
      <c r="N1130" s="58" t="n"/>
      <c r="O1130" s="59" t="n"/>
    </row>
    <row r="1131">
      <c r="C1131" s="60" t="n"/>
      <c r="D1131" s="36" t="n"/>
      <c r="E1131" s="36" t="n"/>
      <c r="F1131" s="36" t="n"/>
      <c r="G1131" s="36" t="n"/>
      <c r="H1131" s="36" t="n"/>
      <c r="I1131" s="36" t="n"/>
      <c r="J1131" s="36" t="n"/>
      <c r="K1131" s="36" t="n"/>
      <c r="L1131" s="36" t="n"/>
      <c r="M1131" s="36" t="n"/>
      <c r="N1131" s="22" t="n"/>
    </row>
    <row r="1132">
      <c r="C1132" s="3" t="n"/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</row>
    <row r="1133" ht="19" customHeight="1">
      <c r="C1133" s="46">
        <f>"▸  7.2  "&amp;IF(LANG="EN","Sales Revenues Year to Date","CA cumulé (YTD)")</f>
        <v/>
      </c>
      <c r="D1133" s="47" t="n"/>
      <c r="E1133" s="47" t="n"/>
      <c r="F1133" s="47" t="n"/>
      <c r="G1133" s="47" t="n"/>
      <c r="H1133" s="47" t="n"/>
      <c r="I1133" s="47" t="n"/>
      <c r="J1133" s="47" t="n"/>
      <c r="K1133" s="47" t="n"/>
      <c r="L1133" s="47" t="n"/>
      <c r="M1133" s="47" t="n"/>
      <c r="N1133" s="48" t="n"/>
      <c r="O1133" s="1" t="n"/>
    </row>
    <row r="1134">
      <c r="C1134" s="80" t="inlineStr">
        <is>
          <t>Mois / Month</t>
        </is>
      </c>
      <c r="D1134" s="62" t="inlineStr">
        <is>
          <t>CA / Sales</t>
        </is>
      </c>
      <c r="E1134" s="62" t="inlineStr">
        <is>
          <t>Cumul / YTD</t>
        </is>
      </c>
      <c r="F1134" s="62" t="inlineStr">
        <is>
          <t>vs Budget</t>
        </is>
      </c>
      <c r="G1134" s="3" t="n"/>
      <c r="H1134" s="3" t="n"/>
      <c r="I1134" s="3" t="n"/>
      <c r="J1134" s="3" t="n"/>
      <c r="K1134" s="3" t="n"/>
      <c r="L1134" s="3" t="n"/>
      <c r="M1134" s="3" t="n"/>
      <c r="N1134" s="32" t="n"/>
    </row>
    <row r="1135">
      <c r="C1135" s="82" t="inlineStr">
        <is>
          <t>2026-01</t>
        </is>
      </c>
      <c r="D1135" s="83" t="n">
        <v>1180000000</v>
      </c>
      <c r="E1135" s="83" t="n">
        <v>1180000000</v>
      </c>
      <c r="F1135" s="86" t="n">
        <v>-0.03</v>
      </c>
      <c r="G1135" s="3" t="n"/>
      <c r="H1135" s="3" t="n"/>
      <c r="I1135" s="3" t="n"/>
      <c r="J1135" s="3" t="n"/>
      <c r="K1135" s="3" t="n"/>
      <c r="L1135" s="3" t="n"/>
      <c r="M1135" s="3" t="n"/>
      <c r="N1135" s="32" t="n"/>
    </row>
    <row r="1136">
      <c r="C1136" s="82" t="inlineStr">
        <is>
          <t>2026-02</t>
        </is>
      </c>
      <c r="D1136" s="83" t="n">
        <v>1210000000</v>
      </c>
      <c r="E1136" s="83" t="n">
        <v>2390000000</v>
      </c>
      <c r="F1136" s="86" t="n">
        <v>-0.02</v>
      </c>
      <c r="G1136" s="3" t="n"/>
      <c r="H1136" s="3" t="n"/>
      <c r="I1136" s="3" t="n"/>
      <c r="J1136" s="3" t="n"/>
      <c r="K1136" s="3" t="n"/>
      <c r="L1136" s="3" t="n"/>
      <c r="M1136" s="3" t="n"/>
      <c r="N1136" s="32" t="n"/>
    </row>
    <row r="1137">
      <c r="C1137" s="82" t="inlineStr">
        <is>
          <t>2026-03</t>
        </is>
      </c>
      <c r="D1137" s="83" t="n">
        <v>1265000000</v>
      </c>
      <c r="E1137" s="83" t="n">
        <v>3655000000</v>
      </c>
      <c r="F1137" s="86" t="n">
        <v>0</v>
      </c>
      <c r="G1137" s="3" t="n"/>
      <c r="H1137" s="3" t="n"/>
      <c r="I1137" s="3" t="n"/>
      <c r="J1137" s="3" t="n"/>
      <c r="K1137" s="3" t="n"/>
      <c r="L1137" s="3" t="n"/>
      <c r="M1137" s="3" t="n"/>
      <c r="N1137" s="32" t="n"/>
    </row>
    <row r="1138">
      <c r="C1138" s="82" t="inlineStr">
        <is>
          <t>2026-04</t>
        </is>
      </c>
      <c r="D1138" s="83" t="n">
        <v>1240000000</v>
      </c>
      <c r="E1138" s="83" t="n">
        <v>4895000000</v>
      </c>
      <c r="F1138" s="86" t="n">
        <v>-0.01</v>
      </c>
      <c r="G1138" s="3" t="n"/>
      <c r="H1138" s="3" t="n"/>
      <c r="I1138" s="3" t="n"/>
      <c r="J1138" s="3" t="n"/>
      <c r="K1138" s="3" t="n"/>
      <c r="L1138" s="3" t="n"/>
      <c r="M1138" s="3" t="n"/>
      <c r="N1138" s="32" t="n"/>
    </row>
    <row r="1139">
      <c r="C1139" s="82" t="inlineStr">
        <is>
          <t>2026-05</t>
        </is>
      </c>
      <c r="D1139" s="83" t="n">
        <v>1295000000</v>
      </c>
      <c r="E1139" s="83" t="n">
        <v>6190000000</v>
      </c>
      <c r="F1139" s="86" t="n">
        <v>0.01</v>
      </c>
      <c r="G1139" s="3" t="n"/>
      <c r="H1139" s="3" t="n"/>
      <c r="I1139" s="3" t="n"/>
      <c r="J1139" s="3" t="n"/>
      <c r="K1139" s="3" t="n"/>
      <c r="L1139" s="3" t="n"/>
      <c r="M1139" s="3" t="n"/>
      <c r="N1139" s="32" t="n"/>
    </row>
    <row r="1140">
      <c r="C1140" s="82" t="inlineStr">
        <is>
          <t>2026-06</t>
        </is>
      </c>
      <c r="D1140" s="83" t="n">
        <v>1300000000</v>
      </c>
      <c r="E1140" s="83" t="n">
        <v>7490000000</v>
      </c>
      <c r="F1140" s="86" t="n">
        <v>0</v>
      </c>
      <c r="G1140" s="3" t="n"/>
      <c r="H1140" s="3" t="n"/>
      <c r="I1140" s="3" t="n"/>
      <c r="J1140" s="3" t="n"/>
      <c r="K1140" s="3" t="n"/>
      <c r="L1140" s="3" t="n"/>
      <c r="M1140" s="3" t="n"/>
      <c r="N1140" s="32" t="n"/>
    </row>
    <row r="1141">
      <c r="C1141" s="50" t="n"/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2" t="n"/>
    </row>
    <row r="1142">
      <c r="C1142" s="50" t="n"/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2" t="n"/>
    </row>
    <row r="1143">
      <c r="C1143" s="50" t="n"/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2" t="n"/>
    </row>
    <row r="1144">
      <c r="C1144" s="50" t="n"/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2" t="n"/>
    </row>
    <row r="1145">
      <c r="C1145" s="50" t="n"/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2" t="n"/>
    </row>
    <row r="1146">
      <c r="C1146" s="50" t="n"/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2" t="n"/>
    </row>
    <row r="1147">
      <c r="C1147" s="50" t="n"/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2" t="n"/>
    </row>
    <row r="1148">
      <c r="C1148" s="50" t="n"/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2" t="n"/>
    </row>
    <row r="1149">
      <c r="C1149" s="53">
        <f>"💬 "&amp;IFERROR(IF(LANG="EN",INDEX(I18N_EN,MATCH("col.comment",I18N_KEY,0)),INDEX(I18N_FR,MATCH("col.comment",I18N_KEY,0))),"col.comment")</f>
        <v/>
      </c>
      <c r="D1149" s="5" t="n"/>
      <c r="E1149" s="5" t="n"/>
      <c r="F1149" s="5" t="n"/>
      <c r="G1149" s="5" t="n"/>
      <c r="H1149" s="5" t="n"/>
      <c r="I1149" s="5" t="n"/>
      <c r="J1149" s="5" t="n"/>
      <c r="K1149" s="5" t="n"/>
      <c r="L1149" s="5" t="n"/>
      <c r="M1149" s="5" t="n"/>
      <c r="N1149" s="54" t="n"/>
      <c r="O1149" s="5" t="n"/>
    </row>
    <row r="1150">
      <c r="C1150" s="55">
        <f>IF(LANG="EN","Commentary / data source: management systems (demo).","Commentaire / source : systèmes de gestion (démo).")</f>
        <v/>
      </c>
      <c r="D1150" s="56" t="n"/>
      <c r="E1150" s="56" t="n"/>
      <c r="F1150" s="56" t="n"/>
      <c r="G1150" s="56" t="n"/>
      <c r="H1150" s="56" t="n"/>
      <c r="I1150" s="56" t="n"/>
      <c r="J1150" s="56" t="n"/>
      <c r="K1150" s="56" t="n"/>
      <c r="L1150" s="56" t="n"/>
      <c r="M1150" s="56" t="n"/>
      <c r="N1150" s="56" t="n"/>
      <c r="O1150" s="57" t="n"/>
    </row>
    <row r="1151">
      <c r="C1151" s="50" t="n"/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2" t="n"/>
    </row>
    <row r="1152">
      <c r="C1152" s="58" t="n"/>
      <c r="D1152" s="58" t="n"/>
      <c r="E1152" s="58" t="n"/>
      <c r="F1152" s="58" t="n"/>
      <c r="G1152" s="58" t="n"/>
      <c r="H1152" s="58" t="n"/>
      <c r="I1152" s="58" t="n"/>
      <c r="J1152" s="58" t="n"/>
      <c r="K1152" s="58" t="n"/>
      <c r="L1152" s="58" t="n"/>
      <c r="M1152" s="58" t="n"/>
      <c r="N1152" s="58" t="n"/>
      <c r="O1152" s="59" t="n"/>
    </row>
    <row r="1153">
      <c r="C1153" s="60" t="n"/>
      <c r="D1153" s="36" t="n"/>
      <c r="E1153" s="36" t="n"/>
      <c r="F1153" s="36" t="n"/>
      <c r="G1153" s="36" t="n"/>
      <c r="H1153" s="36" t="n"/>
      <c r="I1153" s="36" t="n"/>
      <c r="J1153" s="36" t="n"/>
      <c r="K1153" s="36" t="n"/>
      <c r="L1153" s="36" t="n"/>
      <c r="M1153" s="36" t="n"/>
      <c r="N1153" s="22" t="n"/>
    </row>
    <row r="1154">
      <c r="C1154" s="3" t="n"/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</row>
    <row r="1155" ht="19" customHeight="1">
      <c r="C1155" s="46">
        <f>"▸  7.3  "&amp;IF(LANG="EN","Revenue by Products","CA par catégorie")</f>
        <v/>
      </c>
      <c r="D1155" s="47" t="n"/>
      <c r="E1155" s="47" t="n"/>
      <c r="F1155" s="47" t="n"/>
      <c r="G1155" s="47" t="n"/>
      <c r="H1155" s="47" t="n"/>
      <c r="I1155" s="47" t="n"/>
      <c r="J1155" s="47" t="n"/>
      <c r="K1155" s="47" t="n"/>
      <c r="L1155" s="47" t="n"/>
      <c r="M1155" s="47" t="n"/>
      <c r="N1155" s="48" t="n"/>
      <c r="O1155" s="1" t="n"/>
    </row>
    <row r="1156">
      <c r="C1156" s="80" t="inlineStr">
        <is>
          <t>Catégorie / Category</t>
        </is>
      </c>
      <c r="D1156" s="62" t="inlineStr">
        <is>
          <t>CA / Sales</t>
        </is>
      </c>
      <c r="E1156" s="62" t="inlineStr">
        <is>
          <t>Part / Share</t>
        </is>
      </c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2" t="n"/>
    </row>
    <row r="1157">
      <c r="C1157" s="82" t="inlineStr">
        <is>
          <t>Alimentaire / Grocery</t>
        </is>
      </c>
      <c r="D1157" s="83" t="n">
        <v>420000000</v>
      </c>
      <c r="E1157" s="86" t="n">
        <v>0.32</v>
      </c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2" t="n"/>
    </row>
    <row r="1158">
      <c r="C1158" s="82" t="inlineStr">
        <is>
          <t>Mode / Fashion</t>
        </is>
      </c>
      <c r="D1158" s="83" t="n">
        <v>338000000</v>
      </c>
      <c r="E1158" s="86" t="n">
        <v>0.26</v>
      </c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2" t="n"/>
    </row>
    <row r="1159">
      <c r="C1159" s="82" t="inlineStr">
        <is>
          <t>Restauration / F&amp;B</t>
        </is>
      </c>
      <c r="D1159" s="83" t="n">
        <v>234000000</v>
      </c>
      <c r="E1159" s="86" t="n">
        <v>0.18</v>
      </c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2" t="n"/>
    </row>
    <row r="1160">
      <c r="C1160" s="82" t="inlineStr">
        <is>
          <t>Électronique / Electronics</t>
        </is>
      </c>
      <c r="D1160" s="83" t="n">
        <v>156000000</v>
      </c>
      <c r="E1160" s="86" t="n">
        <v>0.12</v>
      </c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2" t="n"/>
    </row>
    <row r="1161">
      <c r="C1161" s="82" t="inlineStr">
        <is>
          <t>Loisirs / Leisure</t>
        </is>
      </c>
      <c r="D1161" s="83" t="n">
        <v>104000000</v>
      </c>
      <c r="E1161" s="86" t="n">
        <v>0.08</v>
      </c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2" t="n"/>
    </row>
    <row r="1162">
      <c r="C1162" s="82" t="inlineStr">
        <is>
          <t>Services</t>
        </is>
      </c>
      <c r="D1162" s="83" t="n">
        <v>48000000</v>
      </c>
      <c r="E1162" s="86" t="n">
        <v>0.04</v>
      </c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2" t="n"/>
    </row>
    <row r="1163">
      <c r="C1163" s="50" t="n"/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2" t="n"/>
    </row>
    <row r="1164">
      <c r="C1164" s="50" t="n"/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2" t="n"/>
    </row>
    <row r="1165">
      <c r="C1165" s="50" t="n"/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2" t="n"/>
    </row>
    <row r="1166">
      <c r="C1166" s="50" t="n"/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2" t="n"/>
    </row>
    <row r="1167">
      <c r="C1167" s="50" t="n"/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2" t="n"/>
    </row>
    <row r="1168">
      <c r="C1168" s="50" t="n"/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2" t="n"/>
    </row>
    <row r="1169">
      <c r="C1169" s="50" t="n"/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2" t="n"/>
    </row>
    <row r="1170">
      <c r="C1170" s="50" t="n"/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2" t="n"/>
    </row>
    <row r="1171">
      <c r="C1171" s="53">
        <f>"💬 "&amp;IFERROR(IF(LANG="EN",INDEX(I18N_EN,MATCH("col.comment",I18N_KEY,0)),INDEX(I18N_FR,MATCH("col.comment",I18N_KEY,0))),"col.comment")</f>
        <v/>
      </c>
      <c r="D1171" s="5" t="n"/>
      <c r="E1171" s="5" t="n"/>
      <c r="F1171" s="5" t="n"/>
      <c r="G1171" s="5" t="n"/>
      <c r="H1171" s="5" t="n"/>
      <c r="I1171" s="5" t="n"/>
      <c r="J1171" s="5" t="n"/>
      <c r="K1171" s="5" t="n"/>
      <c r="L1171" s="5" t="n"/>
      <c r="M1171" s="5" t="n"/>
      <c r="N1171" s="54" t="n"/>
      <c r="O1171" s="5" t="n"/>
    </row>
    <row r="1172">
      <c r="C1172" s="55">
        <f>IF(LANG="EN","Commentary / data source: management systems (demo).","Commentaire / source : systèmes de gestion (démo).")</f>
        <v/>
      </c>
      <c r="D1172" s="56" t="n"/>
      <c r="E1172" s="56" t="n"/>
      <c r="F1172" s="56" t="n"/>
      <c r="G1172" s="56" t="n"/>
      <c r="H1172" s="56" t="n"/>
      <c r="I1172" s="56" t="n"/>
      <c r="J1172" s="56" t="n"/>
      <c r="K1172" s="56" t="n"/>
      <c r="L1172" s="56" t="n"/>
      <c r="M1172" s="56" t="n"/>
      <c r="N1172" s="56" t="n"/>
      <c r="O1172" s="57" t="n"/>
    </row>
    <row r="1173">
      <c r="C1173" s="50" t="n"/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2" t="n"/>
    </row>
    <row r="1174">
      <c r="C1174" s="58" t="n"/>
      <c r="D1174" s="58" t="n"/>
      <c r="E1174" s="58" t="n"/>
      <c r="F1174" s="58" t="n"/>
      <c r="G1174" s="58" t="n"/>
      <c r="H1174" s="58" t="n"/>
      <c r="I1174" s="58" t="n"/>
      <c r="J1174" s="58" t="n"/>
      <c r="K1174" s="58" t="n"/>
      <c r="L1174" s="58" t="n"/>
      <c r="M1174" s="58" t="n"/>
      <c r="N1174" s="58" t="n"/>
      <c r="O1174" s="59" t="n"/>
    </row>
    <row r="1175">
      <c r="C1175" s="60" t="n"/>
      <c r="D1175" s="36" t="n"/>
      <c r="E1175" s="36" t="n"/>
      <c r="F1175" s="36" t="n"/>
      <c r="G1175" s="36" t="n"/>
      <c r="H1175" s="36" t="n"/>
      <c r="I1175" s="36" t="n"/>
      <c r="J1175" s="36" t="n"/>
      <c r="K1175" s="36" t="n"/>
      <c r="L1175" s="36" t="n"/>
      <c r="M1175" s="36" t="n"/>
      <c r="N1175" s="22" t="n"/>
    </row>
    <row r="1176">
      <c r="C1176" s="3" t="n"/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</row>
    <row r="1177" ht="19" customHeight="1">
      <c r="C1177" s="46">
        <f>"▸  7.4  "&amp;IF(LANG="EN","Sales Management","Gestion commerciale")</f>
        <v/>
      </c>
      <c r="D1177" s="47" t="n"/>
      <c r="E1177" s="47" t="n"/>
      <c r="F1177" s="47" t="n"/>
      <c r="G1177" s="47" t="n"/>
      <c r="H1177" s="47" t="n"/>
      <c r="I1177" s="47" t="n"/>
      <c r="J1177" s="47" t="n"/>
      <c r="K1177" s="47" t="n"/>
      <c r="L1177" s="47" t="n"/>
      <c r="M1177" s="47" t="n"/>
      <c r="N1177" s="48" t="n"/>
      <c r="O1177" s="1" t="n"/>
    </row>
    <row r="1178">
      <c r="C1178" s="53">
        <f>"💬 "&amp;IFERROR(IF(LANG="EN",INDEX(I18N_EN,MATCH("col.comment",I18N_KEY,0)),INDEX(I18N_FR,MATCH("col.comment",I18N_KEY,0))),"col.comment")</f>
        <v/>
      </c>
      <c r="D1178" s="5" t="n"/>
      <c r="E1178" s="5" t="n"/>
      <c r="F1178" s="5" t="n"/>
      <c r="G1178" s="5" t="n"/>
      <c r="H1178" s="5" t="n"/>
      <c r="I1178" s="5" t="n"/>
      <c r="J1178" s="5" t="n"/>
      <c r="K1178" s="5" t="n"/>
      <c r="L1178" s="5" t="n"/>
      <c r="M1178" s="5" t="n"/>
      <c r="N1178" s="54" t="n"/>
      <c r="O1178" s="5" t="n"/>
    </row>
    <row r="1179">
      <c r="C1179" s="55">
        <f>IF(LANG="EN","Commentary.","Commentaire.")</f>
        <v/>
      </c>
      <c r="D1179" s="56" t="n"/>
      <c r="E1179" s="56" t="n"/>
      <c r="F1179" s="56" t="n"/>
      <c r="G1179" s="56" t="n"/>
      <c r="H1179" s="56" t="n"/>
      <c r="I1179" s="56" t="n"/>
      <c r="J1179" s="56" t="n"/>
      <c r="K1179" s="56" t="n"/>
      <c r="L1179" s="56" t="n"/>
      <c r="M1179" s="56" t="n"/>
      <c r="N1179" s="56" t="n"/>
      <c r="O1179" s="57" t="n"/>
    </row>
    <row r="1180">
      <c r="C1180" s="50" t="n"/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2" t="n"/>
    </row>
    <row r="1181">
      <c r="C1181" s="58" t="n"/>
      <c r="D1181" s="58" t="n"/>
      <c r="E1181" s="58" t="n"/>
      <c r="F1181" s="58" t="n"/>
      <c r="G1181" s="58" t="n"/>
      <c r="H1181" s="58" t="n"/>
      <c r="I1181" s="58" t="n"/>
      <c r="J1181" s="58" t="n"/>
      <c r="K1181" s="58" t="n"/>
      <c r="L1181" s="58" t="n"/>
      <c r="M1181" s="58" t="n"/>
      <c r="N1181" s="58" t="n"/>
      <c r="O1181" s="59" t="n"/>
    </row>
    <row r="1182">
      <c r="C1182" s="60" t="n"/>
      <c r="D1182" s="36" t="n"/>
      <c r="E1182" s="36" t="n"/>
      <c r="F1182" s="36" t="n"/>
      <c r="G1182" s="36" t="n"/>
      <c r="H1182" s="36" t="n"/>
      <c r="I1182" s="36" t="n"/>
      <c r="J1182" s="36" t="n"/>
      <c r="K1182" s="36" t="n"/>
      <c r="L1182" s="36" t="n"/>
      <c r="M1182" s="36" t="n"/>
      <c r="N1182" s="22" t="n"/>
    </row>
    <row r="1183">
      <c r="C1183" s="3" t="n"/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</row>
    <row r="1184" ht="19" customHeight="1">
      <c r="C1184" s="46">
        <f>"▸  7.4.1  "&amp;IF(LANG="EN","Sales Metrics","Indicateurs de vente")</f>
        <v/>
      </c>
      <c r="D1184" s="47" t="n"/>
      <c r="E1184" s="47" t="n"/>
      <c r="F1184" s="47" t="n"/>
      <c r="G1184" s="47" t="n"/>
      <c r="H1184" s="47" t="n"/>
      <c r="I1184" s="47" t="n"/>
      <c r="J1184" s="47" t="n"/>
      <c r="K1184" s="47" t="n"/>
      <c r="L1184" s="47" t="n"/>
      <c r="M1184" s="47" t="n"/>
      <c r="N1184" s="48" t="n"/>
      <c r="O1184" s="1" t="n"/>
    </row>
    <row r="1185">
      <c r="C1185" s="61">
        <f>IFERROR(IF(LANG="EN",INDEX(I18N_EN,MATCH("col.kpi",I18N_KEY,0)),INDEX(I18N_FR,MATCH("col.kpi",I18N_KEY,0))),"col.kpi")</f>
        <v/>
      </c>
      <c r="D1185" s="62">
        <f>IFERROR(IF(LANG="EN",INDEX(I18N_EN,MATCH("col.unit",I18N_KEY,0)),INDEX(I18N_FR,MATCH("col.unit",I18N_KEY,0))),"col.unit")</f>
        <v/>
      </c>
      <c r="E1185" s="62">
        <f>IFERROR(IF(LANG="EN",INDEX(I18N_EN,MATCH("col.current",I18N_KEY,0)),INDEX(I18N_FR,MATCH("col.current",I18N_KEY,0))),"col.current")</f>
        <v/>
      </c>
      <c r="F1185" s="62">
        <f>IFERROR(IF(LANG="EN",INDEX(I18N_EN,MATCH("col.prev",I18N_KEY,0)),INDEX(I18N_FR,MATCH("col.prev",I18N_KEY,0))),"col.prev")</f>
        <v/>
      </c>
      <c r="G1185" s="62">
        <f>IFERROR(IF(LANG="EN",INDEX(I18N_EN,MATCH("col.delta_prev",I18N_KEY,0)),INDEX(I18N_FR,MATCH("col.delta_prev",I18N_KEY,0))),"col.delta_prev")</f>
        <v/>
      </c>
      <c r="H1185" s="62">
        <f>IFERROR(IF(LANG="EN",INDEX(I18N_EN,MATCH("col.py",I18N_KEY,0)),INDEX(I18N_FR,MATCH("col.py",I18N_KEY,0))),"col.py")</f>
        <v/>
      </c>
      <c r="I1185" s="62">
        <f>IFERROR(IF(LANG="EN",INDEX(I18N_EN,MATCH("col.delta_py",I18N_KEY,0)),INDEX(I18N_FR,MATCH("col.delta_py",I18N_KEY,0))),"col.delta_py")</f>
        <v/>
      </c>
      <c r="J1185" s="62">
        <f>IFERROR(IF(LANG="EN",INDEX(I18N_EN,MATCH("col.budget",I18N_KEY,0)),INDEX(I18N_FR,MATCH("col.budget",I18N_KEY,0))),"col.budget")</f>
        <v/>
      </c>
      <c r="K1185" s="62">
        <f>IFERROR(IF(LANG="EN",INDEX(I18N_EN,MATCH("col.var",I18N_KEY,0)),INDEX(I18N_FR,MATCH("col.var",I18N_KEY,0))),"col.var")</f>
        <v/>
      </c>
      <c r="L1185" s="62">
        <f>IFERROR(IF(LANG="EN",INDEX(I18N_EN,MATCH("col.rag",I18N_KEY,0)),INDEX(I18N_FR,MATCH("col.rag",I18N_KEY,0))),"col.rag")</f>
        <v/>
      </c>
      <c r="M1185" s="3" t="n"/>
      <c r="N1185" s="32" t="n"/>
    </row>
    <row r="1186">
      <c r="C1186" s="63">
        <f>IFERROR(IF(LANG="EN",INDEX(I18N_EN,MATCH("kpi.com.new_leases",I18N_KEY,0)),INDEX(I18N_FR,MATCH("kpi.com.new_leases",I18N_KEY,0))),"kpi.com.new_leases")</f>
        <v/>
      </c>
      <c r="D1186" s="64" t="inlineStr">
        <is>
          <t>nb</t>
        </is>
      </c>
      <c r="E1186" s="65">
        <f>IFERROR((SUMIFS('M3 · Base mensuelle'!$D$72:$AM$72,HDR,"&gt;="&amp;P_START,HDR,"&lt;="&amp;P_END)),"")</f>
        <v/>
      </c>
      <c r="F1186" s="65">
        <f>IFERROR((SUMIFS('M3 · Base mensuelle'!$D$72:$AM$72,HDR,"&gt;="&amp;PP_START,HDR,"&lt;="&amp;PP_END)),"")</f>
        <v/>
      </c>
      <c r="G1186" s="66">
        <f>IFERROR((E1186)/(F1186)-1,"")</f>
        <v/>
      </c>
      <c r="H1186" s="65">
        <f>IFERROR((SUMIFS('M3 · Base mensuelle'!$D$72:$AM$72,HDR,"&gt;="&amp;PY_START,HDR,"&lt;="&amp;PY_END)),"")</f>
        <v/>
      </c>
      <c r="I1186" s="66">
        <f>IFERROR((E1186)/(H1186)-1,"")</f>
        <v/>
      </c>
      <c r="J1186" s="65">
        <f>IFERROR((SUMPRODUCT((BUD_MONTHS&gt;=MONTH(P_START))*(BUD_MONTHS&lt;=MONTH(P_END))*'M1 · Paramètres'!$H$73:$S$73)),"")</f>
        <v/>
      </c>
      <c r="K1186" s="66">
        <f>IFERROR((E1186)/(J1186)-1,"")</f>
        <v/>
      </c>
      <c r="L1186" s="68">
        <f>IF(O1186="","",IF(O1186="green",IFERROR(IF(LANG="EN",INDEX(I18N_EN,MATCH("rag.green",I18N_KEY,0)),INDEX(I18N_FR,MATCH("rag.green",I18N_KEY,0))),"rag.green"),IF(O1186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86" s="3" t="n"/>
      <c r="N1186" s="32" t="n"/>
      <c r="O1186" s="69">
        <f>IFERROR(IF(IF(N(J1186)&gt;0,J1186,H1186)=0,"",IF(INDEX(RAG_SENS,MATCH("kpi.com.new_leases",RAG_KEY,0))="UP",IF((E1186/IF(N(J1186)&gt;0,J1186,H1186))&gt;=INDEX(RAG_SV,MATCH("kpi.com.new_leases",RAG_KEY,0)),"green",IF((E1186/IF(N(J1186)&gt;0,J1186,H1186))&gt;=INDEX(RAG_SA,MATCH("kpi.com.new_leases",RAG_KEY,0)),"amber","red")),IF((E1186/IF(N(J1186)&gt;0,J1186,H1186))&lt;=INDEX(RAG_SV,MATCH("kpi.com.new_leases",RAG_KEY,0)),"green",IF((E1186/IF(N(J1186)&gt;0,J1186,H1186))&lt;=INDEX(RAG_SA,MATCH("kpi.com.new_leases",RAG_KEY,0)),"amber","red")))),"")</f>
        <v/>
      </c>
    </row>
    <row r="1187">
      <c r="C1187" s="63">
        <f>IFERROR(IF(LANG="EN",INDEX(I18N_EN,MATCH("kpi.com.leases_renewed",I18N_KEY,0)),INDEX(I18N_FR,MATCH("kpi.com.leases_renewed",I18N_KEY,0))),"kpi.com.leases_renewed")</f>
        <v/>
      </c>
      <c r="D1187" s="64" t="inlineStr">
        <is>
          <t>nb</t>
        </is>
      </c>
      <c r="E1187" s="65">
        <f>IFERROR((SUMIFS('M3 · Base mensuelle'!$D$74:$AM$74,HDR,"&gt;="&amp;P_START,HDR,"&lt;="&amp;P_END)),"")</f>
        <v/>
      </c>
      <c r="F1187" s="65">
        <f>IFERROR((SUMIFS('M3 · Base mensuelle'!$D$74:$AM$74,HDR,"&gt;="&amp;PP_START,HDR,"&lt;="&amp;PP_END)),"")</f>
        <v/>
      </c>
      <c r="G1187" s="66">
        <f>IFERROR((E1187)/(F1187)-1,"")</f>
        <v/>
      </c>
      <c r="H1187" s="65">
        <f>IFERROR((SUMIFS('M3 · Base mensuelle'!$D$74:$AM$74,HDR,"&gt;="&amp;PY_START,HDR,"&lt;="&amp;PY_END)),"")</f>
        <v/>
      </c>
      <c r="I1187" s="66">
        <f>IFERROR((E1187)/(H1187)-1,"")</f>
        <v/>
      </c>
      <c r="J1187" s="67" t="n"/>
      <c r="K1187" s="66">
        <f>IFERROR((E1187)/(J1187)-1,"")</f>
        <v/>
      </c>
      <c r="L1187" s="68">
        <f>IF(O1187="","",IF(O1187="green",IFERROR(IF(LANG="EN",INDEX(I18N_EN,MATCH("rag.green",I18N_KEY,0)),INDEX(I18N_FR,MATCH("rag.green",I18N_KEY,0))),"rag.green"),IF(O1187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87" s="3" t="n"/>
      <c r="N1187" s="32" t="n"/>
      <c r="O1187" s="69">
        <f>IFERROR(IF(IF(N(J1187)&gt;0,J1187,H1187)=0,"",IF(INDEX(RAG_SENS,MATCH("kpi.com.leases_renewed",RAG_KEY,0))="UP",IF((E1187/IF(N(J1187)&gt;0,J1187,H1187))&gt;=INDEX(RAG_SV,MATCH("kpi.com.leases_renewed",RAG_KEY,0)),"green",IF((E1187/IF(N(J1187)&gt;0,J1187,H1187))&gt;=INDEX(RAG_SA,MATCH("kpi.com.leases_renewed",RAG_KEY,0)),"amber","red")),IF((E1187/IF(N(J1187)&gt;0,J1187,H1187))&lt;=INDEX(RAG_SV,MATCH("kpi.com.leases_renewed",RAG_KEY,0)),"green",IF((E1187/IF(N(J1187)&gt;0,J1187,H1187))&lt;=INDEX(RAG_SA,MATCH("kpi.com.leases_renewed",RAG_KEY,0)),"amber","red")))),"")</f>
        <v/>
      </c>
    </row>
    <row r="1188">
      <c r="C1188" s="63">
        <f>IFERROR(IF(LANG="EN",INDEX(I18N_EN,MATCH("kpi.com.pipeline",I18N_KEY,0)),INDEX(I18N_FR,MATCH("kpi.com.pipeline",I18N_KEY,0))),"kpi.com.pipeline")</f>
        <v/>
      </c>
      <c r="D1188" s="64" t="inlineStr">
        <is>
          <t>FCFA</t>
        </is>
      </c>
      <c r="E1188" s="70">
        <f>IFERROR((INDEX('M3 · Base mensuelle'!$D$73:$AM$73,MATCH(P_END,HDR,0)))/1000000,"")</f>
        <v/>
      </c>
      <c r="F1188" s="70">
        <f>IFERROR((INDEX('M3 · Base mensuelle'!$D$73:$AM$73,MATCH(PP_END,HDR,0)))/1000000,"")</f>
        <v/>
      </c>
      <c r="G1188" s="66">
        <f>IFERROR((E1188)/(F1188)-1,"")</f>
        <v/>
      </c>
      <c r="H1188" s="70">
        <f>IFERROR((INDEX('M3 · Base mensuelle'!$D$73:$AM$73,MATCH(PY_END,HDR,0)))/1000000,"")</f>
        <v/>
      </c>
      <c r="I1188" s="66">
        <f>IFERROR((E1188)/(H1188)-1,"")</f>
        <v/>
      </c>
      <c r="J1188" s="70">
        <f>IFERROR((SUMPRODUCT((BUD_MONTHS&gt;=MONTH(P_START))*(BUD_MONTHS&lt;=MONTH(P_END))*'M1 · Paramètres'!$H$74:$S$74)/SUMPRODUCT((BUD_MONTHS&gt;=MONTH(P_START))*(BUD_MONTHS&lt;=MONTH(P_END))*1))/1000000,"")</f>
        <v/>
      </c>
      <c r="K1188" s="66">
        <f>IFERROR((E1188)/(J1188)-1,"")</f>
        <v/>
      </c>
      <c r="L1188" s="68">
        <f>IF(O1188="","",IF(O1188="green",IFERROR(IF(LANG="EN",INDEX(I18N_EN,MATCH("rag.green",I18N_KEY,0)),INDEX(I18N_FR,MATCH("rag.green",I18N_KEY,0))),"rag.green"),IF(O1188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88" s="3" t="n"/>
      <c r="N1188" s="32" t="n"/>
      <c r="O1188" s="69">
        <f>IFERROR(IF(IF(N(J1188)&gt;0,J1188,H1188)=0,"",IF(INDEX(RAG_SENS,MATCH("kpi.com.pipeline",RAG_KEY,0))="UP",IF((E1188/IF(N(J1188)&gt;0,J1188,H1188))&gt;=INDEX(RAG_SV,MATCH("kpi.com.pipeline",RAG_KEY,0)),"green",IF((E1188/IF(N(J1188)&gt;0,J1188,H1188))&gt;=INDEX(RAG_SA,MATCH("kpi.com.pipeline",RAG_KEY,0)),"amber","red")),IF((E1188/IF(N(J1188)&gt;0,J1188,H1188))&lt;=INDEX(RAG_SV,MATCH("kpi.com.pipeline",RAG_KEY,0)),"green",IF((E1188/IF(N(J1188)&gt;0,J1188,H1188))&lt;=INDEX(RAG_SA,MATCH("kpi.com.pipeline",RAG_KEY,0)),"amber","red")))),"")</f>
        <v/>
      </c>
    </row>
    <row r="1189">
      <c r="C1189" s="63">
        <f>IFERROR(IF(LANG="EN",INDEX(I18N_EN,MATCH("kpi.com.pipeline_conv",I18N_KEY,0)),INDEX(I18N_FR,MATCH("kpi.com.pipeline_conv",I18N_KEY,0))),"kpi.com.pipeline_conv")</f>
        <v/>
      </c>
      <c r="D1189" s="64" t="inlineStr">
        <is>
          <t>%</t>
        </is>
      </c>
      <c r="E1189" s="71">
        <f>IFERROR((AVERAGEIFS('M3 · Base mensuelle'!$D$75:$AM$75,HDR,"&gt;="&amp;P_START,HDR,"&lt;="&amp;P_END)),"")</f>
        <v/>
      </c>
      <c r="F1189" s="71">
        <f>IFERROR((AVERAGEIFS('M3 · Base mensuelle'!$D$75:$AM$75,HDR,"&gt;="&amp;PP_START,HDR,"&lt;="&amp;PP_END)),"")</f>
        <v/>
      </c>
      <c r="G1189" s="66">
        <f>IFERROR((E1189)/(F1189)-1,"")</f>
        <v/>
      </c>
      <c r="H1189" s="71">
        <f>IFERROR((AVERAGEIFS('M3 · Base mensuelle'!$D$75:$AM$75,HDR,"&gt;="&amp;PY_START,HDR,"&lt;="&amp;PY_END)),"")</f>
        <v/>
      </c>
      <c r="I1189" s="66">
        <f>IFERROR((E1189)/(H1189)-1,"")</f>
        <v/>
      </c>
      <c r="J1189" s="67" t="n"/>
      <c r="K1189" s="66">
        <f>IFERROR((E1189)/(J1189)-1,"")</f>
        <v/>
      </c>
      <c r="L1189" s="68">
        <f>IF(O1189="","",IF(O1189="green",IFERROR(IF(LANG="EN",INDEX(I18N_EN,MATCH("rag.green",I18N_KEY,0)),INDEX(I18N_FR,MATCH("rag.green",I18N_KEY,0))),"rag.green"),IF(O1189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89" s="3" t="n"/>
      <c r="N1189" s="32" t="n"/>
      <c r="O1189" s="69">
        <f>IFERROR(IF(IF(N(J1189)&gt;0,J1189,H1189)=0,"",IF(INDEX(RAG_SENS,MATCH("kpi.com.pipeline_conv",RAG_KEY,0))="UP",IF((E1189/IF(N(J1189)&gt;0,J1189,H1189))&gt;=INDEX(RAG_SV,MATCH("kpi.com.pipeline_conv",RAG_KEY,0)),"green",IF((E1189/IF(N(J1189)&gt;0,J1189,H1189))&gt;=INDEX(RAG_SA,MATCH("kpi.com.pipeline_conv",RAG_KEY,0)),"amber","red")),IF((E1189/IF(N(J1189)&gt;0,J1189,H1189))&lt;=INDEX(RAG_SV,MATCH("kpi.com.pipeline_conv",RAG_KEY,0)),"green",IF((E1189/IF(N(J1189)&gt;0,J1189,H1189))&lt;=INDEX(RAG_SA,MATCH("kpi.com.pipeline_conv",RAG_KEY,0)),"amber","red")))),"")</f>
        <v/>
      </c>
    </row>
    <row r="1190">
      <c r="C1190" s="63">
        <f>IFERROR(IF(LANG="EN",INDEX(I18N_EN,MATCH("kpi.com.discount",I18N_KEY,0)),INDEX(I18N_FR,MATCH("kpi.com.discount",I18N_KEY,0))),"kpi.com.discount")</f>
        <v/>
      </c>
      <c r="D1190" s="64" t="inlineStr">
        <is>
          <t>%</t>
        </is>
      </c>
      <c r="E1190" s="71">
        <f>IFERROR((AVERAGEIFS('M3 · Base mensuelle'!$D$86:$AM$86,HDR,"&gt;="&amp;P_START,HDR,"&lt;="&amp;P_END)),"")</f>
        <v/>
      </c>
      <c r="F1190" s="71">
        <f>IFERROR((AVERAGEIFS('M3 · Base mensuelle'!$D$86:$AM$86,HDR,"&gt;="&amp;PP_START,HDR,"&lt;="&amp;PP_END)),"")</f>
        <v/>
      </c>
      <c r="G1190" s="66">
        <f>IFERROR((E1190)/(F1190)-1,"")</f>
        <v/>
      </c>
      <c r="H1190" s="71">
        <f>IFERROR((AVERAGEIFS('M3 · Base mensuelle'!$D$86:$AM$86,HDR,"&gt;="&amp;PY_START,HDR,"&lt;="&amp;PY_END)),"")</f>
        <v/>
      </c>
      <c r="I1190" s="66">
        <f>IFERROR((E1190)/(H1190)-1,"")</f>
        <v/>
      </c>
      <c r="J1190" s="67" t="n"/>
      <c r="K1190" s="66">
        <f>IFERROR((E1190)/(J1190)-1,"")</f>
        <v/>
      </c>
      <c r="L1190" s="68">
        <f>IF(O1190="","",IF(O1190="green",IFERROR(IF(LANG="EN",INDEX(I18N_EN,MATCH("rag.green",I18N_KEY,0)),INDEX(I18N_FR,MATCH("rag.green",I18N_KEY,0))),"rag.green"),IF(O1190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190" s="3" t="n"/>
      <c r="N1190" s="32" t="n"/>
      <c r="O1190" s="69">
        <f>IFERROR(IF(IF(N(J1190)&gt;0,J1190,H1190)=0,"",IF(INDEX(RAG_SENS,MATCH("kpi.com.discount",RAG_KEY,0))="UP",IF((E1190/IF(N(J1190)&gt;0,J1190,H1190))&gt;=INDEX(RAG_SV,MATCH("kpi.com.discount",RAG_KEY,0)),"green",IF((E1190/IF(N(J1190)&gt;0,J1190,H1190))&gt;=INDEX(RAG_SA,MATCH("kpi.com.discount",RAG_KEY,0)),"amber","red")),IF((E1190/IF(N(J1190)&gt;0,J1190,H1190))&lt;=INDEX(RAG_SV,MATCH("kpi.com.discount",RAG_KEY,0)),"green",IF((E1190/IF(N(J1190)&gt;0,J1190,H1190))&lt;=INDEX(RAG_SA,MATCH("kpi.com.discount",RAG_KEY,0)),"amber","red")))),"")</f>
        <v/>
      </c>
    </row>
    <row r="1191">
      <c r="C1191" s="72">
        <f>"◆ "&amp;IFERROR(IF(LANG="EN",INDEX(I18N_EN,MATCH("msg.highlights",I18N_KEY,0)),INDEX(I18N_FR,MATCH("msg.highlights",I18N_KEY,0))),"msg.highlights")</f>
        <v/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2" t="n"/>
    </row>
    <row r="1192">
      <c r="C1192" s="73">
        <f>IFERROR("▲ "&amp;INDEX(C1186:C1190,MATCH(MAX(G1186:G1190),G1186:G1190,0))&amp;"   "&amp;TEXT(MAX(G1186:G1190),"+0.0%;-0.0%"),"")</f>
        <v/>
      </c>
      <c r="D1192" s="3" t="n"/>
      <c r="E1192" s="3" t="n"/>
      <c r="F1192" s="3" t="n"/>
      <c r="G1192" s="3" t="n"/>
      <c r="H1192" s="3" t="n"/>
      <c r="I1192" s="74">
        <f>IFERROR("▼ "&amp;INDEX(C1186:C1190,MATCH(MIN(G1186:G1190),G1186:G1190,0))&amp;"   "&amp;TEXT(MIN(G1186:G1190),"+0.0%;-0.0%"),"")</f>
        <v/>
      </c>
      <c r="J1192" s="3" t="n"/>
      <c r="K1192" s="3" t="n"/>
      <c r="L1192" s="3" t="n"/>
      <c r="M1192" s="3" t="n"/>
      <c r="N1192" s="32" t="n"/>
    </row>
    <row r="1193">
      <c r="C1193" s="53">
        <f>"💬 "&amp;IFERROR(IF(LANG="EN",INDEX(I18N_EN,MATCH("col.comment",I18N_KEY,0)),INDEX(I18N_FR,MATCH("col.comment",I18N_KEY,0))),"col.comment")</f>
        <v/>
      </c>
      <c r="D1193" s="5" t="n"/>
      <c r="E1193" s="5" t="n"/>
      <c r="F1193" s="5" t="n"/>
      <c r="G1193" s="5" t="n"/>
      <c r="H1193" s="5" t="n"/>
      <c r="I1193" s="5" t="n"/>
      <c r="J1193" s="5" t="n"/>
      <c r="K1193" s="5" t="n"/>
      <c r="L1193" s="5" t="n"/>
      <c r="M1193" s="5" t="n"/>
      <c r="N1193" s="54" t="n"/>
      <c r="O1193" s="5" t="n"/>
    </row>
    <row r="1194">
      <c r="C1194" s="75">
        <f>IF('C6 · Commercial'!$D$33&lt;&gt;"",'C6 · Commercial'!$D$33,IFERROR(SUBSTITUTE(SUBSTITUTE(IF(G1186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com.new_leases",I18N_KEY,0)),INDEX(I18N_FR,MATCH("kpi.com.new_leases",I18N_KEY,0))),"kpi.com.new_leases")),"{delta}",TEXT(ABS(G1186),"0.0%")),""))</f>
        <v/>
      </c>
      <c r="D1194" s="56" t="n"/>
      <c r="E1194" s="56" t="n"/>
      <c r="F1194" s="56" t="n"/>
      <c r="G1194" s="56" t="n"/>
      <c r="H1194" s="56" t="n"/>
      <c r="I1194" s="56" t="n"/>
      <c r="J1194" s="56" t="n"/>
      <c r="K1194" s="56" t="n"/>
      <c r="L1194" s="56" t="n"/>
      <c r="M1194" s="56" t="n"/>
      <c r="N1194" s="56" t="n"/>
      <c r="O1194" s="57" t="n"/>
    </row>
    <row r="1195">
      <c r="C1195" s="50" t="n"/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2" t="n"/>
    </row>
    <row r="1196">
      <c r="C1196" s="58" t="n"/>
      <c r="D1196" s="58" t="n"/>
      <c r="E1196" s="58" t="n"/>
      <c r="F1196" s="58" t="n"/>
      <c r="G1196" s="58" t="n"/>
      <c r="H1196" s="58" t="n"/>
      <c r="I1196" s="58" t="n"/>
      <c r="J1196" s="58" t="n"/>
      <c r="K1196" s="58" t="n"/>
      <c r="L1196" s="58" t="n"/>
      <c r="M1196" s="58" t="n"/>
      <c r="N1196" s="58" t="n"/>
      <c r="O1196" s="59" t="n"/>
    </row>
    <row r="1197">
      <c r="C1197" s="60" t="n"/>
      <c r="D1197" s="36" t="n"/>
      <c r="E1197" s="36" t="n"/>
      <c r="F1197" s="36" t="n"/>
      <c r="G1197" s="36" t="n"/>
      <c r="H1197" s="36" t="n"/>
      <c r="I1197" s="36" t="n"/>
      <c r="J1197" s="36" t="n"/>
      <c r="K1197" s="36" t="n"/>
      <c r="L1197" s="36" t="n"/>
      <c r="M1197" s="36" t="n"/>
      <c r="N1197" s="22" t="n"/>
    </row>
    <row r="1198">
      <c r="C1198" s="3" t="n"/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</row>
    <row r="1199" ht="19" customHeight="1">
      <c r="C1199" s="46">
        <f>"▸  7.4.2  "&amp;IF(LANG="EN","Business Opportunities","Opportunités d'affaires")</f>
        <v/>
      </c>
      <c r="D1199" s="47" t="n"/>
      <c r="E1199" s="47" t="n"/>
      <c r="F1199" s="47" t="n"/>
      <c r="G1199" s="47" t="n"/>
      <c r="H1199" s="47" t="n"/>
      <c r="I1199" s="47" t="n"/>
      <c r="J1199" s="47" t="n"/>
      <c r="K1199" s="47" t="n"/>
      <c r="L1199" s="47" t="n"/>
      <c r="M1199" s="47" t="n"/>
      <c r="N1199" s="48" t="n"/>
      <c r="O1199" s="1" t="n"/>
    </row>
    <row r="1200">
      <c r="C1200" s="80" t="inlineStr">
        <is>
          <t>Opportunité / Opportunity</t>
        </is>
      </c>
      <c r="D1200" s="62" t="inlineStr">
        <is>
          <t>Valeur / Value</t>
        </is>
      </c>
      <c r="E1200" s="81" t="inlineStr">
        <is>
          <t>Étape / Stage</t>
        </is>
      </c>
      <c r="F1200" s="62" t="inlineStr">
        <is>
          <t>Proba</t>
        </is>
      </c>
      <c r="G1200" s="3" t="n"/>
      <c r="H1200" s="3" t="n"/>
      <c r="I1200" s="3" t="n"/>
      <c r="J1200" s="3" t="n"/>
      <c r="K1200" s="3" t="n"/>
      <c r="L1200" s="3" t="n"/>
      <c r="M1200" s="3" t="n"/>
      <c r="N1200" s="32" t="n"/>
    </row>
    <row r="1201">
      <c r="C1201" s="82" t="inlineStr">
        <is>
          <t>Régie pub 2027 / Media 2027</t>
        </is>
      </c>
      <c r="D1201" s="83" t="n">
        <v>60000000</v>
      </c>
      <c r="E1201" s="84" t="inlineStr">
        <is>
          <t>Proposition / Proposal</t>
        </is>
      </c>
      <c r="F1201" s="86" t="n">
        <v>0.5</v>
      </c>
      <c r="G1201" s="3" t="n"/>
      <c r="H1201" s="3" t="n"/>
      <c r="I1201" s="3" t="n"/>
      <c r="J1201" s="3" t="n"/>
      <c r="K1201" s="3" t="n"/>
      <c r="L1201" s="3" t="n"/>
      <c r="M1201" s="3" t="n"/>
      <c r="N1201" s="32" t="n"/>
    </row>
    <row r="1202">
      <c r="C1202" s="82" t="inlineStr">
        <is>
          <t>Naming food court</t>
        </is>
      </c>
      <c r="D1202" s="83" t="n">
        <v>35000000</v>
      </c>
      <c r="E1202" s="84" t="inlineStr">
        <is>
          <t>Négociation / Negotiation</t>
        </is>
      </c>
      <c r="F1202" s="86" t="n">
        <v>0.6</v>
      </c>
      <c r="G1202" s="3" t="n"/>
      <c r="H1202" s="3" t="n"/>
      <c r="I1202" s="3" t="n"/>
      <c r="J1202" s="3" t="n"/>
      <c r="K1202" s="3" t="n"/>
      <c r="L1202" s="3" t="n"/>
      <c r="M1202" s="3" t="n"/>
      <c r="N1202" s="32" t="n"/>
    </row>
    <row r="1203">
      <c r="C1203" s="82" t="inlineStr">
        <is>
          <t>Sponsor concert / Concert sponsor</t>
        </is>
      </c>
      <c r="D1203" s="83" t="n">
        <v>18000000</v>
      </c>
      <c r="E1203" s="84" t="inlineStr">
        <is>
          <t>Qualifié / Qualified</t>
        </is>
      </c>
      <c r="F1203" s="86" t="n">
        <v>0.4</v>
      </c>
      <c r="G1203" s="3" t="n"/>
      <c r="H1203" s="3" t="n"/>
      <c r="I1203" s="3" t="n"/>
      <c r="J1203" s="3" t="n"/>
      <c r="K1203" s="3" t="n"/>
      <c r="L1203" s="3" t="n"/>
      <c r="M1203" s="3" t="n"/>
      <c r="N1203" s="32" t="n"/>
    </row>
    <row r="1204">
      <c r="C1204" s="82" t="inlineStr">
        <is>
          <t>Partenariat banque / Bank partner</t>
        </is>
      </c>
      <c r="D1204" s="83" t="n">
        <v>24000000</v>
      </c>
      <c r="E1204" s="84" t="inlineStr">
        <is>
          <t>STP</t>
        </is>
      </c>
      <c r="F1204" s="86" t="n">
        <v>0.7</v>
      </c>
      <c r="G1204" s="3" t="n"/>
      <c r="H1204" s="3" t="n"/>
      <c r="I1204" s="3" t="n"/>
      <c r="J1204" s="3" t="n"/>
      <c r="K1204" s="3" t="n"/>
      <c r="L1204" s="3" t="n"/>
      <c r="M1204" s="3" t="n"/>
      <c r="N1204" s="32" t="n"/>
    </row>
    <row r="1205">
      <c r="C1205" s="50" t="n"/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2" t="n"/>
    </row>
    <row r="1206">
      <c r="C1206" s="50" t="n"/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2" t="n"/>
    </row>
    <row r="1207">
      <c r="C1207" s="50" t="n"/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2" t="n"/>
    </row>
    <row r="1208">
      <c r="C1208" s="50" t="n"/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2" t="n"/>
    </row>
    <row r="1209">
      <c r="C1209" s="50" t="n"/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2" t="n"/>
    </row>
    <row r="1210">
      <c r="C1210" s="50" t="n"/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2" t="n"/>
    </row>
    <row r="1211">
      <c r="C1211" s="50" t="n"/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2" t="n"/>
    </row>
    <row r="1212">
      <c r="C1212" s="50" t="n"/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2" t="n"/>
    </row>
    <row r="1213">
      <c r="C1213" s="53">
        <f>"💬 "&amp;IFERROR(IF(LANG="EN",INDEX(I18N_EN,MATCH("col.comment",I18N_KEY,0)),INDEX(I18N_FR,MATCH("col.comment",I18N_KEY,0))),"col.comment")</f>
        <v/>
      </c>
      <c r="D1213" s="5" t="n"/>
      <c r="E1213" s="5" t="n"/>
      <c r="F1213" s="5" t="n"/>
      <c r="G1213" s="5" t="n"/>
      <c r="H1213" s="5" t="n"/>
      <c r="I1213" s="5" t="n"/>
      <c r="J1213" s="5" t="n"/>
      <c r="K1213" s="5" t="n"/>
      <c r="L1213" s="5" t="n"/>
      <c r="M1213" s="5" t="n"/>
      <c r="N1213" s="54" t="n"/>
      <c r="O1213" s="5" t="n"/>
    </row>
    <row r="1214">
      <c r="C1214" s="55">
        <f>IF(LANG="EN","Commentary / data source: management systems (demo).","Commentaire / source : systèmes de gestion (démo).")</f>
        <v/>
      </c>
      <c r="D1214" s="56" t="n"/>
      <c r="E1214" s="56" t="n"/>
      <c r="F1214" s="56" t="n"/>
      <c r="G1214" s="56" t="n"/>
      <c r="H1214" s="56" t="n"/>
      <c r="I1214" s="56" t="n"/>
      <c r="J1214" s="56" t="n"/>
      <c r="K1214" s="56" t="n"/>
      <c r="L1214" s="56" t="n"/>
      <c r="M1214" s="56" t="n"/>
      <c r="N1214" s="56" t="n"/>
      <c r="O1214" s="57" t="n"/>
    </row>
    <row r="1215">
      <c r="C1215" s="50" t="n"/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2" t="n"/>
    </row>
    <row r="1216">
      <c r="C1216" s="58" t="n"/>
      <c r="D1216" s="58" t="n"/>
      <c r="E1216" s="58" t="n"/>
      <c r="F1216" s="58" t="n"/>
      <c r="G1216" s="58" t="n"/>
      <c r="H1216" s="58" t="n"/>
      <c r="I1216" s="58" t="n"/>
      <c r="J1216" s="58" t="n"/>
      <c r="K1216" s="58" t="n"/>
      <c r="L1216" s="58" t="n"/>
      <c r="M1216" s="58" t="n"/>
      <c r="N1216" s="58" t="n"/>
      <c r="O1216" s="59" t="n"/>
    </row>
    <row r="1217">
      <c r="C1217" s="60" t="n"/>
      <c r="D1217" s="36" t="n"/>
      <c r="E1217" s="36" t="n"/>
      <c r="F1217" s="36" t="n"/>
      <c r="G1217" s="36" t="n"/>
      <c r="H1217" s="36" t="n"/>
      <c r="I1217" s="36" t="n"/>
      <c r="J1217" s="36" t="n"/>
      <c r="K1217" s="36" t="n"/>
      <c r="L1217" s="36" t="n"/>
      <c r="M1217" s="36" t="n"/>
      <c r="N1217" s="22" t="n"/>
    </row>
    <row r="1218">
      <c r="C1218" s="3" t="n"/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</row>
    <row r="1219" ht="19" customHeight="1">
      <c r="C1219" s="46">
        <f>"▸  7.4.3  "&amp;IF(LANG="EN","Sales Pop-up and Market Trends","Pop-up &amp; tendances marché")</f>
        <v/>
      </c>
      <c r="D1219" s="47" t="n"/>
      <c r="E1219" s="47" t="n"/>
      <c r="F1219" s="47" t="n"/>
      <c r="G1219" s="47" t="n"/>
      <c r="H1219" s="47" t="n"/>
      <c r="I1219" s="47" t="n"/>
      <c r="J1219" s="47" t="n"/>
      <c r="K1219" s="47" t="n"/>
      <c r="L1219" s="47" t="n"/>
      <c r="M1219" s="47" t="n"/>
      <c r="N1219" s="48" t="n"/>
      <c r="O1219" s="1" t="n"/>
    </row>
    <row r="1220">
      <c r="C1220" s="61">
        <f>IFERROR(IF(LANG="EN",INDEX(I18N_EN,MATCH("col.kpi",I18N_KEY,0)),INDEX(I18N_FR,MATCH("col.kpi",I18N_KEY,0))),"col.kpi")</f>
        <v/>
      </c>
      <c r="D1220" s="62">
        <f>IFERROR(IF(LANG="EN",INDEX(I18N_EN,MATCH("col.unit",I18N_KEY,0)),INDEX(I18N_FR,MATCH("col.unit",I18N_KEY,0))),"col.unit")</f>
        <v/>
      </c>
      <c r="E1220" s="62">
        <f>IFERROR(IF(LANG="EN",INDEX(I18N_EN,MATCH("col.current",I18N_KEY,0)),INDEX(I18N_FR,MATCH("col.current",I18N_KEY,0))),"col.current")</f>
        <v/>
      </c>
      <c r="F1220" s="62">
        <f>IFERROR(IF(LANG="EN",INDEX(I18N_EN,MATCH("col.prev",I18N_KEY,0)),INDEX(I18N_FR,MATCH("col.prev",I18N_KEY,0))),"col.prev")</f>
        <v/>
      </c>
      <c r="G1220" s="62">
        <f>IFERROR(IF(LANG="EN",INDEX(I18N_EN,MATCH("col.delta_prev",I18N_KEY,0)),INDEX(I18N_FR,MATCH("col.delta_prev",I18N_KEY,0))),"col.delta_prev")</f>
        <v/>
      </c>
      <c r="H1220" s="62">
        <f>IFERROR(IF(LANG="EN",INDEX(I18N_EN,MATCH("col.py",I18N_KEY,0)),INDEX(I18N_FR,MATCH("col.py",I18N_KEY,0))),"col.py")</f>
        <v/>
      </c>
      <c r="I1220" s="62">
        <f>IFERROR(IF(LANG="EN",INDEX(I18N_EN,MATCH("col.delta_py",I18N_KEY,0)),INDEX(I18N_FR,MATCH("col.delta_py",I18N_KEY,0))),"col.delta_py")</f>
        <v/>
      </c>
      <c r="J1220" s="62">
        <f>IFERROR(IF(LANG="EN",INDEX(I18N_EN,MATCH("col.budget",I18N_KEY,0)),INDEX(I18N_FR,MATCH("col.budget",I18N_KEY,0))),"col.budget")</f>
        <v/>
      </c>
      <c r="K1220" s="62">
        <f>IFERROR(IF(LANG="EN",INDEX(I18N_EN,MATCH("col.var",I18N_KEY,0)),INDEX(I18N_FR,MATCH("col.var",I18N_KEY,0))),"col.var")</f>
        <v/>
      </c>
      <c r="L1220" s="62">
        <f>IFERROR(IF(LANG="EN",INDEX(I18N_EN,MATCH("col.rag",I18N_KEY,0)),INDEX(I18N_FR,MATCH("col.rag",I18N_KEY,0))),"col.rag")</f>
        <v/>
      </c>
      <c r="M1220" s="3" t="n"/>
      <c r="N1220" s="32" t="n"/>
    </row>
    <row r="1221">
      <c r="C1221" s="63">
        <f>IFERROR(IF(LANG="EN",INDEX(I18N_EN,MATCH("kpi.com.popup_count",I18N_KEY,0)),INDEX(I18N_FR,MATCH("kpi.com.popup_count",I18N_KEY,0))),"kpi.com.popup_count")</f>
        <v/>
      </c>
      <c r="D1221" s="64" t="inlineStr">
        <is>
          <t>nb</t>
        </is>
      </c>
      <c r="E1221" s="65">
        <f>IFERROR((INDEX('M3 · Base mensuelle'!$D$76:$AM$76,MATCH(P_END,HDR,0))),"")</f>
        <v/>
      </c>
      <c r="F1221" s="65">
        <f>IFERROR((INDEX('M3 · Base mensuelle'!$D$76:$AM$76,MATCH(PP_END,HDR,0))),"")</f>
        <v/>
      </c>
      <c r="G1221" s="66">
        <f>IFERROR((E1221)/(F1221)-1,"")</f>
        <v/>
      </c>
      <c r="H1221" s="65">
        <f>IFERROR((INDEX('M3 · Base mensuelle'!$D$76:$AM$76,MATCH(PY_END,HDR,0))),"")</f>
        <v/>
      </c>
      <c r="I1221" s="66">
        <f>IFERROR((E1221)/(H1221)-1,"")</f>
        <v/>
      </c>
      <c r="J1221" s="65">
        <f>IFERROR((SUMPRODUCT((BUD_MONTHS&gt;=MONTH(P_START))*(BUD_MONTHS&lt;=MONTH(P_END))*'M1 · Paramètres'!$H$77:$S$77)/SUMPRODUCT((BUD_MONTHS&gt;=MONTH(P_START))*(BUD_MONTHS&lt;=MONTH(P_END))*1)),"")</f>
        <v/>
      </c>
      <c r="K1221" s="66">
        <f>IFERROR((E1221)/(J1221)-1,"")</f>
        <v/>
      </c>
      <c r="L1221" s="68">
        <f>IF(O1221="","",IF(O1221="green",IFERROR(IF(LANG="EN",INDEX(I18N_EN,MATCH("rag.green",I18N_KEY,0)),INDEX(I18N_FR,MATCH("rag.green",I18N_KEY,0))),"rag.green"),IF(O1221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1" s="3" t="n"/>
      <c r="N1221" s="32" t="n"/>
      <c r="O1221" s="69">
        <f>IFERROR(IF(IF(N(J1221)&gt;0,J1221,H1221)=0,"",IF(INDEX(RAG_SENS,MATCH("kpi.com.popup_count",RAG_KEY,0))="UP",IF((E1221/IF(N(J1221)&gt;0,J1221,H1221))&gt;=INDEX(RAG_SV,MATCH("kpi.com.popup_count",RAG_KEY,0)),"green",IF((E1221/IF(N(J1221)&gt;0,J1221,H1221))&gt;=INDEX(RAG_SA,MATCH("kpi.com.popup_count",RAG_KEY,0)),"amber","red")),IF((E1221/IF(N(J1221)&gt;0,J1221,H1221))&lt;=INDEX(RAG_SV,MATCH("kpi.com.popup_count",RAG_KEY,0)),"green",IF((E1221/IF(N(J1221)&gt;0,J1221,H1221))&lt;=INDEX(RAG_SA,MATCH("kpi.com.popup_count",RAG_KEY,0)),"amber","red")))),"")</f>
        <v/>
      </c>
    </row>
    <row r="1222">
      <c r="C1222" s="63">
        <f>IFERROR(IF(LANG="EN",INDEX(I18N_EN,MATCH("kpi.com.popup_rev",I18N_KEY,0)),INDEX(I18N_FR,MATCH("kpi.com.popup_rev",I18N_KEY,0))),"kpi.com.popup_rev")</f>
        <v/>
      </c>
      <c r="D1222" s="64" t="inlineStr">
        <is>
          <t>FCFA</t>
        </is>
      </c>
      <c r="E1222" s="70">
        <f>IFERROR((SUMIFS('M3 · Base mensuelle'!$D$77:$AM$77,HDR,"&gt;="&amp;P_START,HDR,"&lt;="&amp;P_END))/1000000,"")</f>
        <v/>
      </c>
      <c r="F1222" s="70">
        <f>IFERROR((SUMIFS('M3 · Base mensuelle'!$D$77:$AM$77,HDR,"&gt;="&amp;PP_START,HDR,"&lt;="&amp;PP_END))/1000000,"")</f>
        <v/>
      </c>
      <c r="G1222" s="66">
        <f>IFERROR((E1222)/(F1222)-1,"")</f>
        <v/>
      </c>
      <c r="H1222" s="70">
        <f>IFERROR((SUMIFS('M3 · Base mensuelle'!$D$77:$AM$77,HDR,"&gt;="&amp;PY_START,HDR,"&lt;="&amp;PY_END))/1000000,"")</f>
        <v/>
      </c>
      <c r="I1222" s="66">
        <f>IFERROR((E1222)/(H1222)-1,"")</f>
        <v/>
      </c>
      <c r="J1222" s="70">
        <f>IFERROR((SUMPRODUCT((BUD_MONTHS&gt;=MONTH(P_START))*(BUD_MONTHS&lt;=MONTH(P_END))*'M1 · Paramètres'!$H$78:$S$78))/1000000,"")</f>
        <v/>
      </c>
      <c r="K1222" s="66">
        <f>IFERROR((E1222)/(J1222)-1,"")</f>
        <v/>
      </c>
      <c r="L1222" s="68">
        <f>IF(O1222="","",IF(O1222="green",IFERROR(IF(LANG="EN",INDEX(I18N_EN,MATCH("rag.green",I18N_KEY,0)),INDEX(I18N_FR,MATCH("rag.green",I18N_KEY,0))),"rag.green"),IF(O1222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2" s="3" t="n"/>
      <c r="N1222" s="32" t="n"/>
      <c r="O1222" s="69">
        <f>IFERROR(IF(IF(N(J1222)&gt;0,J1222,H1222)=0,"",IF(INDEX(RAG_SENS,MATCH("kpi.com.popup_rev",RAG_KEY,0))="UP",IF((E1222/IF(N(J1222)&gt;0,J1222,H1222))&gt;=INDEX(RAG_SV,MATCH("kpi.com.popup_rev",RAG_KEY,0)),"green",IF((E1222/IF(N(J1222)&gt;0,J1222,H1222))&gt;=INDEX(RAG_SA,MATCH("kpi.com.popup_rev",RAG_KEY,0)),"amber","red")),IF((E1222/IF(N(J1222)&gt;0,J1222,H1222))&lt;=INDEX(RAG_SV,MATCH("kpi.com.popup_rev",RAG_KEY,0)),"green",IF((E1222/IF(N(J1222)&gt;0,J1222,H1222))&lt;=INDEX(RAG_SA,MATCH("kpi.com.popup_rev",RAG_KEY,0)),"amber","red")))),"")</f>
        <v/>
      </c>
    </row>
    <row r="1223">
      <c r="C1223" s="63">
        <f>IFERROR(IF(LANG="EN",INDEX(I18N_EN,MATCH("kpi.com.kiosk_occ",I18N_KEY,0)),INDEX(I18N_FR,MATCH("kpi.com.kiosk_occ",I18N_KEY,0))),"kpi.com.kiosk_occ")</f>
        <v/>
      </c>
      <c r="D1223" s="64" t="inlineStr">
        <is>
          <t>%</t>
        </is>
      </c>
      <c r="E1223" s="71">
        <f>IFERROR((AVERAGEIFS('M3 · Base mensuelle'!$D$78:$AM$78,HDR,"&gt;="&amp;P_START,HDR,"&lt;="&amp;P_END)),"")</f>
        <v/>
      </c>
      <c r="F1223" s="71">
        <f>IFERROR((AVERAGEIFS('M3 · Base mensuelle'!$D$78:$AM$78,HDR,"&gt;="&amp;PP_START,HDR,"&lt;="&amp;PP_END)),"")</f>
        <v/>
      </c>
      <c r="G1223" s="66">
        <f>IFERROR((E1223)/(F1223)-1,"")</f>
        <v/>
      </c>
      <c r="H1223" s="71">
        <f>IFERROR((AVERAGEIFS('M3 · Base mensuelle'!$D$78:$AM$78,HDR,"&gt;="&amp;PY_START,HDR,"&lt;="&amp;PY_END)),"")</f>
        <v/>
      </c>
      <c r="I1223" s="66">
        <f>IFERROR((E1223)/(H1223)-1,"")</f>
        <v/>
      </c>
      <c r="J1223" s="71">
        <f>IFERROR((SUMPRODUCT((BUD_MONTHS&gt;=MONTH(P_START))*(BUD_MONTHS&lt;=MONTH(P_END))*'M1 · Paramètres'!$H$79:$S$79)/SUMPRODUCT((BUD_MONTHS&gt;=MONTH(P_START))*(BUD_MONTHS&lt;=MONTH(P_END))*1)),"")</f>
        <v/>
      </c>
      <c r="K1223" s="66">
        <f>IFERROR((E1223)/(J1223)-1,"")</f>
        <v/>
      </c>
      <c r="L1223" s="68">
        <f>IF(O1223="","",IF(O1223="green",IFERROR(IF(LANG="EN",INDEX(I18N_EN,MATCH("rag.green",I18N_KEY,0)),INDEX(I18N_FR,MATCH("rag.green",I18N_KEY,0))),"rag.green"),IF(O1223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3" s="3" t="n"/>
      <c r="N1223" s="32" t="n"/>
      <c r="O1223" s="69">
        <f>IFERROR(IF(IF(N(J1223)&gt;0,J1223,H1223)=0,"",IF(INDEX(RAG_SENS,MATCH("kpi.com.kiosk_occ",RAG_KEY,0))="UP",IF((E1223/IF(N(J1223)&gt;0,J1223,H1223))&gt;=INDEX(RAG_SV,MATCH("kpi.com.kiosk_occ",RAG_KEY,0)),"green",IF((E1223/IF(N(J1223)&gt;0,J1223,H1223))&gt;=INDEX(RAG_SA,MATCH("kpi.com.kiosk_occ",RAG_KEY,0)),"amber","red")),IF((E1223/IF(N(J1223)&gt;0,J1223,H1223))&lt;=INDEX(RAG_SV,MATCH("kpi.com.kiosk_occ",RAG_KEY,0)),"green",IF((E1223/IF(N(J1223)&gt;0,J1223,H1223))&lt;=INDEX(RAG_SA,MATCH("kpi.com.kiosk_occ",RAG_KEY,0)),"amber","red")))),"")</f>
        <v/>
      </c>
    </row>
    <row r="1224">
      <c r="C1224" s="63">
        <f>IFERROR(IF(LANG="EN",INDEX(I18N_EN,MATCH("kpi.com.market_rev",I18N_KEY,0)),INDEX(I18N_FR,MATCH("kpi.com.market_rev",I18N_KEY,0))),"kpi.com.market_rev")</f>
        <v/>
      </c>
      <c r="D1224" s="64" t="inlineStr">
        <is>
          <t>FCFA</t>
        </is>
      </c>
      <c r="E1224" s="70">
        <f>IFERROR((SUMIFS('M3 · Base mensuelle'!$D$79:$AM$79,HDR,"&gt;="&amp;P_START,HDR,"&lt;="&amp;P_END))/1000000,"")</f>
        <v/>
      </c>
      <c r="F1224" s="70">
        <f>IFERROR((SUMIFS('M3 · Base mensuelle'!$D$79:$AM$79,HDR,"&gt;="&amp;PP_START,HDR,"&lt;="&amp;PP_END))/1000000,"")</f>
        <v/>
      </c>
      <c r="G1224" s="66">
        <f>IFERROR((E1224)/(F1224)-1,"")</f>
        <v/>
      </c>
      <c r="H1224" s="70">
        <f>IFERROR((SUMIFS('M3 · Base mensuelle'!$D$79:$AM$79,HDR,"&gt;="&amp;PY_START,HDR,"&lt;="&amp;PY_END))/1000000,"")</f>
        <v/>
      </c>
      <c r="I1224" s="66">
        <f>IFERROR((E1224)/(H1224)-1,"")</f>
        <v/>
      </c>
      <c r="J1224" s="70">
        <f>IFERROR((SUMPRODUCT((BUD_MONTHS&gt;=MONTH(P_START))*(BUD_MONTHS&lt;=MONTH(P_END))*'M1 · Paramètres'!$H$80:$S$80))/1000000,"")</f>
        <v/>
      </c>
      <c r="K1224" s="66">
        <f>IFERROR((E1224)/(J1224)-1,"")</f>
        <v/>
      </c>
      <c r="L1224" s="68">
        <f>IF(O1224="","",IF(O1224="green",IFERROR(IF(LANG="EN",INDEX(I18N_EN,MATCH("rag.green",I18N_KEY,0)),INDEX(I18N_FR,MATCH("rag.green",I18N_KEY,0))),"rag.green"),IF(O1224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4" s="3" t="n"/>
      <c r="N1224" s="32" t="n"/>
      <c r="O1224" s="69">
        <f>IFERROR(IF(IF(N(J1224)&gt;0,J1224,H1224)=0,"",IF(INDEX(RAG_SENS,MATCH("kpi.com.market_rev",RAG_KEY,0))="UP",IF((E1224/IF(N(J1224)&gt;0,J1224,H1224))&gt;=INDEX(RAG_SV,MATCH("kpi.com.market_rev",RAG_KEY,0)),"green",IF((E1224/IF(N(J1224)&gt;0,J1224,H1224))&gt;=INDEX(RAG_SA,MATCH("kpi.com.market_rev",RAG_KEY,0)),"amber","red")),IF((E1224/IF(N(J1224)&gt;0,J1224,H1224))&lt;=INDEX(RAG_SV,MATCH("kpi.com.market_rev",RAG_KEY,0)),"green",IF((E1224/IF(N(J1224)&gt;0,J1224,H1224))&lt;=INDEX(RAG_SA,MATCH("kpi.com.market_rev",RAG_KEY,0)),"amber","red")))),"")</f>
        <v/>
      </c>
    </row>
    <row r="1225">
      <c r="C1225" s="63">
        <f>IFERROR(IF(LANG="EN",INDEX(I18N_EN,MATCH("kpi.com.market_occ",I18N_KEY,0)),INDEX(I18N_FR,MATCH("kpi.com.market_occ",I18N_KEY,0))),"kpi.com.market_occ")</f>
        <v/>
      </c>
      <c r="D1225" s="64" t="inlineStr">
        <is>
          <t>%</t>
        </is>
      </c>
      <c r="E1225" s="71">
        <f>IFERROR((AVERAGEIFS('M3 · Base mensuelle'!$D$80:$AM$80,HDR,"&gt;="&amp;P_START,HDR,"&lt;="&amp;P_END)),"")</f>
        <v/>
      </c>
      <c r="F1225" s="71">
        <f>IFERROR((AVERAGEIFS('M3 · Base mensuelle'!$D$80:$AM$80,HDR,"&gt;="&amp;PP_START,HDR,"&lt;="&amp;PP_END)),"")</f>
        <v/>
      </c>
      <c r="G1225" s="66">
        <f>IFERROR((E1225)/(F1225)-1,"")</f>
        <v/>
      </c>
      <c r="H1225" s="71">
        <f>IFERROR((AVERAGEIFS('M3 · Base mensuelle'!$D$80:$AM$80,HDR,"&gt;="&amp;PY_START,HDR,"&lt;="&amp;PY_END)),"")</f>
        <v/>
      </c>
      <c r="I1225" s="66">
        <f>IFERROR((E1225)/(H1225)-1,"")</f>
        <v/>
      </c>
      <c r="J1225" s="71">
        <f>IFERROR((SUMPRODUCT((BUD_MONTHS&gt;=MONTH(P_START))*(BUD_MONTHS&lt;=MONTH(P_END))*'M1 · Paramètres'!$H$81:$S$81)/SUMPRODUCT((BUD_MONTHS&gt;=MONTH(P_START))*(BUD_MONTHS&lt;=MONTH(P_END))*1)),"")</f>
        <v/>
      </c>
      <c r="K1225" s="66">
        <f>IFERROR((E1225)/(J1225)-1,"")</f>
        <v/>
      </c>
      <c r="L1225" s="68">
        <f>IF(O1225="","",IF(O1225="green",IFERROR(IF(LANG="EN",INDEX(I18N_EN,MATCH("rag.green",I18N_KEY,0)),INDEX(I18N_FR,MATCH("rag.green",I18N_KEY,0))),"rag.green"),IF(O1225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5" s="3" t="n"/>
      <c r="N1225" s="32" t="n"/>
      <c r="O1225" s="69">
        <f>IFERROR(IF(IF(N(J1225)&gt;0,J1225,H1225)=0,"",IF(INDEX(RAG_SENS,MATCH("kpi.com.market_occ",RAG_KEY,0))="UP",IF((E1225/IF(N(J1225)&gt;0,J1225,H1225))&gt;=INDEX(RAG_SV,MATCH("kpi.com.market_occ",RAG_KEY,0)),"green",IF((E1225/IF(N(J1225)&gt;0,J1225,H1225))&gt;=INDEX(RAG_SA,MATCH("kpi.com.market_occ",RAG_KEY,0)),"amber","red")),IF((E1225/IF(N(J1225)&gt;0,J1225,H1225))&lt;=INDEX(RAG_SV,MATCH("kpi.com.market_occ",RAG_KEY,0)),"green",IF((E1225/IF(N(J1225)&gt;0,J1225,H1225))&lt;=INDEX(RAG_SA,MATCH("kpi.com.market_occ",RAG_KEY,0)),"amber","red")))),"")</f>
        <v/>
      </c>
    </row>
    <row r="1226">
      <c r="C1226" s="63">
        <f>IFERROR(IF(LANG="EN",INDEX(I18N_EN,MATCH("kpi.com.market_stalls",I18N_KEY,0)),INDEX(I18N_FR,MATCH("kpi.com.market_stalls",I18N_KEY,0))),"kpi.com.market_stalls")</f>
        <v/>
      </c>
      <c r="D1226" s="64" t="inlineStr">
        <is>
          <t>nb</t>
        </is>
      </c>
      <c r="E1226" s="65">
        <f>IFERROR((INDEX('M3 · Base mensuelle'!$D$81:$AM$81,MATCH(P_END,HDR,0))),"")</f>
        <v/>
      </c>
      <c r="F1226" s="65">
        <f>IFERROR((INDEX('M3 · Base mensuelle'!$D$81:$AM$81,MATCH(PP_END,HDR,0))),"")</f>
        <v/>
      </c>
      <c r="G1226" s="66">
        <f>IFERROR((E1226)/(F1226)-1,"")</f>
        <v/>
      </c>
      <c r="H1226" s="65">
        <f>IFERROR((INDEX('M3 · Base mensuelle'!$D$81:$AM$81,MATCH(PY_END,HDR,0))),"")</f>
        <v/>
      </c>
      <c r="I1226" s="66">
        <f>IFERROR((E1226)/(H1226)-1,"")</f>
        <v/>
      </c>
      <c r="J1226" s="65">
        <f>IFERROR((SUMPRODUCT((BUD_MONTHS&gt;=MONTH(P_START))*(BUD_MONTHS&lt;=MONTH(P_END))*'M1 · Paramètres'!$H$82:$S$82)/SUMPRODUCT((BUD_MONTHS&gt;=MONTH(P_START))*(BUD_MONTHS&lt;=MONTH(P_END))*1)),"")</f>
        <v/>
      </c>
      <c r="K1226" s="66">
        <f>IFERROR((E1226)/(J1226)-1,"")</f>
        <v/>
      </c>
      <c r="L1226" s="68">
        <f>IF(O1226="","",IF(O1226="green",IFERROR(IF(LANG="EN",INDEX(I18N_EN,MATCH("rag.green",I18N_KEY,0)),INDEX(I18N_FR,MATCH("rag.green",I18N_KEY,0))),"rag.green"),IF(O1226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6" s="3" t="n"/>
      <c r="N1226" s="32" t="n"/>
      <c r="O1226" s="69">
        <f>IFERROR(IF(IF(N(J1226)&gt;0,J1226,H1226)=0,"",IF(INDEX(RAG_SENS,MATCH("kpi.com.market_stalls",RAG_KEY,0))="UP",IF((E1226/IF(N(J1226)&gt;0,J1226,H1226))&gt;=INDEX(RAG_SV,MATCH("kpi.com.market_stalls",RAG_KEY,0)),"green",IF((E1226/IF(N(J1226)&gt;0,J1226,H1226))&gt;=INDEX(RAG_SA,MATCH("kpi.com.market_stalls",RAG_KEY,0)),"amber","red")),IF((E1226/IF(N(J1226)&gt;0,J1226,H1226))&lt;=INDEX(RAG_SV,MATCH("kpi.com.market_stalls",RAG_KEY,0)),"green",IF((E1226/IF(N(J1226)&gt;0,J1226,H1226))&lt;=INDEX(RAG_SA,MATCH("kpi.com.market_stalls",RAG_KEY,0)),"amber","red")))),"")</f>
        <v/>
      </c>
    </row>
    <row r="1227">
      <c r="C1227" s="63">
        <f>IFERROR(IF(LANG="EN",INDEX(I18N_EN,MATCH("kpi.com.media_sales",I18N_KEY,0)),INDEX(I18N_FR,MATCH("kpi.com.media_sales",I18N_KEY,0))),"kpi.com.media_sales")</f>
        <v/>
      </c>
      <c r="D1227" s="64" t="inlineStr">
        <is>
          <t>FCFA</t>
        </is>
      </c>
      <c r="E1227" s="70">
        <f>IFERROR((SUMIFS('M3 · Base mensuelle'!$D$82:$AM$82,HDR,"&gt;="&amp;P_START,HDR,"&lt;="&amp;P_END))/1000000,"")</f>
        <v/>
      </c>
      <c r="F1227" s="70">
        <f>IFERROR((SUMIFS('M3 · Base mensuelle'!$D$82:$AM$82,HDR,"&gt;="&amp;PP_START,HDR,"&lt;="&amp;PP_END))/1000000,"")</f>
        <v/>
      </c>
      <c r="G1227" s="66">
        <f>IFERROR((E1227)/(F1227)-1,"")</f>
        <v/>
      </c>
      <c r="H1227" s="70">
        <f>IFERROR((SUMIFS('M3 · Base mensuelle'!$D$82:$AM$82,HDR,"&gt;="&amp;PY_START,HDR,"&lt;="&amp;PY_END))/1000000,"")</f>
        <v/>
      </c>
      <c r="I1227" s="66">
        <f>IFERROR((E1227)/(H1227)-1,"")</f>
        <v/>
      </c>
      <c r="J1227" s="70">
        <f>IFERROR((SUMPRODUCT((BUD_MONTHS&gt;=MONTH(P_START))*(BUD_MONTHS&lt;=MONTH(P_END))*'M1 · Paramètres'!$H$83:$S$83))/1000000,"")</f>
        <v/>
      </c>
      <c r="K1227" s="66">
        <f>IFERROR((E1227)/(J1227)-1,"")</f>
        <v/>
      </c>
      <c r="L1227" s="68">
        <f>IF(O1227="","",IF(O1227="green",IFERROR(IF(LANG="EN",INDEX(I18N_EN,MATCH("rag.green",I18N_KEY,0)),INDEX(I18N_FR,MATCH("rag.green",I18N_KEY,0))),"rag.green"),IF(O1227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7" s="3" t="n"/>
      <c r="N1227" s="32" t="n"/>
      <c r="O1227" s="69">
        <f>IFERROR(IF(IF(N(J1227)&gt;0,J1227,H1227)=0,"",IF(INDEX(RAG_SENS,MATCH("kpi.com.media_sales",RAG_KEY,0))="UP",IF((E1227/IF(N(J1227)&gt;0,J1227,H1227))&gt;=INDEX(RAG_SV,MATCH("kpi.com.media_sales",RAG_KEY,0)),"green",IF((E1227/IF(N(J1227)&gt;0,J1227,H1227))&gt;=INDEX(RAG_SA,MATCH("kpi.com.media_sales",RAG_KEY,0)),"amber","red")),IF((E1227/IF(N(J1227)&gt;0,J1227,H1227))&lt;=INDEX(RAG_SV,MATCH("kpi.com.media_sales",RAG_KEY,0)),"green",IF((E1227/IF(N(J1227)&gt;0,J1227,H1227))&lt;=INDEX(RAG_SA,MATCH("kpi.com.media_sales",RAG_KEY,0)),"amber","red")))),"")</f>
        <v/>
      </c>
    </row>
    <row r="1228">
      <c r="C1228" s="63">
        <f>IFERROR(IF(LANG="EN",INDEX(I18N_EN,MATCH("kpi.com.partnership_rev",I18N_KEY,0)),INDEX(I18N_FR,MATCH("kpi.com.partnership_rev",I18N_KEY,0))),"kpi.com.partnership_rev")</f>
        <v/>
      </c>
      <c r="D1228" s="64" t="inlineStr">
        <is>
          <t>FCFA</t>
        </is>
      </c>
      <c r="E1228" s="70">
        <f>IFERROR((SUMIFS('M3 · Base mensuelle'!$D$83:$AM$83,HDR,"&gt;="&amp;P_START,HDR,"&lt;="&amp;P_END))/1000000,"")</f>
        <v/>
      </c>
      <c r="F1228" s="70">
        <f>IFERROR((SUMIFS('M3 · Base mensuelle'!$D$83:$AM$83,HDR,"&gt;="&amp;PP_START,HDR,"&lt;="&amp;PP_END))/1000000,"")</f>
        <v/>
      </c>
      <c r="G1228" s="66">
        <f>IFERROR((E1228)/(F1228)-1,"")</f>
        <v/>
      </c>
      <c r="H1228" s="70">
        <f>IFERROR((SUMIFS('M3 · Base mensuelle'!$D$83:$AM$83,HDR,"&gt;="&amp;PY_START,HDR,"&lt;="&amp;PY_END))/1000000,"")</f>
        <v/>
      </c>
      <c r="I1228" s="66">
        <f>IFERROR((E1228)/(H1228)-1,"")</f>
        <v/>
      </c>
      <c r="J1228" s="67" t="n"/>
      <c r="K1228" s="66">
        <f>IFERROR((E1228)/(J1228)-1,"")</f>
        <v/>
      </c>
      <c r="L1228" s="68">
        <f>IF(O1228="","",IF(O1228="green",IFERROR(IF(LANG="EN",INDEX(I18N_EN,MATCH("rag.green",I18N_KEY,0)),INDEX(I18N_FR,MATCH("rag.green",I18N_KEY,0))),"rag.green"),IF(O1228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8" s="3" t="n"/>
      <c r="N1228" s="32" t="n"/>
      <c r="O1228" s="69">
        <f>IFERROR(IF(IF(N(J1228)&gt;0,J1228,H1228)=0,"",IF(INDEX(RAG_SENS,MATCH("kpi.com.partnership_rev",RAG_KEY,0))="UP",IF((E1228/IF(N(J1228)&gt;0,J1228,H1228))&gt;=INDEX(RAG_SV,MATCH("kpi.com.partnership_rev",RAG_KEY,0)),"green",IF((E1228/IF(N(J1228)&gt;0,J1228,H1228))&gt;=INDEX(RAG_SA,MATCH("kpi.com.partnership_rev",RAG_KEY,0)),"amber","red")),IF((E1228/IF(N(J1228)&gt;0,J1228,H1228))&lt;=INDEX(RAG_SV,MATCH("kpi.com.partnership_rev",RAG_KEY,0)),"green",IF((E1228/IF(N(J1228)&gt;0,J1228,H1228))&lt;=INDEX(RAG_SA,MATCH("kpi.com.partnership_rev",RAG_KEY,0)),"amber","red")))),"")</f>
        <v/>
      </c>
    </row>
    <row r="1229">
      <c r="C1229" s="63">
        <f>IFERROR(IF(LANG="EN",INDEX(I18N_EN,MATCH("kpi.com.activations",I18N_KEY,0)),INDEX(I18N_FR,MATCH("kpi.com.activations",I18N_KEY,0))),"kpi.com.activations")</f>
        <v/>
      </c>
      <c r="D1229" s="64" t="inlineStr">
        <is>
          <t>nb</t>
        </is>
      </c>
      <c r="E1229" s="65">
        <f>IFERROR((SUMIFS('M3 · Base mensuelle'!$D$84:$AM$84,HDR,"&gt;="&amp;P_START,HDR,"&lt;="&amp;P_END)),"")</f>
        <v/>
      </c>
      <c r="F1229" s="65">
        <f>IFERROR((SUMIFS('M3 · Base mensuelle'!$D$84:$AM$84,HDR,"&gt;="&amp;PP_START,HDR,"&lt;="&amp;PP_END)),"")</f>
        <v/>
      </c>
      <c r="G1229" s="66">
        <f>IFERROR((E1229)/(F1229)-1,"")</f>
        <v/>
      </c>
      <c r="H1229" s="65">
        <f>IFERROR((SUMIFS('M3 · Base mensuelle'!$D$84:$AM$84,HDR,"&gt;="&amp;PY_START,HDR,"&lt;="&amp;PY_END)),"")</f>
        <v/>
      </c>
      <c r="I1229" s="66">
        <f>IFERROR((E1229)/(H1229)-1,"")</f>
        <v/>
      </c>
      <c r="J1229" s="67" t="n"/>
      <c r="K1229" s="66">
        <f>IFERROR((E1229)/(J1229)-1,"")</f>
        <v/>
      </c>
      <c r="L1229" s="68">
        <f>IF(O1229="","",IF(O1229="green",IFERROR(IF(LANG="EN",INDEX(I18N_EN,MATCH("rag.green",I18N_KEY,0)),INDEX(I18N_FR,MATCH("rag.green",I18N_KEY,0))),"rag.green"),IF(O1229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29" s="3" t="n"/>
      <c r="N1229" s="32" t="n"/>
      <c r="O1229" s="69">
        <f>IFERROR(IF(IF(N(J1229)&gt;0,J1229,H1229)=0,"",IF(INDEX(RAG_SENS,MATCH("kpi.com.activations",RAG_KEY,0))="UP",IF((E1229/IF(N(J1229)&gt;0,J1229,H1229))&gt;=INDEX(RAG_SV,MATCH("kpi.com.activations",RAG_KEY,0)),"green",IF((E1229/IF(N(J1229)&gt;0,J1229,H1229))&gt;=INDEX(RAG_SA,MATCH("kpi.com.activations",RAG_KEY,0)),"amber","red")),IF((E1229/IF(N(J1229)&gt;0,J1229,H1229))&lt;=INDEX(RAG_SV,MATCH("kpi.com.activations",RAG_KEY,0)),"green",IF((E1229/IF(N(J1229)&gt;0,J1229,H1229))&lt;=INDEX(RAG_SA,MATCH("kpi.com.activations",RAG_KEY,0)),"amber","red")))),"")</f>
        <v/>
      </c>
    </row>
    <row r="1230">
      <c r="C1230" s="63">
        <f>IFERROR(IF(LANG="EN",INDEX(I18N_EN,MATCH("kpi.com.activation_rev",I18N_KEY,0)),INDEX(I18N_FR,MATCH("kpi.com.activation_rev",I18N_KEY,0))),"kpi.com.activation_rev")</f>
        <v/>
      </c>
      <c r="D1230" s="64" t="inlineStr">
        <is>
          <t>FCFA</t>
        </is>
      </c>
      <c r="E1230" s="70">
        <f>IFERROR((SUMIFS('M3 · Base mensuelle'!$D$85:$AM$85,HDR,"&gt;="&amp;P_START,HDR,"&lt;="&amp;P_END))/1000000,"")</f>
        <v/>
      </c>
      <c r="F1230" s="70">
        <f>IFERROR((SUMIFS('M3 · Base mensuelle'!$D$85:$AM$85,HDR,"&gt;="&amp;PP_START,HDR,"&lt;="&amp;PP_END))/1000000,"")</f>
        <v/>
      </c>
      <c r="G1230" s="66">
        <f>IFERROR((E1230)/(F1230)-1,"")</f>
        <v/>
      </c>
      <c r="H1230" s="70">
        <f>IFERROR((SUMIFS('M3 · Base mensuelle'!$D$85:$AM$85,HDR,"&gt;="&amp;PY_START,HDR,"&lt;="&amp;PY_END))/1000000,"")</f>
        <v/>
      </c>
      <c r="I1230" s="66">
        <f>IFERROR((E1230)/(H1230)-1,"")</f>
        <v/>
      </c>
      <c r="J1230" s="67" t="n"/>
      <c r="K1230" s="66">
        <f>IFERROR((E1230)/(J1230)-1,"")</f>
        <v/>
      </c>
      <c r="L1230" s="68">
        <f>IF(O1230="","",IF(O1230="green",IFERROR(IF(LANG="EN",INDEX(I18N_EN,MATCH("rag.green",I18N_KEY,0)),INDEX(I18N_FR,MATCH("rag.green",I18N_KEY,0))),"rag.green"),IF(O1230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230" s="3" t="n"/>
      <c r="N1230" s="32" t="n"/>
      <c r="O1230" s="69">
        <f>IFERROR(IF(IF(N(J1230)&gt;0,J1230,H1230)=0,"",IF(INDEX(RAG_SENS,MATCH("kpi.com.activation_rev",RAG_KEY,0))="UP",IF((E1230/IF(N(J1230)&gt;0,J1230,H1230))&gt;=INDEX(RAG_SV,MATCH("kpi.com.activation_rev",RAG_KEY,0)),"green",IF((E1230/IF(N(J1230)&gt;0,J1230,H1230))&gt;=INDEX(RAG_SA,MATCH("kpi.com.activation_rev",RAG_KEY,0)),"amber","red")),IF((E1230/IF(N(J1230)&gt;0,J1230,H1230))&lt;=INDEX(RAG_SV,MATCH("kpi.com.activation_rev",RAG_KEY,0)),"green",IF((E1230/IF(N(J1230)&gt;0,J1230,H1230))&lt;=INDEX(RAG_SA,MATCH("kpi.com.activation_rev",RAG_KEY,0)),"amber","red")))),"")</f>
        <v/>
      </c>
    </row>
    <row r="1231">
      <c r="C1231" s="72">
        <f>"◆ "&amp;IFERROR(IF(LANG="EN",INDEX(I18N_EN,MATCH("msg.highlights",I18N_KEY,0)),INDEX(I18N_FR,MATCH("msg.highlights",I18N_KEY,0))),"msg.highlights")</f>
        <v/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2" t="n"/>
    </row>
    <row r="1232">
      <c r="C1232" s="73">
        <f>IFERROR("▲ "&amp;INDEX(C1221:C1230,MATCH(MAX(G1221:G1230),G1221:G1230,0))&amp;"   "&amp;TEXT(MAX(G1221:G1230),"+0.0%;-0.0%"),"")</f>
        <v/>
      </c>
      <c r="D1232" s="3" t="n"/>
      <c r="E1232" s="3" t="n"/>
      <c r="F1232" s="3" t="n"/>
      <c r="G1232" s="3" t="n"/>
      <c r="H1232" s="3" t="n"/>
      <c r="I1232" s="74">
        <f>IFERROR("▼ "&amp;INDEX(C1221:C1230,MATCH(MIN(G1221:G1230),G1221:G1230,0))&amp;"   "&amp;TEXT(MIN(G1221:G1230),"+0.0%;-0.0%"),"")</f>
        <v/>
      </c>
      <c r="J1232" s="3" t="n"/>
      <c r="K1232" s="3" t="n"/>
      <c r="L1232" s="3" t="n"/>
      <c r="M1232" s="3" t="n"/>
      <c r="N1232" s="32" t="n"/>
    </row>
    <row r="1233">
      <c r="C1233" s="53">
        <f>"💬 "&amp;IFERROR(IF(LANG="EN",INDEX(I18N_EN,MATCH("col.comment",I18N_KEY,0)),INDEX(I18N_FR,MATCH("col.comment",I18N_KEY,0))),"col.comment")</f>
        <v/>
      </c>
      <c r="D1233" s="5" t="n"/>
      <c r="E1233" s="5" t="n"/>
      <c r="F1233" s="5" t="n"/>
      <c r="G1233" s="5" t="n"/>
      <c r="H1233" s="5" t="n"/>
      <c r="I1233" s="5" t="n"/>
      <c r="J1233" s="5" t="n"/>
      <c r="K1233" s="5" t="n"/>
      <c r="L1233" s="5" t="n"/>
      <c r="M1233" s="5" t="n"/>
      <c r="N1233" s="54" t="n"/>
      <c r="O1233" s="5" t="n"/>
    </row>
    <row r="1234">
      <c r="C1234" s="75">
        <f>IF('C6 · Commercial'!$D$37&lt;&gt;"",'C6 · Commercial'!$D$37,IFERROR(SUBSTITUTE(SUBSTITUTE(IF(G1221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com.popup_count",I18N_KEY,0)),INDEX(I18N_FR,MATCH("kpi.com.popup_count",I18N_KEY,0))),"kpi.com.popup_count")),"{delta}",TEXT(ABS(G1221),"0.0%")),""))</f>
        <v/>
      </c>
      <c r="D1234" s="56" t="n"/>
      <c r="E1234" s="56" t="n"/>
      <c r="F1234" s="56" t="n"/>
      <c r="G1234" s="56" t="n"/>
      <c r="H1234" s="56" t="n"/>
      <c r="I1234" s="56" t="n"/>
      <c r="J1234" s="56" t="n"/>
      <c r="K1234" s="56" t="n"/>
      <c r="L1234" s="56" t="n"/>
      <c r="M1234" s="56" t="n"/>
      <c r="N1234" s="56" t="n"/>
      <c r="O1234" s="57" t="n"/>
    </row>
    <row r="1235">
      <c r="C1235" s="50" t="n"/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2" t="n"/>
    </row>
    <row r="1236">
      <c r="C1236" s="58" t="n"/>
      <c r="D1236" s="58" t="n"/>
      <c r="E1236" s="58" t="n"/>
      <c r="F1236" s="58" t="n"/>
      <c r="G1236" s="58" t="n"/>
      <c r="H1236" s="58" t="n"/>
      <c r="I1236" s="58" t="n"/>
      <c r="J1236" s="58" t="n"/>
      <c r="K1236" s="58" t="n"/>
      <c r="L1236" s="58" t="n"/>
      <c r="M1236" s="58" t="n"/>
      <c r="N1236" s="58" t="n"/>
      <c r="O1236" s="59" t="n"/>
    </row>
    <row r="1237">
      <c r="C1237" s="60" t="n"/>
      <c r="D1237" s="36" t="n"/>
      <c r="E1237" s="36" t="n"/>
      <c r="F1237" s="36" t="n"/>
      <c r="G1237" s="36" t="n"/>
      <c r="H1237" s="36" t="n"/>
      <c r="I1237" s="36" t="n"/>
      <c r="J1237" s="36" t="n"/>
      <c r="K1237" s="36" t="n"/>
      <c r="L1237" s="36" t="n"/>
      <c r="M1237" s="36" t="n"/>
      <c r="N1237" s="22" t="n"/>
    </row>
    <row r="1238">
      <c r="C1238" s="3" t="n"/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</row>
    <row r="1239" ht="19" customHeight="1">
      <c r="C1239" s="46">
        <f>"🎯  7.5  "&amp;IF(LANG="EN","Budget vs Actual","Budget vs Réalisé")</f>
        <v/>
      </c>
      <c r="D1239" s="47" t="n"/>
      <c r="E1239" s="47" t="n"/>
      <c r="F1239" s="47" t="n"/>
      <c r="G1239" s="47" t="n"/>
      <c r="H1239" s="47" t="n"/>
      <c r="I1239" s="47" t="n"/>
      <c r="J1239" s="47" t="n"/>
      <c r="K1239" s="47" t="n"/>
      <c r="L1239" s="47" t="n"/>
      <c r="M1239" s="47" t="n"/>
      <c r="N1239" s="48" t="n"/>
      <c r="O1239" s="1" t="n"/>
    </row>
    <row r="1240">
      <c r="C1240" s="76">
        <f>"▌ "&amp;IF(LANG="EN","Actual vs Budget — 12 months","Réalisé vs Budget — 12 mois")</f>
        <v/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2" t="n"/>
    </row>
    <row r="1241">
      <c r="C1241" s="50" t="n"/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2" t="n"/>
    </row>
    <row r="1242">
      <c r="C1242" s="50" t="n"/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2" t="n"/>
    </row>
    <row r="1243">
      <c r="C1243" s="50" t="n"/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2" t="n"/>
    </row>
    <row r="1244">
      <c r="C1244" s="50" t="n"/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2" t="n"/>
    </row>
    <row r="1245">
      <c r="C1245" s="50" t="n"/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2" t="n"/>
    </row>
    <row r="1246">
      <c r="C1246" s="50" t="n"/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2" t="n"/>
    </row>
    <row r="1247">
      <c r="C1247" s="50" t="n"/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2" t="n"/>
    </row>
    <row r="1248">
      <c r="C1248" s="50" t="n"/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2" t="n"/>
    </row>
    <row r="1249">
      <c r="C1249" s="50" t="n"/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2" t="n"/>
    </row>
    <row r="1250">
      <c r="C1250" s="50" t="n"/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2" t="n"/>
    </row>
    <row r="1251">
      <c r="C1251" s="50" t="n"/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2" t="n"/>
    </row>
    <row r="1252">
      <c r="C1252" s="50" t="n"/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2" t="n"/>
    </row>
    <row r="1253">
      <c r="C1253" s="61">
        <f>IFERROR(IF(LANG="EN",INDEX(I18N_EN,MATCH("col.kpi",I18N_KEY,0)),INDEX(I18N_FR,MATCH("col.kpi",I18N_KEY,0))),"col.kpi")</f>
        <v/>
      </c>
      <c r="D1253" s="62">
        <f>IFERROR(IF(LANG="EN",INDEX(I18N_EN,MATCH("col.unit",I18N_KEY,0)),INDEX(I18N_FR,MATCH("col.unit",I18N_KEY,0))),"col.unit")</f>
        <v/>
      </c>
      <c r="E1253" s="62">
        <f>IFERROR(IF(LANG="EN",INDEX(I18N_EN,MATCH("col.current",I18N_KEY,0)),INDEX(I18N_FR,MATCH("col.current",I18N_KEY,0))),"col.current")</f>
        <v/>
      </c>
      <c r="F1253" s="62">
        <f>IFERROR(IF(LANG="EN",INDEX(I18N_EN,MATCH("col.budget",I18N_KEY,0)),INDEX(I18N_FR,MATCH("col.budget",I18N_KEY,0))),"col.budget")</f>
        <v/>
      </c>
      <c r="G1253" s="62">
        <f>IFERROR(IF(LANG="EN",INDEX(I18N_EN,MATCH("col.var",I18N_KEY,0)),INDEX(I18N_FR,MATCH("col.var",I18N_KEY,0))),"col.var")</f>
        <v/>
      </c>
      <c r="H1253" s="62">
        <f>IFERROR(IF(LANG="EN",INDEX(I18N_EN,MATCH("col.rag",I18N_KEY,0)),INDEX(I18N_FR,MATCH("col.rag",I18N_KEY,0))),"col.rag")</f>
        <v/>
      </c>
      <c r="I1253" s="3" t="n"/>
      <c r="J1253" s="3" t="n"/>
      <c r="K1253" s="3" t="n"/>
      <c r="L1253" s="3" t="n"/>
      <c r="M1253" s="3" t="n"/>
      <c r="N1253" s="32" t="n"/>
    </row>
    <row r="1254">
      <c r="C1254" s="63">
        <f>IFERROR(IF(LANG="EN",INDEX(I18N_EN,MATCH("kpi.com.tenant_sales",I18N_KEY,0)),INDEX(I18N_FR,MATCH("kpi.com.tenant_sales",I18N_KEY,0))),"kpi.com.tenant_sales")</f>
        <v/>
      </c>
      <c r="D1254" s="64" t="inlineStr">
        <is>
          <t>FCFA</t>
        </is>
      </c>
      <c r="E1254" s="70">
        <f>IFERROR((SUMIFS('M3 · Base mensuelle'!$D$68:$AM$68,HDR,"&gt;="&amp;P_START,HDR,"&lt;="&amp;P_END))/1000000,"")</f>
        <v/>
      </c>
      <c r="F1254" s="70">
        <f>IFERROR((SUMPRODUCT((BUD_MONTHS&gt;=MONTH(P_START))*(BUD_MONTHS&lt;=MONTH(P_END))*'M1 · Paramètres'!$H$69:$S$69))/1000000,"")</f>
        <v/>
      </c>
      <c r="G1254" s="77">
        <f>IFERROR((E1254)/(F1254)-1,"")</f>
        <v/>
      </c>
      <c r="H1254" s="68">
        <f>IF(P1254="","",IF(P1254="green",IFERROR(IF(LANG="EN",INDEX(I18N_EN,MATCH("rag.green",I18N_KEY,0)),INDEX(I18N_FR,MATCH("rag.green",I18N_KEY,0))),"rag.green"),IF(P1254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4" s="3" t="n"/>
      <c r="J1254" s="3" t="n"/>
      <c r="K1254" s="3" t="n"/>
      <c r="L1254" s="3" t="n"/>
      <c r="M1254" s="3" t="n"/>
      <c r="N1254" s="32" t="n"/>
      <c r="P1254" s="69">
        <f>IFERROR(IF(F1254=0,"",IF(INDEX(RAG_SENS,MATCH("kpi.com.tenant_sales",RAG_KEY,0))="UP",IF((E1254/F1254)&gt;=INDEX(RAG_SV,MATCH("kpi.com.tenant_sales",RAG_KEY,0)),"green",IF((E1254/F1254)&gt;=INDEX(RAG_SA,MATCH("kpi.com.tenant_sales",RAG_KEY,0)),"amber","red")),IF((E1254/F1254)&lt;=INDEX(RAG_SV,MATCH("kpi.com.tenant_sales",RAG_KEY,0)),"green",IF((E1254/F1254)&lt;=INDEX(RAG_SA,MATCH("kpi.com.tenant_sales",RAG_KEY,0)),"amber","red")))),"")</f>
        <v/>
      </c>
    </row>
    <row r="1255">
      <c r="C1255" s="63">
        <f>IFERROR(IF(LANG="EN",INDEX(I18N_EN,MATCH("kpi.com.total_sales",I18N_KEY,0)),INDEX(I18N_FR,MATCH("kpi.com.total_sales",I18N_KEY,0))),"kpi.com.total_sales")</f>
        <v/>
      </c>
      <c r="D1255" s="64" t="inlineStr">
        <is>
          <t>FCFA</t>
        </is>
      </c>
      <c r="E1255" s="70">
        <f>IFERROR((SUMIFS('M3 · Base mensuelle'!$D$69:$AM$69,HDR,"&gt;="&amp;P_START,HDR,"&lt;="&amp;P_END))/1000000,"")</f>
        <v/>
      </c>
      <c r="F1255" s="70">
        <f>IFERROR((SUMPRODUCT((BUD_MONTHS&gt;=MONTH(P_START))*(BUD_MONTHS&lt;=MONTH(P_END))*'M1 · Paramètres'!$H$70:$S$70))/1000000,"")</f>
        <v/>
      </c>
      <c r="G1255" s="77">
        <f>IFERROR((E1255)/(F1255)-1,"")</f>
        <v/>
      </c>
      <c r="H1255" s="68">
        <f>IF(P1255="","",IF(P1255="green",IFERROR(IF(LANG="EN",INDEX(I18N_EN,MATCH("rag.green",I18N_KEY,0)),INDEX(I18N_FR,MATCH("rag.green",I18N_KEY,0))),"rag.green"),IF(P1255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5" s="3" t="n"/>
      <c r="J1255" s="3" t="n"/>
      <c r="K1255" s="3" t="n"/>
      <c r="L1255" s="3" t="n"/>
      <c r="M1255" s="3" t="n"/>
      <c r="N1255" s="32" t="n"/>
      <c r="P1255" s="69">
        <f>IFERROR(IF(F1255=0,"",IF(INDEX(RAG_SENS,MATCH("kpi.com.total_sales",RAG_KEY,0))="UP",IF((E1255/F1255)&gt;=INDEX(RAG_SV,MATCH("kpi.com.total_sales",RAG_KEY,0)),"green",IF((E1255/F1255)&gt;=INDEX(RAG_SA,MATCH("kpi.com.total_sales",RAG_KEY,0)),"amber","red")),IF((E1255/F1255)&lt;=INDEX(RAG_SV,MATCH("kpi.com.total_sales",RAG_KEY,0)),"green",IF((E1255/F1255)&lt;=INDEX(RAG_SA,MATCH("kpi.com.total_sales",RAG_KEY,0)),"amber","red")))),"")</f>
        <v/>
      </c>
    </row>
    <row r="1256">
      <c r="C1256" s="63">
        <f>IFERROR(IF(LANG="EN",INDEX(I18N_EN,MATCH("kpi.com.new_leases",I18N_KEY,0)),INDEX(I18N_FR,MATCH("kpi.com.new_leases",I18N_KEY,0))),"kpi.com.new_leases")</f>
        <v/>
      </c>
      <c r="D1256" s="64" t="inlineStr">
        <is>
          <t>nb</t>
        </is>
      </c>
      <c r="E1256" s="65">
        <f>IFERROR((SUMIFS('M3 · Base mensuelle'!$D$72:$AM$72,HDR,"&gt;="&amp;P_START,HDR,"&lt;="&amp;P_END)),"")</f>
        <v/>
      </c>
      <c r="F1256" s="65">
        <f>IFERROR((SUMPRODUCT((BUD_MONTHS&gt;=MONTH(P_START))*(BUD_MONTHS&lt;=MONTH(P_END))*'M1 · Paramètres'!$H$73:$S$73)),"")</f>
        <v/>
      </c>
      <c r="G1256" s="77">
        <f>IFERROR((E1256)/(F1256)-1,"")</f>
        <v/>
      </c>
      <c r="H1256" s="68">
        <f>IF(P1256="","",IF(P1256="green",IFERROR(IF(LANG="EN",INDEX(I18N_EN,MATCH("rag.green",I18N_KEY,0)),INDEX(I18N_FR,MATCH("rag.green",I18N_KEY,0))),"rag.green"),IF(P1256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6" s="3" t="n"/>
      <c r="J1256" s="3" t="n"/>
      <c r="K1256" s="3" t="n"/>
      <c r="L1256" s="3" t="n"/>
      <c r="M1256" s="3" t="n"/>
      <c r="N1256" s="32" t="n"/>
      <c r="P1256" s="69">
        <f>IFERROR(IF(F1256=0,"",IF(INDEX(RAG_SENS,MATCH("kpi.com.new_leases",RAG_KEY,0))="UP",IF((E1256/F1256)&gt;=INDEX(RAG_SV,MATCH("kpi.com.new_leases",RAG_KEY,0)),"green",IF((E1256/F1256)&gt;=INDEX(RAG_SA,MATCH("kpi.com.new_leases",RAG_KEY,0)),"amber","red")),IF((E1256/F1256)&lt;=INDEX(RAG_SV,MATCH("kpi.com.new_leases",RAG_KEY,0)),"green",IF((E1256/F1256)&lt;=INDEX(RAG_SA,MATCH("kpi.com.new_leases",RAG_KEY,0)),"amber","red")))),"")</f>
        <v/>
      </c>
    </row>
    <row r="1257">
      <c r="C1257" s="63">
        <f>IFERROR(IF(LANG="EN",INDEX(I18N_EN,MATCH("kpi.com.pipeline",I18N_KEY,0)),INDEX(I18N_FR,MATCH("kpi.com.pipeline",I18N_KEY,0))),"kpi.com.pipeline")</f>
        <v/>
      </c>
      <c r="D1257" s="64" t="inlineStr">
        <is>
          <t>FCFA</t>
        </is>
      </c>
      <c r="E1257" s="70">
        <f>IFERROR((INDEX('M3 · Base mensuelle'!$D$73:$AM$73,MATCH(P_END,HDR,0)))/1000000,"")</f>
        <v/>
      </c>
      <c r="F1257" s="70">
        <f>IFERROR((SUMPRODUCT((BUD_MONTHS&gt;=MONTH(P_START))*(BUD_MONTHS&lt;=MONTH(P_END))*'M1 · Paramètres'!$H$74:$S$74)/SUMPRODUCT((BUD_MONTHS&gt;=MONTH(P_START))*(BUD_MONTHS&lt;=MONTH(P_END))*1))/1000000,"")</f>
        <v/>
      </c>
      <c r="G1257" s="77">
        <f>IFERROR((E1257)/(F1257)-1,"")</f>
        <v/>
      </c>
      <c r="H1257" s="68">
        <f>IF(P1257="","",IF(P1257="green",IFERROR(IF(LANG="EN",INDEX(I18N_EN,MATCH("rag.green",I18N_KEY,0)),INDEX(I18N_FR,MATCH("rag.green",I18N_KEY,0))),"rag.green"),IF(P1257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7" s="3" t="n"/>
      <c r="J1257" s="3" t="n"/>
      <c r="K1257" s="3" t="n"/>
      <c r="L1257" s="3" t="n"/>
      <c r="M1257" s="3" t="n"/>
      <c r="N1257" s="32" t="n"/>
      <c r="P1257" s="69">
        <f>IFERROR(IF(F1257=0,"",IF(INDEX(RAG_SENS,MATCH("kpi.com.pipeline",RAG_KEY,0))="UP",IF((E1257/F1257)&gt;=INDEX(RAG_SV,MATCH("kpi.com.pipeline",RAG_KEY,0)),"green",IF((E1257/F1257)&gt;=INDEX(RAG_SA,MATCH("kpi.com.pipeline",RAG_KEY,0)),"amber","red")),IF((E1257/F1257)&lt;=INDEX(RAG_SV,MATCH("kpi.com.pipeline",RAG_KEY,0)),"green",IF((E1257/F1257)&lt;=INDEX(RAG_SA,MATCH("kpi.com.pipeline",RAG_KEY,0)),"amber","red")))),"")</f>
        <v/>
      </c>
    </row>
    <row r="1258">
      <c r="C1258" s="63">
        <f>IFERROR(IF(LANG="EN",INDEX(I18N_EN,MATCH("kpi.com.popup_count",I18N_KEY,0)),INDEX(I18N_FR,MATCH("kpi.com.popup_count",I18N_KEY,0))),"kpi.com.popup_count")</f>
        <v/>
      </c>
      <c r="D1258" s="64" t="inlineStr">
        <is>
          <t>nb</t>
        </is>
      </c>
      <c r="E1258" s="65">
        <f>IFERROR((INDEX('M3 · Base mensuelle'!$D$76:$AM$76,MATCH(P_END,HDR,0))),"")</f>
        <v/>
      </c>
      <c r="F1258" s="65">
        <f>IFERROR((SUMPRODUCT((BUD_MONTHS&gt;=MONTH(P_START))*(BUD_MONTHS&lt;=MONTH(P_END))*'M1 · Paramètres'!$H$77:$S$77)/SUMPRODUCT((BUD_MONTHS&gt;=MONTH(P_START))*(BUD_MONTHS&lt;=MONTH(P_END))*1)),"")</f>
        <v/>
      </c>
      <c r="G1258" s="77">
        <f>IFERROR((E1258)/(F1258)-1,"")</f>
        <v/>
      </c>
      <c r="H1258" s="68">
        <f>IF(P1258="","",IF(P1258="green",IFERROR(IF(LANG="EN",INDEX(I18N_EN,MATCH("rag.green",I18N_KEY,0)),INDEX(I18N_FR,MATCH("rag.green",I18N_KEY,0))),"rag.green"),IF(P1258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8" s="3" t="n"/>
      <c r="J1258" s="3" t="n"/>
      <c r="K1258" s="3" t="n"/>
      <c r="L1258" s="3" t="n"/>
      <c r="M1258" s="3" t="n"/>
      <c r="N1258" s="32" t="n"/>
      <c r="P1258" s="69">
        <f>IFERROR(IF(F1258=0,"",IF(INDEX(RAG_SENS,MATCH("kpi.com.popup_count",RAG_KEY,0))="UP",IF((E1258/F1258)&gt;=INDEX(RAG_SV,MATCH("kpi.com.popup_count",RAG_KEY,0)),"green",IF((E1258/F1258)&gt;=INDEX(RAG_SA,MATCH("kpi.com.popup_count",RAG_KEY,0)),"amber","red")),IF((E1258/F1258)&lt;=INDEX(RAG_SV,MATCH("kpi.com.popup_count",RAG_KEY,0)),"green",IF((E1258/F1258)&lt;=INDEX(RAG_SA,MATCH("kpi.com.popup_count",RAG_KEY,0)),"amber","red")))),"")</f>
        <v/>
      </c>
    </row>
    <row r="1259">
      <c r="C1259" s="63">
        <f>IFERROR(IF(LANG="EN",INDEX(I18N_EN,MATCH("kpi.com.popup_rev",I18N_KEY,0)),INDEX(I18N_FR,MATCH("kpi.com.popup_rev",I18N_KEY,0))),"kpi.com.popup_rev")</f>
        <v/>
      </c>
      <c r="D1259" s="64" t="inlineStr">
        <is>
          <t>FCFA</t>
        </is>
      </c>
      <c r="E1259" s="70">
        <f>IFERROR((SUMIFS('M3 · Base mensuelle'!$D$77:$AM$77,HDR,"&gt;="&amp;P_START,HDR,"&lt;="&amp;P_END))/1000000,"")</f>
        <v/>
      </c>
      <c r="F1259" s="70">
        <f>IFERROR((SUMPRODUCT((BUD_MONTHS&gt;=MONTH(P_START))*(BUD_MONTHS&lt;=MONTH(P_END))*'M1 · Paramètres'!$H$78:$S$78))/1000000,"")</f>
        <v/>
      </c>
      <c r="G1259" s="77">
        <f>IFERROR((E1259)/(F1259)-1,"")</f>
        <v/>
      </c>
      <c r="H1259" s="68">
        <f>IF(P1259="","",IF(P1259="green",IFERROR(IF(LANG="EN",INDEX(I18N_EN,MATCH("rag.green",I18N_KEY,0)),INDEX(I18N_FR,MATCH("rag.green",I18N_KEY,0))),"rag.green"),IF(P1259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59" s="3" t="n"/>
      <c r="J1259" s="3" t="n"/>
      <c r="K1259" s="3" t="n"/>
      <c r="L1259" s="3" t="n"/>
      <c r="M1259" s="3" t="n"/>
      <c r="N1259" s="32" t="n"/>
      <c r="P1259" s="69">
        <f>IFERROR(IF(F1259=0,"",IF(INDEX(RAG_SENS,MATCH("kpi.com.popup_rev",RAG_KEY,0))="UP",IF((E1259/F1259)&gt;=INDEX(RAG_SV,MATCH("kpi.com.popup_rev",RAG_KEY,0)),"green",IF((E1259/F1259)&gt;=INDEX(RAG_SA,MATCH("kpi.com.popup_rev",RAG_KEY,0)),"amber","red")),IF((E1259/F1259)&lt;=INDEX(RAG_SV,MATCH("kpi.com.popup_rev",RAG_KEY,0)),"green",IF((E1259/F1259)&lt;=INDEX(RAG_SA,MATCH("kpi.com.popup_rev",RAG_KEY,0)),"amber","red")))),"")</f>
        <v/>
      </c>
    </row>
    <row r="1260">
      <c r="C1260" s="63">
        <f>IFERROR(IF(LANG="EN",INDEX(I18N_EN,MATCH("kpi.com.kiosk_occ",I18N_KEY,0)),INDEX(I18N_FR,MATCH("kpi.com.kiosk_occ",I18N_KEY,0))),"kpi.com.kiosk_occ")</f>
        <v/>
      </c>
      <c r="D1260" s="64" t="inlineStr">
        <is>
          <t>%</t>
        </is>
      </c>
      <c r="E1260" s="71">
        <f>IFERROR((AVERAGEIFS('M3 · Base mensuelle'!$D$78:$AM$78,HDR,"&gt;="&amp;P_START,HDR,"&lt;="&amp;P_END)),"")</f>
        <v/>
      </c>
      <c r="F1260" s="71">
        <f>IFERROR((SUMPRODUCT((BUD_MONTHS&gt;=MONTH(P_START))*(BUD_MONTHS&lt;=MONTH(P_END))*'M1 · Paramètres'!$H$79:$S$79)/SUMPRODUCT((BUD_MONTHS&gt;=MONTH(P_START))*(BUD_MONTHS&lt;=MONTH(P_END))*1)),"")</f>
        <v/>
      </c>
      <c r="G1260" s="77">
        <f>IFERROR((E1260)/(F1260)-1,"")</f>
        <v/>
      </c>
      <c r="H1260" s="68">
        <f>IF(P1260="","",IF(P1260="green",IFERROR(IF(LANG="EN",INDEX(I18N_EN,MATCH("rag.green",I18N_KEY,0)),INDEX(I18N_FR,MATCH("rag.green",I18N_KEY,0))),"rag.green"),IF(P1260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60" s="3" t="n"/>
      <c r="J1260" s="3" t="n"/>
      <c r="K1260" s="3" t="n"/>
      <c r="L1260" s="3" t="n"/>
      <c r="M1260" s="3" t="n"/>
      <c r="N1260" s="32" t="n"/>
      <c r="P1260" s="69">
        <f>IFERROR(IF(F1260=0,"",IF(INDEX(RAG_SENS,MATCH("kpi.com.kiosk_occ",RAG_KEY,0))="UP",IF((E1260/F1260)&gt;=INDEX(RAG_SV,MATCH("kpi.com.kiosk_occ",RAG_KEY,0)),"green",IF((E1260/F1260)&gt;=INDEX(RAG_SA,MATCH("kpi.com.kiosk_occ",RAG_KEY,0)),"amber","red")),IF((E1260/F1260)&lt;=INDEX(RAG_SV,MATCH("kpi.com.kiosk_occ",RAG_KEY,0)),"green",IF((E1260/F1260)&lt;=INDEX(RAG_SA,MATCH("kpi.com.kiosk_occ",RAG_KEY,0)),"amber","red")))),"")</f>
        <v/>
      </c>
    </row>
    <row r="1261">
      <c r="C1261" s="63">
        <f>IFERROR(IF(LANG="EN",INDEX(I18N_EN,MATCH("kpi.com.market_rev",I18N_KEY,0)),INDEX(I18N_FR,MATCH("kpi.com.market_rev",I18N_KEY,0))),"kpi.com.market_rev")</f>
        <v/>
      </c>
      <c r="D1261" s="64" t="inlineStr">
        <is>
          <t>FCFA</t>
        </is>
      </c>
      <c r="E1261" s="70">
        <f>IFERROR((SUMIFS('M3 · Base mensuelle'!$D$79:$AM$79,HDR,"&gt;="&amp;P_START,HDR,"&lt;="&amp;P_END))/1000000,"")</f>
        <v/>
      </c>
      <c r="F1261" s="70">
        <f>IFERROR((SUMPRODUCT((BUD_MONTHS&gt;=MONTH(P_START))*(BUD_MONTHS&lt;=MONTH(P_END))*'M1 · Paramètres'!$H$80:$S$80))/1000000,"")</f>
        <v/>
      </c>
      <c r="G1261" s="77">
        <f>IFERROR((E1261)/(F1261)-1,"")</f>
        <v/>
      </c>
      <c r="H1261" s="68">
        <f>IF(P1261="","",IF(P1261="green",IFERROR(IF(LANG="EN",INDEX(I18N_EN,MATCH("rag.green",I18N_KEY,0)),INDEX(I18N_FR,MATCH("rag.green",I18N_KEY,0))),"rag.green"),IF(P1261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61" s="3" t="n"/>
      <c r="J1261" s="3" t="n"/>
      <c r="K1261" s="3" t="n"/>
      <c r="L1261" s="3" t="n"/>
      <c r="M1261" s="3" t="n"/>
      <c r="N1261" s="32" t="n"/>
      <c r="P1261" s="69">
        <f>IFERROR(IF(F1261=0,"",IF(INDEX(RAG_SENS,MATCH("kpi.com.market_rev",RAG_KEY,0))="UP",IF((E1261/F1261)&gt;=INDEX(RAG_SV,MATCH("kpi.com.market_rev",RAG_KEY,0)),"green",IF((E1261/F1261)&gt;=INDEX(RAG_SA,MATCH("kpi.com.market_rev",RAG_KEY,0)),"amber","red")),IF((E1261/F1261)&lt;=INDEX(RAG_SV,MATCH("kpi.com.market_rev",RAG_KEY,0)),"green",IF((E1261/F1261)&lt;=INDEX(RAG_SA,MATCH("kpi.com.market_rev",RAG_KEY,0)),"amber","red")))),"")</f>
        <v/>
      </c>
    </row>
    <row r="1262">
      <c r="C1262" s="63">
        <f>IFERROR(IF(LANG="EN",INDEX(I18N_EN,MATCH("kpi.com.market_occ",I18N_KEY,0)),INDEX(I18N_FR,MATCH("kpi.com.market_occ",I18N_KEY,0))),"kpi.com.market_occ")</f>
        <v/>
      </c>
      <c r="D1262" s="64" t="inlineStr">
        <is>
          <t>%</t>
        </is>
      </c>
      <c r="E1262" s="71">
        <f>IFERROR((AVERAGEIFS('M3 · Base mensuelle'!$D$80:$AM$80,HDR,"&gt;="&amp;P_START,HDR,"&lt;="&amp;P_END)),"")</f>
        <v/>
      </c>
      <c r="F1262" s="71">
        <f>IFERROR((SUMPRODUCT((BUD_MONTHS&gt;=MONTH(P_START))*(BUD_MONTHS&lt;=MONTH(P_END))*'M1 · Paramètres'!$H$81:$S$81)/SUMPRODUCT((BUD_MONTHS&gt;=MONTH(P_START))*(BUD_MONTHS&lt;=MONTH(P_END))*1)),"")</f>
        <v/>
      </c>
      <c r="G1262" s="77">
        <f>IFERROR((E1262)/(F1262)-1,"")</f>
        <v/>
      </c>
      <c r="H1262" s="68">
        <f>IF(P1262="","",IF(P1262="green",IFERROR(IF(LANG="EN",INDEX(I18N_EN,MATCH("rag.green",I18N_KEY,0)),INDEX(I18N_FR,MATCH("rag.green",I18N_KEY,0))),"rag.green"),IF(P1262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62" s="3" t="n"/>
      <c r="J1262" s="3" t="n"/>
      <c r="K1262" s="3" t="n"/>
      <c r="L1262" s="3" t="n"/>
      <c r="M1262" s="3" t="n"/>
      <c r="N1262" s="32" t="n"/>
      <c r="P1262" s="69">
        <f>IFERROR(IF(F1262=0,"",IF(INDEX(RAG_SENS,MATCH("kpi.com.market_occ",RAG_KEY,0))="UP",IF((E1262/F1262)&gt;=INDEX(RAG_SV,MATCH("kpi.com.market_occ",RAG_KEY,0)),"green",IF((E1262/F1262)&gt;=INDEX(RAG_SA,MATCH("kpi.com.market_occ",RAG_KEY,0)),"amber","red")),IF((E1262/F1262)&lt;=INDEX(RAG_SV,MATCH("kpi.com.market_occ",RAG_KEY,0)),"green",IF((E1262/F1262)&lt;=INDEX(RAG_SA,MATCH("kpi.com.market_occ",RAG_KEY,0)),"amber","red")))),"")</f>
        <v/>
      </c>
    </row>
    <row r="1263">
      <c r="C1263" s="63">
        <f>IFERROR(IF(LANG="EN",INDEX(I18N_EN,MATCH("kpi.com.market_stalls",I18N_KEY,0)),INDEX(I18N_FR,MATCH("kpi.com.market_stalls",I18N_KEY,0))),"kpi.com.market_stalls")</f>
        <v/>
      </c>
      <c r="D1263" s="64" t="inlineStr">
        <is>
          <t>nb</t>
        </is>
      </c>
      <c r="E1263" s="65">
        <f>IFERROR((INDEX('M3 · Base mensuelle'!$D$81:$AM$81,MATCH(P_END,HDR,0))),"")</f>
        <v/>
      </c>
      <c r="F1263" s="65">
        <f>IFERROR((SUMPRODUCT((BUD_MONTHS&gt;=MONTH(P_START))*(BUD_MONTHS&lt;=MONTH(P_END))*'M1 · Paramètres'!$H$82:$S$82)/SUMPRODUCT((BUD_MONTHS&gt;=MONTH(P_START))*(BUD_MONTHS&lt;=MONTH(P_END))*1)),"")</f>
        <v/>
      </c>
      <c r="G1263" s="77">
        <f>IFERROR((E1263)/(F1263)-1,"")</f>
        <v/>
      </c>
      <c r="H1263" s="68">
        <f>IF(P1263="","",IF(P1263="green",IFERROR(IF(LANG="EN",INDEX(I18N_EN,MATCH("rag.green",I18N_KEY,0)),INDEX(I18N_FR,MATCH("rag.green",I18N_KEY,0))),"rag.green"),IF(P1263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63" s="3" t="n"/>
      <c r="J1263" s="3" t="n"/>
      <c r="K1263" s="3" t="n"/>
      <c r="L1263" s="3" t="n"/>
      <c r="M1263" s="3" t="n"/>
      <c r="N1263" s="32" t="n"/>
      <c r="P1263" s="69">
        <f>IFERROR(IF(F1263=0,"",IF(INDEX(RAG_SENS,MATCH("kpi.com.market_stalls",RAG_KEY,0))="UP",IF((E1263/F1263)&gt;=INDEX(RAG_SV,MATCH("kpi.com.market_stalls",RAG_KEY,0)),"green",IF((E1263/F1263)&gt;=INDEX(RAG_SA,MATCH("kpi.com.market_stalls",RAG_KEY,0)),"amber","red")),IF((E1263/F1263)&lt;=INDEX(RAG_SV,MATCH("kpi.com.market_stalls",RAG_KEY,0)),"green",IF((E1263/F1263)&lt;=INDEX(RAG_SA,MATCH("kpi.com.market_stalls",RAG_KEY,0)),"amber","red")))),"")</f>
        <v/>
      </c>
    </row>
    <row r="1264">
      <c r="C1264" s="63">
        <f>IFERROR(IF(LANG="EN",INDEX(I18N_EN,MATCH("kpi.com.media_sales",I18N_KEY,0)),INDEX(I18N_FR,MATCH("kpi.com.media_sales",I18N_KEY,0))),"kpi.com.media_sales")</f>
        <v/>
      </c>
      <c r="D1264" s="64" t="inlineStr">
        <is>
          <t>FCFA</t>
        </is>
      </c>
      <c r="E1264" s="70">
        <f>IFERROR((SUMIFS('M3 · Base mensuelle'!$D$82:$AM$82,HDR,"&gt;="&amp;P_START,HDR,"&lt;="&amp;P_END))/1000000,"")</f>
        <v/>
      </c>
      <c r="F1264" s="70">
        <f>IFERROR((SUMPRODUCT((BUD_MONTHS&gt;=MONTH(P_START))*(BUD_MONTHS&lt;=MONTH(P_END))*'M1 · Paramètres'!$H$83:$S$83))/1000000,"")</f>
        <v/>
      </c>
      <c r="G1264" s="77">
        <f>IFERROR((E1264)/(F1264)-1,"")</f>
        <v/>
      </c>
      <c r="H1264" s="68">
        <f>IF(P1264="","",IF(P1264="green",IFERROR(IF(LANG="EN",INDEX(I18N_EN,MATCH("rag.green",I18N_KEY,0)),INDEX(I18N_FR,MATCH("rag.green",I18N_KEY,0))),"rag.green"),IF(P1264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264" s="3" t="n"/>
      <c r="J1264" s="3" t="n"/>
      <c r="K1264" s="3" t="n"/>
      <c r="L1264" s="3" t="n"/>
      <c r="M1264" s="3" t="n"/>
      <c r="N1264" s="32" t="n"/>
      <c r="P1264" s="69">
        <f>IFERROR(IF(F1264=0,"",IF(INDEX(RAG_SENS,MATCH("kpi.com.media_sales",RAG_KEY,0))="UP",IF((E1264/F1264)&gt;=INDEX(RAG_SV,MATCH("kpi.com.media_sales",RAG_KEY,0)),"green",IF((E1264/F1264)&gt;=INDEX(RAG_SA,MATCH("kpi.com.media_sales",RAG_KEY,0)),"amber","red")),IF((E1264/F1264)&lt;=INDEX(RAG_SV,MATCH("kpi.com.media_sales",RAG_KEY,0)),"green",IF((E1264/F1264)&lt;=INDEX(RAG_SA,MATCH("kpi.com.media_sales",RAG_KEY,0)),"amber","red")))),"")</f>
        <v/>
      </c>
    </row>
    <row r="1265">
      <c r="C1265" s="53">
        <f>"💬 "&amp;IFERROR(IF(LANG="EN",INDEX(I18N_EN,MATCH("col.comment",I18N_KEY,0)),INDEX(I18N_FR,MATCH("col.comment",I18N_KEY,0))),"col.comment")</f>
        <v/>
      </c>
      <c r="D1265" s="5" t="n"/>
      <c r="E1265" s="5" t="n"/>
      <c r="F1265" s="5" t="n"/>
      <c r="G1265" s="5" t="n"/>
      <c r="H1265" s="5" t="n"/>
      <c r="I1265" s="5" t="n"/>
      <c r="J1265" s="5" t="n"/>
      <c r="K1265" s="5" t="n"/>
      <c r="L1265" s="5" t="n"/>
      <c r="M1265" s="5" t="n"/>
      <c r="N1265" s="54" t="n"/>
      <c r="O1265" s="5" t="n"/>
    </row>
    <row r="1266">
      <c r="C1266" s="55">
        <f>IF(LANG="EN","Budget variance commentary.","Commentaire écart budgétaire.")</f>
        <v/>
      </c>
      <c r="D1266" s="56" t="n"/>
      <c r="E1266" s="56" t="n"/>
      <c r="F1266" s="56" t="n"/>
      <c r="G1266" s="56" t="n"/>
      <c r="H1266" s="56" t="n"/>
      <c r="I1266" s="56" t="n"/>
      <c r="J1266" s="56" t="n"/>
      <c r="K1266" s="56" t="n"/>
      <c r="L1266" s="56" t="n"/>
      <c r="M1266" s="56" t="n"/>
      <c r="N1266" s="56" t="n"/>
      <c r="O1266" s="57" t="n"/>
    </row>
    <row r="1267">
      <c r="C1267" s="50" t="n"/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2" t="n"/>
    </row>
    <row r="1268">
      <c r="C1268" s="58" t="n"/>
      <c r="D1268" s="58" t="n"/>
      <c r="E1268" s="58" t="n"/>
      <c r="F1268" s="58" t="n"/>
      <c r="G1268" s="58" t="n"/>
      <c r="H1268" s="58" t="n"/>
      <c r="I1268" s="58" t="n"/>
      <c r="J1268" s="58" t="n"/>
      <c r="K1268" s="58" t="n"/>
      <c r="L1268" s="58" t="n"/>
      <c r="M1268" s="58" t="n"/>
      <c r="N1268" s="58" t="n"/>
      <c r="O1268" s="59" t="n"/>
    </row>
    <row r="1269">
      <c r="C1269" s="60" t="n"/>
      <c r="D1269" s="36" t="n"/>
      <c r="E1269" s="36" t="n"/>
      <c r="F1269" s="36" t="n"/>
      <c r="G1269" s="36" t="n"/>
      <c r="H1269" s="36" t="n"/>
      <c r="I1269" s="36" t="n"/>
      <c r="J1269" s="36" t="n"/>
      <c r="K1269" s="36" t="n"/>
      <c r="L1269" s="36" t="n"/>
      <c r="M1269" s="36" t="n"/>
      <c r="N1269" s="22" t="n"/>
    </row>
    <row r="1270">
      <c r="C1270" s="3" t="n"/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</row>
    <row r="1271">
      <c r="C1271" s="78" t="n"/>
      <c r="D1271" s="78" t="n"/>
      <c r="E1271" s="78" t="n"/>
      <c r="F1271" s="78" t="n"/>
      <c r="G1271" s="78" t="n"/>
      <c r="H1271" s="78" t="n"/>
      <c r="I1271" s="78" t="n"/>
      <c r="J1271" s="78" t="n"/>
      <c r="K1271" s="78" t="n"/>
      <c r="L1271" s="78" t="n"/>
      <c r="M1271" s="78" t="n"/>
      <c r="N1271" s="78" t="n"/>
      <c r="O1271" s="78" t="n"/>
    </row>
    <row r="1272">
      <c r="C1272" s="3" t="n"/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</row>
    <row r="1273" ht="28" customHeight="1">
      <c r="C1273" s="9">
        <f>"         8.   "&amp;IFERROR(IF(LANG="EN",INDEX(I18N_EN,MATCH("dept.hsse",I18N_KEY,0)),INDEX(I18N_FR,MATCH("dept.hsse",I18N_KEY,0))),"dept.hsse")&amp;"   ·   "&amp;IF(LANG="EN",INDEX(MOIS_EN,MONTH(PERIODE)),INDEX(MOIS_FR,MONTH(PERIODE)))&amp;" "&amp;YEAR(PERIODE)</f>
        <v/>
      </c>
      <c r="D1273" s="1" t="n"/>
      <c r="E1273" s="1" t="n"/>
      <c r="F1273" s="1" t="n"/>
      <c r="G1273" s="1" t="n"/>
      <c r="H1273" s="1" t="n"/>
      <c r="I1273" s="1" t="n"/>
      <c r="J1273" s="1" t="n"/>
      <c r="K1273" s="1" t="n"/>
      <c r="L1273" s="1" t="n"/>
      <c r="M1273" s="1" t="n"/>
      <c r="N1273" s="1" t="n"/>
      <c r="O1273" s="15">
        <f>"↑ "&amp;IFERROR(IF(LANG="EN",INDEX(I18N_EN,MATCH("nav.summary",I18N_KEY,0)),INDEX(I18N_FR,MATCH("nav.summary",I18N_KEY,0))),"nav.summary")</f>
        <v/>
      </c>
    </row>
    <row r="1274">
      <c r="C1274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</row>
    <row r="1275">
      <c r="C1275" s="3" t="n"/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</row>
    <row r="1276" ht="5" customHeight="1">
      <c r="C1276" s="17" t="n"/>
      <c r="D1276" s="38" t="n"/>
      <c r="E1276" s="38" t="n"/>
      <c r="F1276" s="38" t="n"/>
      <c r="G1276" s="38" t="n"/>
      <c r="H1276" s="18" t="n"/>
      <c r="I1276" s="17" t="n"/>
      <c r="J1276" s="38" t="n"/>
      <c r="K1276" s="38" t="n"/>
      <c r="L1276" s="38" t="n"/>
      <c r="M1276" s="38" t="n"/>
      <c r="N1276" s="18" t="n"/>
    </row>
    <row r="1277" ht="18" customHeight="1">
      <c r="C1277" s="39">
        <f>"       "&amp;IFERROR(IF(LANG="EN",INDEX(I18N_EN,MATCH("kpi.hsse.incidents",I18N_KEY,0)),INDEX(I18N_FR,MATCH("kpi.hsse.incidents",I18N_KEY,0))),"kpi.hsse.incidents")</f>
        <v/>
      </c>
      <c r="D1277" s="40" t="n"/>
      <c r="E1277" s="40" t="n"/>
      <c r="F1277" s="40" t="n"/>
      <c r="G1277" s="40" t="n"/>
      <c r="H1277" s="20" t="n"/>
      <c r="I1277" s="39">
        <f>"       "&amp;IFERROR(IF(LANG="EN",INDEX(I18N_EN,MATCH("kpi.hsse.incident_sev",I18N_KEY,0)),INDEX(I18N_FR,MATCH("kpi.hsse.incident_sev",I18N_KEY,0))),"kpi.hsse.incident_sev")</f>
        <v/>
      </c>
      <c r="J1277" s="40" t="n"/>
      <c r="K1277" s="40" t="n"/>
      <c r="L1277" s="40" t="n"/>
      <c r="M1277" s="40" t="n"/>
      <c r="N1277" s="20" t="n"/>
    </row>
    <row r="1278" ht="42" customHeight="1">
      <c r="C1278" s="41">
        <f>IFERROR((SUMIFS('M3 · Base mensuelle'!$D$87:$AM$87,HDR,"&gt;="&amp;P_START,HDR,"&lt;="&amp;P_END)),"")</f>
        <v/>
      </c>
      <c r="D1278" s="40" t="n"/>
      <c r="E1278" s="40" t="n"/>
      <c r="F1278" s="40" t="n"/>
      <c r="G1278" s="40" t="n"/>
      <c r="H1278" s="20" t="n"/>
      <c r="I1278" s="41">
        <f>IFERROR((AVERAGEIFS('M3 · Base mensuelle'!$D$88:$AM$88,HDR,"&gt;="&amp;P_START,HDR,"&lt;="&amp;P_END)),"")</f>
        <v/>
      </c>
      <c r="J1278" s="40" t="n"/>
      <c r="K1278" s="40" t="n"/>
      <c r="L1278" s="40" t="n"/>
      <c r="M1278" s="40" t="n"/>
      <c r="N1278" s="20" t="n"/>
    </row>
    <row r="1279" ht="20" customHeight="1">
      <c r="C1279" s="42">
        <f>IFERROR((IFERROR((SUMIFS('M3 · Base mensuelle'!$D$87:$AM$87,HDR,"&gt;="&amp;P_START,HDR,"&lt;="&amp;P_END)),""))/(IFERROR((SUMIFS('M3 · Base mensuelle'!$D$87:$AM$87,HDR,"&gt;="&amp;PP_START,HDR,"&lt;="&amp;PP_END)),""))-1,"")</f>
        <v/>
      </c>
      <c r="D1279" s="36" t="n"/>
      <c r="E1279" s="36" t="n"/>
      <c r="F1279" s="36" t="n"/>
      <c r="G1279" s="36" t="n"/>
      <c r="H1279" s="22" t="n"/>
      <c r="I1279" s="42">
        <f>IFERROR((IFERROR((AVERAGEIFS('M3 · Base mensuelle'!$D$88:$AM$88,HDR,"&gt;="&amp;P_START,HDR,"&lt;="&amp;P_END)),""))/(IFERROR((AVERAGEIFS('M3 · Base mensuelle'!$D$88:$AM$88,HDR,"&gt;="&amp;PP_START,HDR,"&lt;="&amp;PP_END)),""))-1,"")</f>
        <v/>
      </c>
      <c r="J1279" s="36" t="n"/>
      <c r="K1279" s="36" t="n"/>
      <c r="L1279" s="36" t="n"/>
      <c r="M1279" s="36" t="n"/>
      <c r="N1279" s="22" t="n"/>
    </row>
    <row r="1280">
      <c r="C1280" s="3" t="n"/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</row>
    <row r="1281" ht="5" customHeight="1">
      <c r="C1281" s="17" t="n"/>
      <c r="D1281" s="38" t="n"/>
      <c r="E1281" s="38" t="n"/>
      <c r="F1281" s="38" t="n"/>
      <c r="G1281" s="38" t="n"/>
      <c r="H1281" s="18" t="n"/>
      <c r="I1281" s="17" t="n"/>
      <c r="J1281" s="38" t="n"/>
      <c r="K1281" s="38" t="n"/>
      <c r="L1281" s="38" t="n"/>
      <c r="M1281" s="38" t="n"/>
      <c r="N1281" s="18" t="n"/>
    </row>
    <row r="1282" ht="18" customHeight="1">
      <c r="C1282" s="39">
        <f>"       "&amp;IFERROR(IF(LANG="EN",INDEX(I18N_EN,MATCH("kpi.hsse.tf",I18N_KEY,0)),INDEX(I18N_FR,MATCH("kpi.hsse.tf",I18N_KEY,0))),"kpi.hsse.tf")</f>
        <v/>
      </c>
      <c r="D1282" s="40" t="n"/>
      <c r="E1282" s="40" t="n"/>
      <c r="F1282" s="40" t="n"/>
      <c r="G1282" s="40" t="n"/>
      <c r="H1282" s="20" t="n"/>
      <c r="I1282" s="39">
        <f>"       "&amp;IFERROR(IF(LANG="EN",INDEX(I18N_EN,MATCH("kpi.hsse.tg",I18N_KEY,0)),INDEX(I18N_FR,MATCH("kpi.hsse.tg",I18N_KEY,0))),"kpi.hsse.tg")</f>
        <v/>
      </c>
      <c r="J1282" s="40" t="n"/>
      <c r="K1282" s="40" t="n"/>
      <c r="L1282" s="40" t="n"/>
      <c r="M1282" s="40" t="n"/>
      <c r="N1282" s="20" t="n"/>
    </row>
    <row r="1283" ht="42" customHeight="1">
      <c r="C1283" s="41">
        <f>IFERROR((AVERAGEIFS('M3 · Base mensuelle'!$D$89:$AM$89,HDR,"&gt;="&amp;P_START,HDR,"&lt;="&amp;P_END)),"")</f>
        <v/>
      </c>
      <c r="D1283" s="40" t="n"/>
      <c r="E1283" s="40" t="n"/>
      <c r="F1283" s="40" t="n"/>
      <c r="G1283" s="40" t="n"/>
      <c r="H1283" s="20" t="n"/>
      <c r="I1283" s="41">
        <f>IFERROR((AVERAGEIFS('M3 · Base mensuelle'!$D$90:$AM$90,HDR,"&gt;="&amp;P_START,HDR,"&lt;="&amp;P_END)),"")</f>
        <v/>
      </c>
      <c r="J1283" s="40" t="n"/>
      <c r="K1283" s="40" t="n"/>
      <c r="L1283" s="40" t="n"/>
      <c r="M1283" s="40" t="n"/>
      <c r="N1283" s="20" t="n"/>
    </row>
    <row r="1284" ht="20" customHeight="1">
      <c r="C1284" s="42">
        <f>IFERROR((IFERROR((AVERAGEIFS('M3 · Base mensuelle'!$D$89:$AM$89,HDR,"&gt;="&amp;P_START,HDR,"&lt;="&amp;P_END)),""))/(IFERROR((AVERAGEIFS('M3 · Base mensuelle'!$D$89:$AM$89,HDR,"&gt;="&amp;PP_START,HDR,"&lt;="&amp;PP_END)),""))-1,"")</f>
        <v/>
      </c>
      <c r="D1284" s="36" t="n"/>
      <c r="E1284" s="36" t="n"/>
      <c r="F1284" s="36" t="n"/>
      <c r="G1284" s="36" t="n"/>
      <c r="H1284" s="22" t="n"/>
      <c r="I1284" s="42">
        <f>IFERROR((IFERROR((AVERAGEIFS('M3 · Base mensuelle'!$D$90:$AM$90,HDR,"&gt;="&amp;P_START,HDR,"&lt;="&amp;P_END)),""))/(IFERROR((AVERAGEIFS('M3 · Base mensuelle'!$D$90:$AM$90,HDR,"&gt;="&amp;PP_START,HDR,"&lt;="&amp;PP_END)),""))-1,"")</f>
        <v/>
      </c>
      <c r="J1284" s="36" t="n"/>
      <c r="K1284" s="36" t="n"/>
      <c r="L1284" s="36" t="n"/>
      <c r="M1284" s="36" t="n"/>
      <c r="N1284" s="22" t="n"/>
    </row>
    <row r="1285">
      <c r="C1285" s="3" t="n"/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</row>
    <row r="1286">
      <c r="C1286" s="3" t="n"/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</row>
    <row r="1287">
      <c r="C1287" s="43">
        <f>"▌ "&amp;IFERROR(IF(LANG="EN",INDEX(I18N_EN,MATCH("kpi.hsse.incidents",I18N_KEY,0)),INDEX(I18N_FR,MATCH("kpi.hsse.incidents",I18N_KEY,0))),"kpi.hsse.incidents")&amp;" — 12 mois / 12M"</f>
        <v/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</row>
    <row r="1288">
      <c r="C1288" s="3" t="n"/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</row>
    <row r="1289">
      <c r="C1289" s="3" t="n"/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</row>
    <row r="1290">
      <c r="C1290" s="3" t="n"/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</row>
    <row r="1291">
      <c r="C1291" s="3" t="n"/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</row>
    <row r="1292">
      <c r="C1292" s="3" t="n"/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</row>
    <row r="1293">
      <c r="C1293" s="3" t="n"/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</row>
    <row r="1294">
      <c r="C1294" s="3" t="n"/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</row>
    <row r="1295">
      <c r="C1295" s="3" t="n"/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</row>
    <row r="1296">
      <c r="C1296" s="3" t="n"/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</row>
    <row r="1297">
      <c r="C1297" s="3" t="n"/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</row>
    <row r="1298">
      <c r="C1298" s="3" t="n"/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</row>
    <row r="1299">
      <c r="C1299" s="43">
        <f>"▌ "&amp;IF(LANG="EN","Key gauges","Jauges clés")</f>
        <v/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</row>
    <row r="1300">
      <c r="C1300" s="44">
        <f>IFERROR(IF(LANG="EN",INDEX(I18N_EN,MATCH("kpi.hsse.fire_conform",I18N_KEY,0)),INDEX(I18N_FR,MATCH("kpi.hsse.fire_conform",I18N_KEY,0))),"kpi.hsse.fire_conform")</f>
        <v/>
      </c>
      <c r="D1300" s="3" t="n"/>
      <c r="E1300" s="3" t="n"/>
      <c r="F1300" s="3" t="n"/>
      <c r="G1300" s="44">
        <f>IFERROR(IF(LANG="EN",INDEX(I18N_EN,MATCH("kpi.hsse.cctv",I18N_KEY,0)),INDEX(I18N_FR,MATCH("kpi.hsse.cctv",I18N_KEY,0))),"kpi.hsse.cctv")</f>
        <v/>
      </c>
      <c r="H1300" s="3" t="n"/>
      <c r="I1300" s="3" t="n"/>
      <c r="J1300" s="3" t="n"/>
      <c r="K1300" s="44">
        <f>IFERROR(IF(LANG="EN",INDEX(I18N_EN,MATCH("kpi.hsse.risks_treated",I18N_KEY,0)),INDEX(I18N_FR,MATCH("kpi.hsse.risks_treated",I18N_KEY,0))),"kpi.hsse.risks_treated")</f>
        <v/>
      </c>
      <c r="L1300" s="3" t="n"/>
      <c r="M1300" s="3" t="n"/>
      <c r="N1300" s="3" t="n"/>
    </row>
    <row r="1301">
      <c r="C1301" s="3" t="n"/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</row>
    <row r="1302">
      <c r="C1302" s="3" t="n"/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</row>
    <row r="1303">
      <c r="C1303" s="3" t="n"/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</row>
    <row r="1304">
      <c r="C1304" s="3" t="n"/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</row>
    <row r="1305">
      <c r="C1305" s="3" t="n"/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</row>
    <row r="1306">
      <c r="C1306" s="3" t="n"/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</row>
    <row r="1307">
      <c r="C1307" s="3" t="n"/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</row>
    <row r="1308">
      <c r="C1308" s="45">
        <f>IFERROR((AVERAGEIFS('M3 · Base mensuelle'!$D$94:$AM$94,HDR,"&gt;="&amp;P_START,HDR,"&lt;="&amp;P_END)),"")</f>
        <v/>
      </c>
      <c r="D1308" s="3" t="n"/>
      <c r="E1308" s="3" t="n"/>
      <c r="F1308" s="3" t="n"/>
      <c r="G1308" s="45">
        <f>IFERROR((AVERAGEIFS('M3 · Base mensuelle'!$D$99:$AM$99,HDR,"&gt;="&amp;P_START,HDR,"&lt;="&amp;P_END)),"")</f>
        <v/>
      </c>
      <c r="H1308" s="3" t="n"/>
      <c r="I1308" s="3" t="n"/>
      <c r="J1308" s="3" t="n"/>
      <c r="K1308" s="45">
        <f>IFERROR((AVERAGEIFS('M3 · Base mensuelle'!$D$102:$AM$102,HDR,"&gt;="&amp;P_START,HDR,"&lt;="&amp;P_END)),"")</f>
        <v/>
      </c>
      <c r="L1308" s="3" t="n"/>
      <c r="M1308" s="3" t="n"/>
      <c r="N1308" s="3" t="n"/>
    </row>
    <row r="1309">
      <c r="C1309" s="3" t="n"/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</row>
    <row r="1310">
      <c r="C1310" s="3" t="n"/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</row>
    <row r="1311">
      <c r="C1311" s="3" t="n"/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</row>
    <row r="1312" ht="19" customHeight="1">
      <c r="C1312" s="46">
        <f>"▸  8.1  "&amp;IF(LANG="EN","Events Hazard Logbook","Journal des événements / dangers")</f>
        <v/>
      </c>
      <c r="D1312" s="47" t="n"/>
      <c r="E1312" s="47" t="n"/>
      <c r="F1312" s="47" t="n"/>
      <c r="G1312" s="47" t="n"/>
      <c r="H1312" s="47" t="n"/>
      <c r="I1312" s="47" t="n"/>
      <c r="J1312" s="47" t="n"/>
      <c r="K1312" s="47" t="n"/>
      <c r="L1312" s="47" t="n"/>
      <c r="M1312" s="47" t="n"/>
      <c r="N1312" s="48" t="n"/>
      <c r="O1312" s="1" t="n"/>
    </row>
    <row r="1313">
      <c r="C1313" s="80" t="inlineStr">
        <is>
          <t>Réf / Ref</t>
        </is>
      </c>
      <c r="D1313" s="81" t="inlineStr">
        <is>
          <t>Date</t>
        </is>
      </c>
      <c r="E1313" s="81" t="inlineStr">
        <is>
          <t>Type</t>
        </is>
      </c>
      <c r="F1313" s="81" t="inlineStr">
        <is>
          <t>Lieu / Location</t>
        </is>
      </c>
      <c r="G1313" s="81" t="inlineStr">
        <is>
          <t>Gravité / Severity</t>
        </is>
      </c>
      <c r="H1313" s="3" t="n"/>
      <c r="I1313" s="3" t="n"/>
      <c r="J1313" s="3" t="n"/>
      <c r="K1313" s="3" t="n"/>
      <c r="L1313" s="3" t="n"/>
      <c r="M1313" s="3" t="n"/>
      <c r="N1313" s="32" t="n"/>
    </row>
    <row r="1314">
      <c r="C1314" s="82" t="inlineStr">
        <is>
          <t>EV-2601</t>
        </is>
      </c>
      <c r="D1314" s="84" t="inlineStr">
        <is>
          <t>2026-06-03</t>
        </is>
      </c>
      <c r="E1314" s="84" t="inlineStr">
        <is>
          <t>Chute / Slip</t>
        </is>
      </c>
      <c r="F1314" s="84" t="inlineStr">
        <is>
          <t>Parking</t>
        </is>
      </c>
      <c r="G1314" s="84" t="inlineStr">
        <is>
          <t>Mineur / Minor</t>
        </is>
      </c>
      <c r="H1314" s="3" t="n"/>
      <c r="I1314" s="3" t="n"/>
      <c r="J1314" s="3" t="n"/>
      <c r="K1314" s="3" t="n"/>
      <c r="L1314" s="3" t="n"/>
      <c r="M1314" s="3" t="n"/>
      <c r="N1314" s="32" t="n"/>
    </row>
    <row r="1315">
      <c r="C1315" s="82" t="inlineStr">
        <is>
          <t>EV-2602</t>
        </is>
      </c>
      <c r="D1315" s="84" t="inlineStr">
        <is>
          <t>2026-06-09</t>
        </is>
      </c>
      <c r="E1315" s="84" t="inlineStr">
        <is>
          <t>Incendie évité / Near-fire</t>
        </is>
      </c>
      <c r="F1315" s="84" t="inlineStr">
        <is>
          <t>Local technique / Plant room</t>
        </is>
      </c>
      <c r="G1315" s="84" t="inlineStr">
        <is>
          <t>Majeur / Major</t>
        </is>
      </c>
      <c r="H1315" s="3" t="n"/>
      <c r="I1315" s="3" t="n"/>
      <c r="J1315" s="3" t="n"/>
      <c r="K1315" s="3" t="n"/>
      <c r="L1315" s="3" t="n"/>
      <c r="M1315" s="3" t="n"/>
      <c r="N1315" s="32" t="n"/>
    </row>
    <row r="1316">
      <c r="C1316" s="82" t="inlineStr">
        <is>
          <t>EV-2603</t>
        </is>
      </c>
      <c r="D1316" s="84" t="inlineStr">
        <is>
          <t>2026-06-14</t>
        </is>
      </c>
      <c r="E1316" s="84" t="inlineStr">
        <is>
          <t>Malaise / Faintness</t>
        </is>
      </c>
      <c r="F1316" s="84" t="inlineStr">
        <is>
          <t>Food court</t>
        </is>
      </c>
      <c r="G1316" s="84" t="inlineStr">
        <is>
          <t>Mineur / Minor</t>
        </is>
      </c>
      <c r="H1316" s="3" t="n"/>
      <c r="I1316" s="3" t="n"/>
      <c r="J1316" s="3" t="n"/>
      <c r="K1316" s="3" t="n"/>
      <c r="L1316" s="3" t="n"/>
      <c r="M1316" s="3" t="n"/>
      <c r="N1316" s="32" t="n"/>
    </row>
    <row r="1317">
      <c r="C1317" s="82" t="inlineStr">
        <is>
          <t>EV-2604</t>
        </is>
      </c>
      <c r="D1317" s="84" t="inlineStr">
        <is>
          <t>2026-06-21</t>
        </is>
      </c>
      <c r="E1317" s="84" t="inlineStr">
        <is>
          <t>Vol / Theft</t>
        </is>
      </c>
      <c r="F1317" s="84" t="inlineStr">
        <is>
          <t>Galerie / Mall</t>
        </is>
      </c>
      <c r="G1317" s="84" t="inlineStr">
        <is>
          <t>Modéré / Moderate</t>
        </is>
      </c>
      <c r="H1317" s="3" t="n"/>
      <c r="I1317" s="3" t="n"/>
      <c r="J1317" s="3" t="n"/>
      <c r="K1317" s="3" t="n"/>
      <c r="L1317" s="3" t="n"/>
      <c r="M1317" s="3" t="n"/>
      <c r="N1317" s="32" t="n"/>
    </row>
    <row r="1318">
      <c r="C1318" s="50" t="n"/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2" t="n"/>
    </row>
    <row r="1319">
      <c r="C1319" s="53">
        <f>"💬 "&amp;IFERROR(IF(LANG="EN",INDEX(I18N_EN,MATCH("col.comment",I18N_KEY,0)),INDEX(I18N_FR,MATCH("col.comment",I18N_KEY,0))),"col.comment")</f>
        <v/>
      </c>
      <c r="D1319" s="5" t="n"/>
      <c r="E1319" s="5" t="n"/>
      <c r="F1319" s="5" t="n"/>
      <c r="G1319" s="5" t="n"/>
      <c r="H1319" s="5" t="n"/>
      <c r="I1319" s="5" t="n"/>
      <c r="J1319" s="5" t="n"/>
      <c r="K1319" s="5" t="n"/>
      <c r="L1319" s="5" t="n"/>
      <c r="M1319" s="5" t="n"/>
      <c r="N1319" s="54" t="n"/>
      <c r="O1319" s="5" t="n"/>
    </row>
    <row r="1320">
      <c r="C1320" s="55">
        <f>IF(LANG="EN","Commentary / data source: management systems (demo).","Commentaire / source : systèmes de gestion (démo).")</f>
        <v/>
      </c>
      <c r="D1320" s="56" t="n"/>
      <c r="E1320" s="56" t="n"/>
      <c r="F1320" s="56" t="n"/>
      <c r="G1320" s="56" t="n"/>
      <c r="H1320" s="56" t="n"/>
      <c r="I1320" s="56" t="n"/>
      <c r="J1320" s="56" t="n"/>
      <c r="K1320" s="56" t="n"/>
      <c r="L1320" s="56" t="n"/>
      <c r="M1320" s="56" t="n"/>
      <c r="N1320" s="56" t="n"/>
      <c r="O1320" s="57" t="n"/>
    </row>
    <row r="1321">
      <c r="C1321" s="50" t="n"/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2" t="n"/>
    </row>
    <row r="1322">
      <c r="C1322" s="58" t="n"/>
      <c r="D1322" s="58" t="n"/>
      <c r="E1322" s="58" t="n"/>
      <c r="F1322" s="58" t="n"/>
      <c r="G1322" s="58" t="n"/>
      <c r="H1322" s="58" t="n"/>
      <c r="I1322" s="58" t="n"/>
      <c r="J1322" s="58" t="n"/>
      <c r="K1322" s="58" t="n"/>
      <c r="L1322" s="58" t="n"/>
      <c r="M1322" s="58" t="n"/>
      <c r="N1322" s="58" t="n"/>
      <c r="O1322" s="59" t="n"/>
    </row>
    <row r="1323">
      <c r="C1323" s="60" t="n"/>
      <c r="D1323" s="36" t="n"/>
      <c r="E1323" s="36" t="n"/>
      <c r="F1323" s="36" t="n"/>
      <c r="G1323" s="36" t="n"/>
      <c r="H1323" s="36" t="n"/>
      <c r="I1323" s="36" t="n"/>
      <c r="J1323" s="36" t="n"/>
      <c r="K1323" s="36" t="n"/>
      <c r="L1323" s="36" t="n"/>
      <c r="M1323" s="36" t="n"/>
      <c r="N1323" s="22" t="n"/>
    </row>
    <row r="1324">
      <c r="C1324" s="3" t="n"/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</row>
    <row r="1325" ht="19" customHeight="1">
      <c r="C1325" s="46">
        <f>"▸  8.2  "&amp;IF(LANG="EN","Events / Hazard Metrics","Indicateurs événements / dangers")</f>
        <v/>
      </c>
      <c r="D1325" s="47" t="n"/>
      <c r="E1325" s="47" t="n"/>
      <c r="F1325" s="47" t="n"/>
      <c r="G1325" s="47" t="n"/>
      <c r="H1325" s="47" t="n"/>
      <c r="I1325" s="47" t="n"/>
      <c r="J1325" s="47" t="n"/>
      <c r="K1325" s="47" t="n"/>
      <c r="L1325" s="47" t="n"/>
      <c r="M1325" s="47" t="n"/>
      <c r="N1325" s="48" t="n"/>
      <c r="O1325" s="1" t="n"/>
    </row>
    <row r="1326">
      <c r="C1326" s="61">
        <f>IFERROR(IF(LANG="EN",INDEX(I18N_EN,MATCH("col.kpi",I18N_KEY,0)),INDEX(I18N_FR,MATCH("col.kpi",I18N_KEY,0))),"col.kpi")</f>
        <v/>
      </c>
      <c r="D1326" s="62">
        <f>IFERROR(IF(LANG="EN",INDEX(I18N_EN,MATCH("col.unit",I18N_KEY,0)),INDEX(I18N_FR,MATCH("col.unit",I18N_KEY,0))),"col.unit")</f>
        <v/>
      </c>
      <c r="E1326" s="62">
        <f>IFERROR(IF(LANG="EN",INDEX(I18N_EN,MATCH("col.current",I18N_KEY,0)),INDEX(I18N_FR,MATCH("col.current",I18N_KEY,0))),"col.current")</f>
        <v/>
      </c>
      <c r="F1326" s="62">
        <f>IFERROR(IF(LANG="EN",INDEX(I18N_EN,MATCH("col.prev",I18N_KEY,0)),INDEX(I18N_FR,MATCH("col.prev",I18N_KEY,0))),"col.prev")</f>
        <v/>
      </c>
      <c r="G1326" s="62">
        <f>IFERROR(IF(LANG="EN",INDEX(I18N_EN,MATCH("col.delta_prev",I18N_KEY,0)),INDEX(I18N_FR,MATCH("col.delta_prev",I18N_KEY,0))),"col.delta_prev")</f>
        <v/>
      </c>
      <c r="H1326" s="62">
        <f>IFERROR(IF(LANG="EN",INDEX(I18N_EN,MATCH("col.py",I18N_KEY,0)),INDEX(I18N_FR,MATCH("col.py",I18N_KEY,0))),"col.py")</f>
        <v/>
      </c>
      <c r="I1326" s="62">
        <f>IFERROR(IF(LANG="EN",INDEX(I18N_EN,MATCH("col.delta_py",I18N_KEY,0)),INDEX(I18N_FR,MATCH("col.delta_py",I18N_KEY,0))),"col.delta_py")</f>
        <v/>
      </c>
      <c r="J1326" s="62">
        <f>IFERROR(IF(LANG="EN",INDEX(I18N_EN,MATCH("col.budget",I18N_KEY,0)),INDEX(I18N_FR,MATCH("col.budget",I18N_KEY,0))),"col.budget")</f>
        <v/>
      </c>
      <c r="K1326" s="62">
        <f>IFERROR(IF(LANG="EN",INDEX(I18N_EN,MATCH("col.var",I18N_KEY,0)),INDEX(I18N_FR,MATCH("col.var",I18N_KEY,0))),"col.var")</f>
        <v/>
      </c>
      <c r="L1326" s="62">
        <f>IFERROR(IF(LANG="EN",INDEX(I18N_EN,MATCH("col.rag",I18N_KEY,0)),INDEX(I18N_FR,MATCH("col.rag",I18N_KEY,0))),"col.rag")</f>
        <v/>
      </c>
      <c r="M1326" s="3" t="n"/>
      <c r="N1326" s="32" t="n"/>
    </row>
    <row r="1327">
      <c r="C1327" s="63">
        <f>IFERROR(IF(LANG="EN",INDEX(I18N_EN,MATCH("kpi.hsse.incidents",I18N_KEY,0)),INDEX(I18N_FR,MATCH("kpi.hsse.incidents",I18N_KEY,0))),"kpi.hsse.incidents")</f>
        <v/>
      </c>
      <c r="D1327" s="64" t="inlineStr">
        <is>
          <t>nb</t>
        </is>
      </c>
      <c r="E1327" s="65">
        <f>IFERROR((SUMIFS('M3 · Base mensuelle'!$D$87:$AM$87,HDR,"&gt;="&amp;P_START,HDR,"&lt;="&amp;P_END)),"")</f>
        <v/>
      </c>
      <c r="F1327" s="65">
        <f>IFERROR((SUMIFS('M3 · Base mensuelle'!$D$87:$AM$87,HDR,"&gt;="&amp;PP_START,HDR,"&lt;="&amp;PP_END)),"")</f>
        <v/>
      </c>
      <c r="G1327" s="66">
        <f>IFERROR((E1327)/(F1327)-1,"")</f>
        <v/>
      </c>
      <c r="H1327" s="65">
        <f>IFERROR((SUMIFS('M3 · Base mensuelle'!$D$87:$AM$87,HDR,"&gt;="&amp;PY_START,HDR,"&lt;="&amp;PY_END)),"")</f>
        <v/>
      </c>
      <c r="I1327" s="66">
        <f>IFERROR((E1327)/(H1327)-1,"")</f>
        <v/>
      </c>
      <c r="J1327" s="67" t="n"/>
      <c r="K1327" s="66">
        <f>IFERROR((E1327)/(J1327)-1,"")</f>
        <v/>
      </c>
      <c r="L1327" s="68">
        <f>IF(O1327="","",IF(O1327="green",IFERROR(IF(LANG="EN",INDEX(I18N_EN,MATCH("rag.green",I18N_KEY,0)),INDEX(I18N_FR,MATCH("rag.green",I18N_KEY,0))),"rag.green"),IF(O1327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27" s="3" t="n"/>
      <c r="N1327" s="32" t="n"/>
      <c r="O1327" s="69">
        <f>IFERROR(IF(IF(N(J1327)&gt;0,J1327,H1327)=0,"",IF(INDEX(RAG_SENS,MATCH("kpi.hsse.incidents",RAG_KEY,0))="UP",IF((E1327/IF(N(J1327)&gt;0,J1327,H1327))&gt;=INDEX(RAG_SV,MATCH("kpi.hsse.incidents",RAG_KEY,0)),"green",IF((E1327/IF(N(J1327)&gt;0,J1327,H1327))&gt;=INDEX(RAG_SA,MATCH("kpi.hsse.incidents",RAG_KEY,0)),"amber","red")),IF((E1327/IF(N(J1327)&gt;0,J1327,H1327))&lt;=INDEX(RAG_SV,MATCH("kpi.hsse.incidents",RAG_KEY,0)),"green",IF((E1327/IF(N(J1327)&gt;0,J1327,H1327))&lt;=INDEX(RAG_SA,MATCH("kpi.hsse.incidents",RAG_KEY,0)),"amber","red")))),"")</f>
        <v/>
      </c>
    </row>
    <row r="1328">
      <c r="C1328" s="63">
        <f>IFERROR(IF(LANG="EN",INDEX(I18N_EN,MATCH("kpi.hsse.incident_sev",I18N_KEY,0)),INDEX(I18N_FR,MATCH("kpi.hsse.incident_sev",I18N_KEY,0))),"kpi.hsse.incident_sev")</f>
        <v/>
      </c>
      <c r="D1328" s="64" t="inlineStr">
        <is>
          <t>score</t>
        </is>
      </c>
      <c r="E1328" s="65">
        <f>IFERROR((AVERAGEIFS('M3 · Base mensuelle'!$D$88:$AM$88,HDR,"&gt;="&amp;P_START,HDR,"&lt;="&amp;P_END)),"")</f>
        <v/>
      </c>
      <c r="F1328" s="65">
        <f>IFERROR((AVERAGEIFS('M3 · Base mensuelle'!$D$88:$AM$88,HDR,"&gt;="&amp;PP_START,HDR,"&lt;="&amp;PP_END)),"")</f>
        <v/>
      </c>
      <c r="G1328" s="66">
        <f>IFERROR((E1328)/(F1328)-1,"")</f>
        <v/>
      </c>
      <c r="H1328" s="65">
        <f>IFERROR((AVERAGEIFS('M3 · Base mensuelle'!$D$88:$AM$88,HDR,"&gt;="&amp;PY_START,HDR,"&lt;="&amp;PY_END)),"")</f>
        <v/>
      </c>
      <c r="I1328" s="66">
        <f>IFERROR((E1328)/(H1328)-1,"")</f>
        <v/>
      </c>
      <c r="J1328" s="67" t="n"/>
      <c r="K1328" s="66">
        <f>IFERROR((E1328)/(J1328)-1,"")</f>
        <v/>
      </c>
      <c r="L1328" s="68">
        <f>IF(O1328="","",IF(O1328="green",IFERROR(IF(LANG="EN",INDEX(I18N_EN,MATCH("rag.green",I18N_KEY,0)),INDEX(I18N_FR,MATCH("rag.green",I18N_KEY,0))),"rag.green"),IF(O1328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28" s="3" t="n"/>
      <c r="N1328" s="32" t="n"/>
      <c r="O1328" s="69">
        <f>IFERROR(IF(IF(N(J1328)&gt;0,J1328,H1328)=0,"",IF(INDEX(RAG_SENS,MATCH("kpi.hsse.incident_sev",RAG_KEY,0))="UP",IF((E1328/IF(N(J1328)&gt;0,J1328,H1328))&gt;=INDEX(RAG_SV,MATCH("kpi.hsse.incident_sev",RAG_KEY,0)),"green",IF((E1328/IF(N(J1328)&gt;0,J1328,H1328))&gt;=INDEX(RAG_SA,MATCH("kpi.hsse.incident_sev",RAG_KEY,0)),"amber","red")),IF((E1328/IF(N(J1328)&gt;0,J1328,H1328))&lt;=INDEX(RAG_SV,MATCH("kpi.hsse.incident_sev",RAG_KEY,0)),"green",IF((E1328/IF(N(J1328)&gt;0,J1328,H1328))&lt;=INDEX(RAG_SA,MATCH("kpi.hsse.incident_sev",RAG_KEY,0)),"amber","red")))),"")</f>
        <v/>
      </c>
    </row>
    <row r="1329">
      <c r="C1329" s="63">
        <f>IFERROR(IF(LANG="EN",INDEX(I18N_EN,MATCH("kpi.hsse.nearmiss",I18N_KEY,0)),INDEX(I18N_FR,MATCH("kpi.hsse.nearmiss",I18N_KEY,0))),"kpi.hsse.nearmiss")</f>
        <v/>
      </c>
      <c r="D1329" s="64" t="inlineStr">
        <is>
          <t>nb</t>
        </is>
      </c>
      <c r="E1329" s="65">
        <f>IFERROR((SUMIFS('M3 · Base mensuelle'!$D$91:$AM$91,HDR,"&gt;="&amp;P_START,HDR,"&lt;="&amp;P_END)),"")</f>
        <v/>
      </c>
      <c r="F1329" s="65">
        <f>IFERROR((SUMIFS('M3 · Base mensuelle'!$D$91:$AM$91,HDR,"&gt;="&amp;PP_START,HDR,"&lt;="&amp;PP_END)),"")</f>
        <v/>
      </c>
      <c r="G1329" s="66">
        <f>IFERROR((E1329)/(F1329)-1,"")</f>
        <v/>
      </c>
      <c r="H1329" s="65">
        <f>IFERROR((SUMIFS('M3 · Base mensuelle'!$D$91:$AM$91,HDR,"&gt;="&amp;PY_START,HDR,"&lt;="&amp;PY_END)),"")</f>
        <v/>
      </c>
      <c r="I1329" s="66">
        <f>IFERROR((E1329)/(H1329)-1,"")</f>
        <v/>
      </c>
      <c r="J1329" s="67" t="n"/>
      <c r="K1329" s="66">
        <f>IFERROR((E1329)/(J1329)-1,"")</f>
        <v/>
      </c>
      <c r="L1329" s="68">
        <f>IF(O1329="","",IF(O1329="green",IFERROR(IF(LANG="EN",INDEX(I18N_EN,MATCH("rag.green",I18N_KEY,0)),INDEX(I18N_FR,MATCH("rag.green",I18N_KEY,0))),"rag.green"),IF(O1329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29" s="3" t="n"/>
      <c r="N1329" s="32" t="n"/>
      <c r="O1329" s="69">
        <f>IFERROR(IF(IF(N(J1329)&gt;0,J1329,H1329)=0,"",IF(INDEX(RAG_SENS,MATCH("kpi.hsse.nearmiss",RAG_KEY,0))="UP",IF((E1329/IF(N(J1329)&gt;0,J1329,H1329))&gt;=INDEX(RAG_SV,MATCH("kpi.hsse.nearmiss",RAG_KEY,0)),"green",IF((E1329/IF(N(J1329)&gt;0,J1329,H1329))&gt;=INDEX(RAG_SA,MATCH("kpi.hsse.nearmiss",RAG_KEY,0)),"amber","red")),IF((E1329/IF(N(J1329)&gt;0,J1329,H1329))&lt;=INDEX(RAG_SV,MATCH("kpi.hsse.nearmiss",RAG_KEY,0)),"green",IF((E1329/IF(N(J1329)&gt;0,J1329,H1329))&lt;=INDEX(RAG_SA,MATCH("kpi.hsse.nearmiss",RAG_KEY,0)),"amber","red")))),"")</f>
        <v/>
      </c>
    </row>
    <row r="1330">
      <c r="C1330" s="63">
        <f>IFERROR(IF(LANG="EN",INDEX(I18N_EN,MATCH("kpi.hsse.days_no_lti",I18N_KEY,0)),INDEX(I18N_FR,MATCH("kpi.hsse.days_no_lti",I18N_KEY,0))),"kpi.hsse.days_no_lti")</f>
        <v/>
      </c>
      <c r="D1330" s="64" t="inlineStr">
        <is>
          <t>j</t>
        </is>
      </c>
      <c r="E1330" s="65">
        <f>IFERROR((INDEX('M3 · Base mensuelle'!$D$92:$AM$92,MATCH(P_END,HDR,0))),"")</f>
        <v/>
      </c>
      <c r="F1330" s="65">
        <f>IFERROR((INDEX('M3 · Base mensuelle'!$D$92:$AM$92,MATCH(PP_END,HDR,0))),"")</f>
        <v/>
      </c>
      <c r="G1330" s="66">
        <f>IFERROR((E1330)/(F1330)-1,"")</f>
        <v/>
      </c>
      <c r="H1330" s="65">
        <f>IFERROR((INDEX('M3 · Base mensuelle'!$D$92:$AM$92,MATCH(PY_END,HDR,0))),"")</f>
        <v/>
      </c>
      <c r="I1330" s="66">
        <f>IFERROR((E1330)/(H1330)-1,"")</f>
        <v/>
      </c>
      <c r="J1330" s="67" t="n"/>
      <c r="K1330" s="66">
        <f>IFERROR((E1330)/(J1330)-1,"")</f>
        <v/>
      </c>
      <c r="L1330" s="68">
        <f>IF(O1330="","",IF(O1330="green",IFERROR(IF(LANG="EN",INDEX(I18N_EN,MATCH("rag.green",I18N_KEY,0)),INDEX(I18N_FR,MATCH("rag.green",I18N_KEY,0))),"rag.green"),IF(O1330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330" s="3" t="n"/>
      <c r="N1330" s="32" t="n"/>
      <c r="O1330" s="69">
        <f>IFERROR(IF(IF(N(J1330)&gt;0,J1330,H1330)=0,"",IF(INDEX(RAG_SENS,MATCH("kpi.hsse.days_no_lti",RAG_KEY,0))="UP",IF((E1330/IF(N(J1330)&gt;0,J1330,H1330))&gt;=INDEX(RAG_SV,MATCH("kpi.hsse.days_no_lti",RAG_KEY,0)),"green",IF((E1330/IF(N(J1330)&gt;0,J1330,H1330))&gt;=INDEX(RAG_SA,MATCH("kpi.hsse.days_no_lti",RAG_KEY,0)),"amber","red")),IF((E1330/IF(N(J1330)&gt;0,J1330,H1330))&lt;=INDEX(RAG_SV,MATCH("kpi.hsse.days_no_lti",RAG_KEY,0)),"green",IF((E1330/IF(N(J1330)&gt;0,J1330,H1330))&lt;=INDEX(RAG_SA,MATCH("kpi.hsse.days_no_lti",RAG_KEY,0)),"amber","red")))),"")</f>
        <v/>
      </c>
    </row>
    <row r="1331">
      <c r="C1331" s="72">
        <f>"◆ "&amp;IFERROR(IF(LANG="EN",INDEX(I18N_EN,MATCH("msg.highlights",I18N_KEY,0)),INDEX(I18N_FR,MATCH("msg.highlights",I18N_KEY,0))),"msg.highlights")</f>
        <v/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2" t="n"/>
    </row>
    <row r="1332">
      <c r="C1332" s="73">
        <f>IFERROR("▲ "&amp;INDEX(C1327:C1330,MATCH(MAX(G1327:G1330),G1327:G1330,0))&amp;"   "&amp;TEXT(MAX(G1327:G1330),"+0.0%;-0.0%"),"")</f>
        <v/>
      </c>
      <c r="D1332" s="3" t="n"/>
      <c r="E1332" s="3" t="n"/>
      <c r="F1332" s="3" t="n"/>
      <c r="G1332" s="3" t="n"/>
      <c r="H1332" s="3" t="n"/>
      <c r="I1332" s="74">
        <f>IFERROR("▼ "&amp;INDEX(C1327:C1330,MATCH(MIN(G1327:G1330),G1327:G1330,0))&amp;"   "&amp;TEXT(MIN(G1327:G1330),"+0.0%;-0.0%"),"")</f>
        <v/>
      </c>
      <c r="J1332" s="3" t="n"/>
      <c r="K1332" s="3" t="n"/>
      <c r="L1332" s="3" t="n"/>
      <c r="M1332" s="3" t="n"/>
      <c r="N1332" s="32" t="n"/>
    </row>
    <row r="1333">
      <c r="C1333" s="53">
        <f>"💬 "&amp;IFERROR(IF(LANG="EN",INDEX(I18N_EN,MATCH("col.comment",I18N_KEY,0)),INDEX(I18N_FR,MATCH("col.comment",I18N_KEY,0))),"col.comment")</f>
        <v/>
      </c>
      <c r="D1333" s="5" t="n"/>
      <c r="E1333" s="5" t="n"/>
      <c r="F1333" s="5" t="n"/>
      <c r="G1333" s="5" t="n"/>
      <c r="H1333" s="5" t="n"/>
      <c r="I1333" s="5" t="n"/>
      <c r="J1333" s="5" t="n"/>
      <c r="K1333" s="5" t="n"/>
      <c r="L1333" s="5" t="n"/>
      <c r="M1333" s="5" t="n"/>
      <c r="N1333" s="54" t="n"/>
      <c r="O1333" s="5" t="n"/>
    </row>
    <row r="1334">
      <c r="C1334" s="75">
        <f>IF('C7 · HSSE'!$D$29&lt;&gt;"",'C7 · HSSE'!$D$29,IFERROR(SUBSTITUTE(SUBSTITUTE(IF(G1327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hsse.incidents",I18N_KEY,0)),INDEX(I18N_FR,MATCH("kpi.hsse.incidents",I18N_KEY,0))),"kpi.hsse.incidents")),"{delta}",TEXT(ABS(G1327),"0.0%")),""))</f>
        <v/>
      </c>
      <c r="D1334" s="56" t="n"/>
      <c r="E1334" s="56" t="n"/>
      <c r="F1334" s="56" t="n"/>
      <c r="G1334" s="56" t="n"/>
      <c r="H1334" s="56" t="n"/>
      <c r="I1334" s="56" t="n"/>
      <c r="J1334" s="56" t="n"/>
      <c r="K1334" s="56" t="n"/>
      <c r="L1334" s="56" t="n"/>
      <c r="M1334" s="56" t="n"/>
      <c r="N1334" s="56" t="n"/>
      <c r="O1334" s="57" t="n"/>
    </row>
    <row r="1335">
      <c r="C1335" s="50" t="n"/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2" t="n"/>
    </row>
    <row r="1336">
      <c r="C1336" s="58" t="n"/>
      <c r="D1336" s="58" t="n"/>
      <c r="E1336" s="58" t="n"/>
      <c r="F1336" s="58" t="n"/>
      <c r="G1336" s="58" t="n"/>
      <c r="H1336" s="58" t="n"/>
      <c r="I1336" s="58" t="n"/>
      <c r="J1336" s="58" t="n"/>
      <c r="K1336" s="58" t="n"/>
      <c r="L1336" s="58" t="n"/>
      <c r="M1336" s="58" t="n"/>
      <c r="N1336" s="58" t="n"/>
      <c r="O1336" s="59" t="n"/>
    </row>
    <row r="1337">
      <c r="C1337" s="60" t="n"/>
      <c r="D1337" s="36" t="n"/>
      <c r="E1337" s="36" t="n"/>
      <c r="F1337" s="36" t="n"/>
      <c r="G1337" s="36" t="n"/>
      <c r="H1337" s="36" t="n"/>
      <c r="I1337" s="36" t="n"/>
      <c r="J1337" s="36" t="n"/>
      <c r="K1337" s="36" t="n"/>
      <c r="L1337" s="36" t="n"/>
      <c r="M1337" s="36" t="n"/>
      <c r="N1337" s="22" t="n"/>
    </row>
    <row r="1338">
      <c r="C1338" s="3" t="n"/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</row>
    <row r="1339" ht="19" customHeight="1">
      <c r="C1339" s="46">
        <f>"▸  8.2.1  "&amp;IF(LANG="EN","Analysis by Workstation","Analyse par poste de travail")</f>
        <v/>
      </c>
      <c r="D1339" s="47" t="n"/>
      <c r="E1339" s="47" t="n"/>
      <c r="F1339" s="47" t="n"/>
      <c r="G1339" s="47" t="n"/>
      <c r="H1339" s="47" t="n"/>
      <c r="I1339" s="47" t="n"/>
      <c r="J1339" s="47" t="n"/>
      <c r="K1339" s="47" t="n"/>
      <c r="L1339" s="47" t="n"/>
      <c r="M1339" s="47" t="n"/>
      <c r="N1339" s="48" t="n"/>
      <c r="O1339" s="1" t="n"/>
    </row>
    <row r="1340">
      <c r="C1340" s="80" t="inlineStr">
        <is>
          <t>Poste / Workstation</t>
        </is>
      </c>
      <c r="D1340" s="62" t="inlineStr">
        <is>
          <t>Événements / Events</t>
        </is>
      </c>
      <c r="E1340" s="62" t="inlineStr">
        <is>
          <t>Jours perdus / Lost days</t>
        </is>
      </c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2" t="n"/>
    </row>
    <row r="1341">
      <c r="C1341" s="82" t="inlineStr">
        <is>
          <t>Sécurité / Security</t>
        </is>
      </c>
      <c r="D1341" s="83" t="n">
        <v>4</v>
      </c>
      <c r="E1341" s="83" t="n">
        <v>2</v>
      </c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2" t="n"/>
    </row>
    <row r="1342">
      <c r="C1342" s="82" t="inlineStr">
        <is>
          <t>Maintenance</t>
        </is>
      </c>
      <c r="D1342" s="83" t="n">
        <v>3</v>
      </c>
      <c r="E1342" s="83" t="n">
        <v>5</v>
      </c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2" t="n"/>
    </row>
    <row r="1343">
      <c r="C1343" s="82" t="inlineStr">
        <is>
          <t>Nettoyage / Cleaning</t>
        </is>
      </c>
      <c r="D1343" s="83" t="n">
        <v>2</v>
      </c>
      <c r="E1343" s="83" t="n">
        <v>1</v>
      </c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2" t="n"/>
    </row>
    <row r="1344">
      <c r="C1344" s="82" t="inlineStr">
        <is>
          <t>Accueil / Reception</t>
        </is>
      </c>
      <c r="D1344" s="83" t="n">
        <v>1</v>
      </c>
      <c r="E1344" s="83" t="n">
        <v>0</v>
      </c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2" t="n"/>
    </row>
    <row r="1345">
      <c r="C1345" s="50" t="n"/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2" t="n"/>
    </row>
    <row r="1346">
      <c r="C1346" s="50" t="n"/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2" t="n"/>
    </row>
    <row r="1347">
      <c r="C1347" s="50" t="n"/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2" t="n"/>
    </row>
    <row r="1348">
      <c r="C1348" s="50" t="n"/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2" t="n"/>
    </row>
    <row r="1349">
      <c r="C1349" s="50" t="n"/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2" t="n"/>
    </row>
    <row r="1350">
      <c r="C1350" s="50" t="n"/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2" t="n"/>
    </row>
    <row r="1351">
      <c r="C1351" s="50" t="n"/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2" t="n"/>
    </row>
    <row r="1352">
      <c r="C1352" s="50" t="n"/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2" t="n"/>
    </row>
    <row r="1353">
      <c r="C1353" s="53">
        <f>"💬 "&amp;IFERROR(IF(LANG="EN",INDEX(I18N_EN,MATCH("col.comment",I18N_KEY,0)),INDEX(I18N_FR,MATCH("col.comment",I18N_KEY,0))),"col.comment")</f>
        <v/>
      </c>
      <c r="D1353" s="5" t="n"/>
      <c r="E1353" s="5" t="n"/>
      <c r="F1353" s="5" t="n"/>
      <c r="G1353" s="5" t="n"/>
      <c r="H1353" s="5" t="n"/>
      <c r="I1353" s="5" t="n"/>
      <c r="J1353" s="5" t="n"/>
      <c r="K1353" s="5" t="n"/>
      <c r="L1353" s="5" t="n"/>
      <c r="M1353" s="5" t="n"/>
      <c r="N1353" s="54" t="n"/>
      <c r="O1353" s="5" t="n"/>
    </row>
    <row r="1354">
      <c r="C1354" s="55">
        <f>IF(LANG="EN","Commentary / data source: management systems (demo).","Commentaire / source : systèmes de gestion (démo).")</f>
        <v/>
      </c>
      <c r="D1354" s="56" t="n"/>
      <c r="E1354" s="56" t="n"/>
      <c r="F1354" s="56" t="n"/>
      <c r="G1354" s="56" t="n"/>
      <c r="H1354" s="56" t="n"/>
      <c r="I1354" s="56" t="n"/>
      <c r="J1354" s="56" t="n"/>
      <c r="K1354" s="56" t="n"/>
      <c r="L1354" s="56" t="n"/>
      <c r="M1354" s="56" t="n"/>
      <c r="N1354" s="56" t="n"/>
      <c r="O1354" s="57" t="n"/>
    </row>
    <row r="1355">
      <c r="C1355" s="50" t="n"/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2" t="n"/>
    </row>
    <row r="1356">
      <c r="C1356" s="58" t="n"/>
      <c r="D1356" s="58" t="n"/>
      <c r="E1356" s="58" t="n"/>
      <c r="F1356" s="58" t="n"/>
      <c r="G1356" s="58" t="n"/>
      <c r="H1356" s="58" t="n"/>
      <c r="I1356" s="58" t="n"/>
      <c r="J1356" s="58" t="n"/>
      <c r="K1356" s="58" t="n"/>
      <c r="L1356" s="58" t="n"/>
      <c r="M1356" s="58" t="n"/>
      <c r="N1356" s="58" t="n"/>
      <c r="O1356" s="59" t="n"/>
    </row>
    <row r="1357">
      <c r="C1357" s="60" t="n"/>
      <c r="D1357" s="36" t="n"/>
      <c r="E1357" s="36" t="n"/>
      <c r="F1357" s="36" t="n"/>
      <c r="G1357" s="36" t="n"/>
      <c r="H1357" s="36" t="n"/>
      <c r="I1357" s="36" t="n"/>
      <c r="J1357" s="36" t="n"/>
      <c r="K1357" s="36" t="n"/>
      <c r="L1357" s="36" t="n"/>
      <c r="M1357" s="36" t="n"/>
      <c r="N1357" s="22" t="n"/>
    </row>
    <row r="1358">
      <c r="C1358" s="3" t="n"/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</row>
    <row r="1359" ht="19" customHeight="1">
      <c r="C1359" s="46">
        <f>"▸  8.2.2  "&amp;IF(LANG="EN","Analysis by Incident Type","Analyse par type d'incident")</f>
        <v/>
      </c>
      <c r="D1359" s="47" t="n"/>
      <c r="E1359" s="47" t="n"/>
      <c r="F1359" s="47" t="n"/>
      <c r="G1359" s="47" t="n"/>
      <c r="H1359" s="47" t="n"/>
      <c r="I1359" s="47" t="n"/>
      <c r="J1359" s="47" t="n"/>
      <c r="K1359" s="47" t="n"/>
      <c r="L1359" s="47" t="n"/>
      <c r="M1359" s="47" t="n"/>
      <c r="N1359" s="48" t="n"/>
      <c r="O1359" s="1" t="n"/>
    </row>
    <row r="1360">
      <c r="C1360" s="80" t="inlineStr">
        <is>
          <t>Type d'incident / Incident type</t>
        </is>
      </c>
      <c r="D1360" s="62" t="inlineStr">
        <is>
          <t>Nombre / Count</t>
        </is>
      </c>
      <c r="E1360" s="62" t="inlineStr">
        <is>
          <t>Part / Share</t>
        </is>
      </c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2" t="n"/>
    </row>
    <row r="1361">
      <c r="C1361" s="82" t="inlineStr">
        <is>
          <t>Chute / Slip</t>
        </is>
      </c>
      <c r="D1361" s="83" t="n">
        <v>4</v>
      </c>
      <c r="E1361" s="86" t="n">
        <v>0.4</v>
      </c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2" t="n"/>
    </row>
    <row r="1362">
      <c r="C1362" s="82" t="inlineStr">
        <is>
          <t>Vol / Theft</t>
        </is>
      </c>
      <c r="D1362" s="83" t="n">
        <v>3</v>
      </c>
      <c r="E1362" s="86" t="n">
        <v>0.3</v>
      </c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2" t="n"/>
    </row>
    <row r="1363">
      <c r="C1363" s="82" t="inlineStr">
        <is>
          <t>Malaise / Medical</t>
        </is>
      </c>
      <c r="D1363" s="83" t="n">
        <v>2</v>
      </c>
      <c r="E1363" s="86" t="n">
        <v>0.2</v>
      </c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2" t="n"/>
    </row>
    <row r="1364">
      <c r="C1364" s="82" t="inlineStr">
        <is>
          <t>Incendie / Fire</t>
        </is>
      </c>
      <c r="D1364" s="83" t="n">
        <v>1</v>
      </c>
      <c r="E1364" s="86" t="n">
        <v>0.1</v>
      </c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2" t="n"/>
    </row>
    <row r="1365">
      <c r="C1365" s="50" t="n"/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2" t="n"/>
    </row>
    <row r="1366">
      <c r="C1366" s="50" t="n"/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2" t="n"/>
    </row>
    <row r="1367">
      <c r="C1367" s="50" t="n"/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2" t="n"/>
    </row>
    <row r="1368">
      <c r="C1368" s="50" t="n"/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2" t="n"/>
    </row>
    <row r="1369">
      <c r="C1369" s="50" t="n"/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2" t="n"/>
    </row>
    <row r="1370">
      <c r="C1370" s="50" t="n"/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2" t="n"/>
    </row>
    <row r="1371">
      <c r="C1371" s="50" t="n"/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2" t="n"/>
    </row>
    <row r="1372">
      <c r="C1372" s="50" t="n"/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2" t="n"/>
    </row>
    <row r="1373">
      <c r="C1373" s="53">
        <f>"💬 "&amp;IFERROR(IF(LANG="EN",INDEX(I18N_EN,MATCH("col.comment",I18N_KEY,0)),INDEX(I18N_FR,MATCH("col.comment",I18N_KEY,0))),"col.comment")</f>
        <v/>
      </c>
      <c r="D1373" s="5" t="n"/>
      <c r="E1373" s="5" t="n"/>
      <c r="F1373" s="5" t="n"/>
      <c r="G1373" s="5" t="n"/>
      <c r="H1373" s="5" t="n"/>
      <c r="I1373" s="5" t="n"/>
      <c r="J1373" s="5" t="n"/>
      <c r="K1373" s="5" t="n"/>
      <c r="L1373" s="5" t="n"/>
      <c r="M1373" s="5" t="n"/>
      <c r="N1373" s="54" t="n"/>
      <c r="O1373" s="5" t="n"/>
    </row>
    <row r="1374">
      <c r="C1374" s="55">
        <f>IF(LANG="EN","Commentary / data source: management systems (demo).","Commentaire / source : systèmes de gestion (démo).")</f>
        <v/>
      </c>
      <c r="D1374" s="56" t="n"/>
      <c r="E1374" s="56" t="n"/>
      <c r="F1374" s="56" t="n"/>
      <c r="G1374" s="56" t="n"/>
      <c r="H1374" s="56" t="n"/>
      <c r="I1374" s="56" t="n"/>
      <c r="J1374" s="56" t="n"/>
      <c r="K1374" s="56" t="n"/>
      <c r="L1374" s="56" t="n"/>
      <c r="M1374" s="56" t="n"/>
      <c r="N1374" s="56" t="n"/>
      <c r="O1374" s="57" t="n"/>
    </row>
    <row r="1375">
      <c r="C1375" s="50" t="n"/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2" t="n"/>
    </row>
    <row r="1376">
      <c r="C1376" s="58" t="n"/>
      <c r="D1376" s="58" t="n"/>
      <c r="E1376" s="58" t="n"/>
      <c r="F1376" s="58" t="n"/>
      <c r="G1376" s="58" t="n"/>
      <c r="H1376" s="58" t="n"/>
      <c r="I1376" s="58" t="n"/>
      <c r="J1376" s="58" t="n"/>
      <c r="K1376" s="58" t="n"/>
      <c r="L1376" s="58" t="n"/>
      <c r="M1376" s="58" t="n"/>
      <c r="N1376" s="58" t="n"/>
      <c r="O1376" s="59" t="n"/>
    </row>
    <row r="1377">
      <c r="C1377" s="60" t="n"/>
      <c r="D1377" s="36" t="n"/>
      <c r="E1377" s="36" t="n"/>
      <c r="F1377" s="36" t="n"/>
      <c r="G1377" s="36" t="n"/>
      <c r="H1377" s="36" t="n"/>
      <c r="I1377" s="36" t="n"/>
      <c r="J1377" s="36" t="n"/>
      <c r="K1377" s="36" t="n"/>
      <c r="L1377" s="36" t="n"/>
      <c r="M1377" s="36" t="n"/>
      <c r="N1377" s="22" t="n"/>
    </row>
    <row r="1378">
      <c r="C1378" s="3" t="n"/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</row>
    <row r="1379" ht="19" customHeight="1">
      <c r="C1379" s="46">
        <f>"▸  8.2.3  "&amp;IF(LANG="EN","Analysis by Lost Working Days","Analyse par jours perdus")</f>
        <v/>
      </c>
      <c r="D1379" s="47" t="n"/>
      <c r="E1379" s="47" t="n"/>
      <c r="F1379" s="47" t="n"/>
      <c r="G1379" s="47" t="n"/>
      <c r="H1379" s="47" t="n"/>
      <c r="I1379" s="47" t="n"/>
      <c r="J1379" s="47" t="n"/>
      <c r="K1379" s="47" t="n"/>
      <c r="L1379" s="47" t="n"/>
      <c r="M1379" s="47" t="n"/>
      <c r="N1379" s="48" t="n"/>
      <c r="O1379" s="1" t="n"/>
    </row>
    <row r="1380">
      <c r="C1380" s="80" t="inlineStr">
        <is>
          <t>Mois / Month</t>
        </is>
      </c>
      <c r="D1380" s="62" t="inlineStr">
        <is>
          <t>Jours perdus / Lost days</t>
        </is>
      </c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2" t="n"/>
    </row>
    <row r="1381">
      <c r="C1381" s="82" t="inlineStr">
        <is>
          <t>2026-01</t>
        </is>
      </c>
      <c r="D1381" s="83" t="n">
        <v>1</v>
      </c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2" t="n"/>
    </row>
    <row r="1382">
      <c r="C1382" s="82" t="inlineStr">
        <is>
          <t>2026-02</t>
        </is>
      </c>
      <c r="D1382" s="83" t="n">
        <v>0</v>
      </c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2" t="n"/>
    </row>
    <row r="1383">
      <c r="C1383" s="82" t="inlineStr">
        <is>
          <t>2026-03</t>
        </is>
      </c>
      <c r="D1383" s="83" t="n">
        <v>3</v>
      </c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2" t="n"/>
    </row>
    <row r="1384">
      <c r="C1384" s="82" t="inlineStr">
        <is>
          <t>2026-04</t>
        </is>
      </c>
      <c r="D1384" s="83" t="n">
        <v>2</v>
      </c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2" t="n"/>
    </row>
    <row r="1385">
      <c r="C1385" s="82" t="inlineStr">
        <is>
          <t>2026-05</t>
        </is>
      </c>
      <c r="D1385" s="83" t="n">
        <v>0</v>
      </c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2" t="n"/>
    </row>
    <row r="1386">
      <c r="C1386" s="82" t="inlineStr">
        <is>
          <t>2026-06</t>
        </is>
      </c>
      <c r="D1386" s="83" t="n">
        <v>2</v>
      </c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2" t="n"/>
    </row>
    <row r="1387">
      <c r="C1387" s="50" t="n"/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2" t="n"/>
    </row>
    <row r="1388">
      <c r="C1388" s="50" t="n"/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2" t="n"/>
    </row>
    <row r="1389">
      <c r="C1389" s="50" t="n"/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2" t="n"/>
    </row>
    <row r="1390">
      <c r="C1390" s="50" t="n"/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2" t="n"/>
    </row>
    <row r="1391">
      <c r="C1391" s="50" t="n"/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2" t="n"/>
    </row>
    <row r="1392">
      <c r="C1392" s="50" t="n"/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2" t="n"/>
    </row>
    <row r="1393">
      <c r="C1393" s="50" t="n"/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2" t="n"/>
    </row>
    <row r="1394">
      <c r="C1394" s="50" t="n"/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2" t="n"/>
    </row>
    <row r="1395">
      <c r="C1395" s="53">
        <f>"💬 "&amp;IFERROR(IF(LANG="EN",INDEX(I18N_EN,MATCH("col.comment",I18N_KEY,0)),INDEX(I18N_FR,MATCH("col.comment",I18N_KEY,0))),"col.comment")</f>
        <v/>
      </c>
      <c r="D1395" s="5" t="n"/>
      <c r="E1395" s="5" t="n"/>
      <c r="F1395" s="5" t="n"/>
      <c r="G1395" s="5" t="n"/>
      <c r="H1395" s="5" t="n"/>
      <c r="I1395" s="5" t="n"/>
      <c r="J1395" s="5" t="n"/>
      <c r="K1395" s="5" t="n"/>
      <c r="L1395" s="5" t="n"/>
      <c r="M1395" s="5" t="n"/>
      <c r="N1395" s="54" t="n"/>
      <c r="O1395" s="5" t="n"/>
    </row>
    <row r="1396">
      <c r="C1396" s="55">
        <f>IF(LANG="EN","Commentary / data source: management systems (demo).","Commentaire / source : systèmes de gestion (démo).")</f>
        <v/>
      </c>
      <c r="D1396" s="56" t="n"/>
      <c r="E1396" s="56" t="n"/>
      <c r="F1396" s="56" t="n"/>
      <c r="G1396" s="56" t="n"/>
      <c r="H1396" s="56" t="n"/>
      <c r="I1396" s="56" t="n"/>
      <c r="J1396" s="56" t="n"/>
      <c r="K1396" s="56" t="n"/>
      <c r="L1396" s="56" t="n"/>
      <c r="M1396" s="56" t="n"/>
      <c r="N1396" s="56" t="n"/>
      <c r="O1396" s="57" t="n"/>
    </row>
    <row r="1397">
      <c r="C1397" s="50" t="n"/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2" t="n"/>
    </row>
    <row r="1398">
      <c r="C1398" s="58" t="n"/>
      <c r="D1398" s="58" t="n"/>
      <c r="E1398" s="58" t="n"/>
      <c r="F1398" s="58" t="n"/>
      <c r="G1398" s="58" t="n"/>
      <c r="H1398" s="58" t="n"/>
      <c r="I1398" s="58" t="n"/>
      <c r="J1398" s="58" t="n"/>
      <c r="K1398" s="58" t="n"/>
      <c r="L1398" s="58" t="n"/>
      <c r="M1398" s="58" t="n"/>
      <c r="N1398" s="58" t="n"/>
      <c r="O1398" s="59" t="n"/>
    </row>
    <row r="1399">
      <c r="C1399" s="60" t="n"/>
      <c r="D1399" s="36" t="n"/>
      <c r="E1399" s="36" t="n"/>
      <c r="F1399" s="36" t="n"/>
      <c r="G1399" s="36" t="n"/>
      <c r="H1399" s="36" t="n"/>
      <c r="I1399" s="36" t="n"/>
      <c r="J1399" s="36" t="n"/>
      <c r="K1399" s="36" t="n"/>
      <c r="L1399" s="36" t="n"/>
      <c r="M1399" s="36" t="n"/>
      <c r="N1399" s="22" t="n"/>
    </row>
    <row r="1400">
      <c r="C1400" s="3" t="n"/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</row>
    <row r="1401" ht="19" customHeight="1">
      <c r="C1401" s="46">
        <f>"▸  8.2.4  "&amp;IF(LANG="EN","Analysis by Stakeholders","Analyse par parties prenantes")</f>
        <v/>
      </c>
      <c r="D1401" s="47" t="n"/>
      <c r="E1401" s="47" t="n"/>
      <c r="F1401" s="47" t="n"/>
      <c r="G1401" s="47" t="n"/>
      <c r="H1401" s="47" t="n"/>
      <c r="I1401" s="47" t="n"/>
      <c r="J1401" s="47" t="n"/>
      <c r="K1401" s="47" t="n"/>
      <c r="L1401" s="47" t="n"/>
      <c r="M1401" s="47" t="n"/>
      <c r="N1401" s="48" t="n"/>
      <c r="O1401" s="1" t="n"/>
    </row>
    <row r="1402">
      <c r="C1402" s="80" t="inlineStr">
        <is>
          <t>Partie prenante / Stakeholder</t>
        </is>
      </c>
      <c r="D1402" s="62" t="inlineStr">
        <is>
          <t>Événements / Events</t>
        </is>
      </c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2" t="n"/>
    </row>
    <row r="1403">
      <c r="C1403" s="82" t="inlineStr">
        <is>
          <t>Visiteurs / Visitors</t>
        </is>
      </c>
      <c r="D1403" s="83" t="n">
        <v>5</v>
      </c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2" t="n"/>
    </row>
    <row r="1404">
      <c r="C1404" s="82" t="inlineStr">
        <is>
          <t>Personnel / Staff</t>
        </is>
      </c>
      <c r="D1404" s="83" t="n">
        <v>3</v>
      </c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2" t="n"/>
    </row>
    <row r="1405">
      <c r="C1405" s="82" t="inlineStr">
        <is>
          <t>Prestataires / Vendors</t>
        </is>
      </c>
      <c r="D1405" s="83" t="n">
        <v>2</v>
      </c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2" t="n"/>
    </row>
    <row r="1406">
      <c r="C1406" s="82" t="inlineStr">
        <is>
          <t>Locataires / Tenants</t>
        </is>
      </c>
      <c r="D1406" s="83" t="n">
        <v>1</v>
      </c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2" t="n"/>
    </row>
    <row r="1407">
      <c r="C1407" s="50" t="n"/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2" t="n"/>
    </row>
    <row r="1408">
      <c r="C1408" s="50" t="n"/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2" t="n"/>
    </row>
    <row r="1409">
      <c r="C1409" s="50" t="n"/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2" t="n"/>
    </row>
    <row r="1410">
      <c r="C1410" s="50" t="n"/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2" t="n"/>
    </row>
    <row r="1411">
      <c r="C1411" s="50" t="n"/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2" t="n"/>
    </row>
    <row r="1412">
      <c r="C1412" s="50" t="n"/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2" t="n"/>
    </row>
    <row r="1413">
      <c r="C1413" s="50" t="n"/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2" t="n"/>
    </row>
    <row r="1414">
      <c r="C1414" s="50" t="n"/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2" t="n"/>
    </row>
    <row r="1415">
      <c r="C1415" s="53">
        <f>"💬 "&amp;IFERROR(IF(LANG="EN",INDEX(I18N_EN,MATCH("col.comment",I18N_KEY,0)),INDEX(I18N_FR,MATCH("col.comment",I18N_KEY,0))),"col.comment")</f>
        <v/>
      </c>
      <c r="D1415" s="5" t="n"/>
      <c r="E1415" s="5" t="n"/>
      <c r="F1415" s="5" t="n"/>
      <c r="G1415" s="5" t="n"/>
      <c r="H1415" s="5" t="n"/>
      <c r="I1415" s="5" t="n"/>
      <c r="J1415" s="5" t="n"/>
      <c r="K1415" s="5" t="n"/>
      <c r="L1415" s="5" t="n"/>
      <c r="M1415" s="5" t="n"/>
      <c r="N1415" s="54" t="n"/>
      <c r="O1415" s="5" t="n"/>
    </row>
    <row r="1416">
      <c r="C1416" s="55">
        <f>IF(LANG="EN","Commentary / data source: management systems (demo).","Commentaire / source : systèmes de gestion (démo).")</f>
        <v/>
      </c>
      <c r="D1416" s="56" t="n"/>
      <c r="E1416" s="56" t="n"/>
      <c r="F1416" s="56" t="n"/>
      <c r="G1416" s="56" t="n"/>
      <c r="H1416" s="56" t="n"/>
      <c r="I1416" s="56" t="n"/>
      <c r="J1416" s="56" t="n"/>
      <c r="K1416" s="56" t="n"/>
      <c r="L1416" s="56" t="n"/>
      <c r="M1416" s="56" t="n"/>
      <c r="N1416" s="56" t="n"/>
      <c r="O1416" s="57" t="n"/>
    </row>
    <row r="1417">
      <c r="C1417" s="50" t="n"/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2" t="n"/>
    </row>
    <row r="1418">
      <c r="C1418" s="58" t="n"/>
      <c r="D1418" s="58" t="n"/>
      <c r="E1418" s="58" t="n"/>
      <c r="F1418" s="58" t="n"/>
      <c r="G1418" s="58" t="n"/>
      <c r="H1418" s="58" t="n"/>
      <c r="I1418" s="58" t="n"/>
      <c r="J1418" s="58" t="n"/>
      <c r="K1418" s="58" t="n"/>
      <c r="L1418" s="58" t="n"/>
      <c r="M1418" s="58" t="n"/>
      <c r="N1418" s="58" t="n"/>
      <c r="O1418" s="59" t="n"/>
    </row>
    <row r="1419">
      <c r="C1419" s="60" t="n"/>
      <c r="D1419" s="36" t="n"/>
      <c r="E1419" s="36" t="n"/>
      <c r="F1419" s="36" t="n"/>
      <c r="G1419" s="36" t="n"/>
      <c r="H1419" s="36" t="n"/>
      <c r="I1419" s="36" t="n"/>
      <c r="J1419" s="36" t="n"/>
      <c r="K1419" s="36" t="n"/>
      <c r="L1419" s="36" t="n"/>
      <c r="M1419" s="36" t="n"/>
      <c r="N1419" s="22" t="n"/>
    </row>
    <row r="1420">
      <c r="C1420" s="3" t="n"/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</row>
    <row r="1421" ht="19" customHeight="1">
      <c r="C1421" s="46">
        <f>"▸  8.2.5  "&amp;IF(LANG="EN","Frequency Rate Analysis","Analyse du taux de fréquence")</f>
        <v/>
      </c>
      <c r="D1421" s="47" t="n"/>
      <c r="E1421" s="47" t="n"/>
      <c r="F1421" s="47" t="n"/>
      <c r="G1421" s="47" t="n"/>
      <c r="H1421" s="47" t="n"/>
      <c r="I1421" s="47" t="n"/>
      <c r="J1421" s="47" t="n"/>
      <c r="K1421" s="47" t="n"/>
      <c r="L1421" s="47" t="n"/>
      <c r="M1421" s="47" t="n"/>
      <c r="N1421" s="48" t="n"/>
      <c r="O1421" s="1" t="n"/>
    </row>
    <row r="1422">
      <c r="C1422" s="61">
        <f>IFERROR(IF(LANG="EN",INDEX(I18N_EN,MATCH("col.kpi",I18N_KEY,0)),INDEX(I18N_FR,MATCH("col.kpi",I18N_KEY,0))),"col.kpi")</f>
        <v/>
      </c>
      <c r="D1422" s="62">
        <f>IFERROR(IF(LANG="EN",INDEX(I18N_EN,MATCH("col.unit",I18N_KEY,0)),INDEX(I18N_FR,MATCH("col.unit",I18N_KEY,0))),"col.unit")</f>
        <v/>
      </c>
      <c r="E1422" s="62">
        <f>IFERROR(IF(LANG="EN",INDEX(I18N_EN,MATCH("col.current",I18N_KEY,0)),INDEX(I18N_FR,MATCH("col.current",I18N_KEY,0))),"col.current")</f>
        <v/>
      </c>
      <c r="F1422" s="62">
        <f>IFERROR(IF(LANG="EN",INDEX(I18N_EN,MATCH("col.prev",I18N_KEY,0)),INDEX(I18N_FR,MATCH("col.prev",I18N_KEY,0))),"col.prev")</f>
        <v/>
      </c>
      <c r="G1422" s="62">
        <f>IFERROR(IF(LANG="EN",INDEX(I18N_EN,MATCH("col.delta_prev",I18N_KEY,0)),INDEX(I18N_FR,MATCH("col.delta_prev",I18N_KEY,0))),"col.delta_prev")</f>
        <v/>
      </c>
      <c r="H1422" s="62">
        <f>IFERROR(IF(LANG="EN",INDEX(I18N_EN,MATCH("col.py",I18N_KEY,0)),INDEX(I18N_FR,MATCH("col.py",I18N_KEY,0))),"col.py")</f>
        <v/>
      </c>
      <c r="I1422" s="62">
        <f>IFERROR(IF(LANG="EN",INDEX(I18N_EN,MATCH("col.delta_py",I18N_KEY,0)),INDEX(I18N_FR,MATCH("col.delta_py",I18N_KEY,0))),"col.delta_py")</f>
        <v/>
      </c>
      <c r="J1422" s="62">
        <f>IFERROR(IF(LANG="EN",INDEX(I18N_EN,MATCH("col.budget",I18N_KEY,0)),INDEX(I18N_FR,MATCH("col.budget",I18N_KEY,0))),"col.budget")</f>
        <v/>
      </c>
      <c r="K1422" s="62">
        <f>IFERROR(IF(LANG="EN",INDEX(I18N_EN,MATCH("col.var",I18N_KEY,0)),INDEX(I18N_FR,MATCH("col.var",I18N_KEY,0))),"col.var")</f>
        <v/>
      </c>
      <c r="L1422" s="62">
        <f>IFERROR(IF(LANG="EN",INDEX(I18N_EN,MATCH("col.rag",I18N_KEY,0)),INDEX(I18N_FR,MATCH("col.rag",I18N_KEY,0))),"col.rag")</f>
        <v/>
      </c>
      <c r="M1422" s="3" t="n"/>
      <c r="N1422" s="32" t="n"/>
    </row>
    <row r="1423">
      <c r="C1423" s="63">
        <f>IFERROR(IF(LANG="EN",INDEX(I18N_EN,MATCH("kpi.hsse.tf",I18N_KEY,0)),INDEX(I18N_FR,MATCH("kpi.hsse.tf",I18N_KEY,0))),"kpi.hsse.tf")</f>
        <v/>
      </c>
      <c r="D1423" s="64" t="inlineStr">
        <is>
          <t>TF</t>
        </is>
      </c>
      <c r="E1423" s="65">
        <f>IFERROR((AVERAGEIFS('M3 · Base mensuelle'!$D$89:$AM$89,HDR,"&gt;="&amp;P_START,HDR,"&lt;="&amp;P_END)),"")</f>
        <v/>
      </c>
      <c r="F1423" s="65">
        <f>IFERROR((AVERAGEIFS('M3 · Base mensuelle'!$D$89:$AM$89,HDR,"&gt;="&amp;PP_START,HDR,"&lt;="&amp;PP_END)),"")</f>
        <v/>
      </c>
      <c r="G1423" s="66">
        <f>IFERROR((E1423)/(F1423)-1,"")</f>
        <v/>
      </c>
      <c r="H1423" s="65">
        <f>IFERROR((AVERAGEIFS('M3 · Base mensuelle'!$D$89:$AM$89,HDR,"&gt;="&amp;PY_START,HDR,"&lt;="&amp;PY_END)),"")</f>
        <v/>
      </c>
      <c r="I1423" s="66">
        <f>IFERROR((E1423)/(H1423)-1,"")</f>
        <v/>
      </c>
      <c r="J1423" s="67" t="n"/>
      <c r="K1423" s="66">
        <f>IFERROR((E1423)/(J1423)-1,"")</f>
        <v/>
      </c>
      <c r="L1423" s="68">
        <f>IF(O1423="","",IF(O1423="green",IFERROR(IF(LANG="EN",INDEX(I18N_EN,MATCH("rag.green",I18N_KEY,0)),INDEX(I18N_FR,MATCH("rag.green",I18N_KEY,0))),"rag.green"),IF(O1423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23" s="3" t="n"/>
      <c r="N1423" s="32" t="n"/>
      <c r="O1423" s="69">
        <f>IFERROR(IF(IF(N(J1423)&gt;0,J1423,H1423)=0,"",IF(INDEX(RAG_SENS,MATCH("kpi.hsse.tf",RAG_KEY,0))="UP",IF((E1423/IF(N(J1423)&gt;0,J1423,H1423))&gt;=INDEX(RAG_SV,MATCH("kpi.hsse.tf",RAG_KEY,0)),"green",IF((E1423/IF(N(J1423)&gt;0,J1423,H1423))&gt;=INDEX(RAG_SA,MATCH("kpi.hsse.tf",RAG_KEY,0)),"amber","red")),IF((E1423/IF(N(J1423)&gt;0,J1423,H1423))&lt;=INDEX(RAG_SV,MATCH("kpi.hsse.tf",RAG_KEY,0)),"green",IF((E1423/IF(N(J1423)&gt;0,J1423,H1423))&lt;=INDEX(RAG_SA,MATCH("kpi.hsse.tf",RAG_KEY,0)),"amber","red")))),"")</f>
        <v/>
      </c>
    </row>
    <row r="1424">
      <c r="C1424" s="63">
        <f>IFERROR(IF(LANG="EN",INDEX(I18N_EN,MATCH("kpi.hsse.tg",I18N_KEY,0)),INDEX(I18N_FR,MATCH("kpi.hsse.tg",I18N_KEY,0))),"kpi.hsse.tg")</f>
        <v/>
      </c>
      <c r="D1424" s="64" t="inlineStr">
        <is>
          <t>TG</t>
        </is>
      </c>
      <c r="E1424" s="65">
        <f>IFERROR((AVERAGEIFS('M3 · Base mensuelle'!$D$90:$AM$90,HDR,"&gt;="&amp;P_START,HDR,"&lt;="&amp;P_END)),"")</f>
        <v/>
      </c>
      <c r="F1424" s="65">
        <f>IFERROR((AVERAGEIFS('M3 · Base mensuelle'!$D$90:$AM$90,HDR,"&gt;="&amp;PP_START,HDR,"&lt;="&amp;PP_END)),"")</f>
        <v/>
      </c>
      <c r="G1424" s="66">
        <f>IFERROR((E1424)/(F1424)-1,"")</f>
        <v/>
      </c>
      <c r="H1424" s="65">
        <f>IFERROR((AVERAGEIFS('M3 · Base mensuelle'!$D$90:$AM$90,HDR,"&gt;="&amp;PY_START,HDR,"&lt;="&amp;PY_END)),"")</f>
        <v/>
      </c>
      <c r="I1424" s="66">
        <f>IFERROR((E1424)/(H1424)-1,"")</f>
        <v/>
      </c>
      <c r="J1424" s="67" t="n"/>
      <c r="K1424" s="66">
        <f>IFERROR((E1424)/(J1424)-1,"")</f>
        <v/>
      </c>
      <c r="L1424" s="68">
        <f>IF(O1424="","",IF(O1424="green",IFERROR(IF(LANG="EN",INDEX(I18N_EN,MATCH("rag.green",I18N_KEY,0)),INDEX(I18N_FR,MATCH("rag.green",I18N_KEY,0))),"rag.green"),IF(O1424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24" s="3" t="n"/>
      <c r="N1424" s="32" t="n"/>
      <c r="O1424" s="69">
        <f>IFERROR(IF(IF(N(J1424)&gt;0,J1424,H1424)=0,"",IF(INDEX(RAG_SENS,MATCH("kpi.hsse.tg",RAG_KEY,0))="UP",IF((E1424/IF(N(J1424)&gt;0,J1424,H1424))&gt;=INDEX(RAG_SV,MATCH("kpi.hsse.tg",RAG_KEY,0)),"green",IF((E1424/IF(N(J1424)&gt;0,J1424,H1424))&gt;=INDEX(RAG_SA,MATCH("kpi.hsse.tg",RAG_KEY,0)),"amber","red")),IF((E1424/IF(N(J1424)&gt;0,J1424,H1424))&lt;=INDEX(RAG_SV,MATCH("kpi.hsse.tg",RAG_KEY,0)),"green",IF((E1424/IF(N(J1424)&gt;0,J1424,H1424))&lt;=INDEX(RAG_SA,MATCH("kpi.hsse.tg",RAG_KEY,0)),"amber","red")))),"")</f>
        <v/>
      </c>
    </row>
    <row r="1425">
      <c r="C1425" s="72">
        <f>"◆ "&amp;IFERROR(IF(LANG="EN",INDEX(I18N_EN,MATCH("msg.highlights",I18N_KEY,0)),INDEX(I18N_FR,MATCH("msg.highlights",I18N_KEY,0))),"msg.highlights")</f>
        <v/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2" t="n"/>
    </row>
    <row r="1426">
      <c r="C1426" s="73">
        <f>IFERROR("▲ "&amp;INDEX(C1423:C1424,MATCH(MAX(G1423:G1424),G1423:G1424,0))&amp;"   "&amp;TEXT(MAX(G1423:G1424),"+0.0%;-0.0%"),"")</f>
        <v/>
      </c>
      <c r="D1426" s="3" t="n"/>
      <c r="E1426" s="3" t="n"/>
      <c r="F1426" s="3" t="n"/>
      <c r="G1426" s="3" t="n"/>
      <c r="H1426" s="3" t="n"/>
      <c r="I1426" s="74">
        <f>IFERROR("▼ "&amp;INDEX(C1423:C1424,MATCH(MIN(G1423:G1424),G1423:G1424,0))&amp;"   "&amp;TEXT(MIN(G1423:G1424),"+0.0%;-0.0%"),"")</f>
        <v/>
      </c>
      <c r="J1426" s="3" t="n"/>
      <c r="K1426" s="3" t="n"/>
      <c r="L1426" s="3" t="n"/>
      <c r="M1426" s="3" t="n"/>
      <c r="N1426" s="32" t="n"/>
    </row>
    <row r="1427">
      <c r="C1427" s="53">
        <f>"💬 "&amp;IFERROR(IF(LANG="EN",INDEX(I18N_EN,MATCH("col.comment",I18N_KEY,0)),INDEX(I18N_FR,MATCH("col.comment",I18N_KEY,0))),"col.comment")</f>
        <v/>
      </c>
      <c r="D1427" s="5" t="n"/>
      <c r="E1427" s="5" t="n"/>
      <c r="F1427" s="5" t="n"/>
      <c r="G1427" s="5" t="n"/>
      <c r="H1427" s="5" t="n"/>
      <c r="I1427" s="5" t="n"/>
      <c r="J1427" s="5" t="n"/>
      <c r="K1427" s="5" t="n"/>
      <c r="L1427" s="5" t="n"/>
      <c r="M1427" s="5" t="n"/>
      <c r="N1427" s="54" t="n"/>
      <c r="O1427" s="5" t="n"/>
    </row>
    <row r="1428">
      <c r="C1428" s="75">
        <f>IF('C7 · HSSE'!$D$31&lt;&gt;"",'C7 · HSSE'!$D$31,IFERROR(SUBSTITUTE(SUBSTITUTE(IF(G1423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hsse.tf",I18N_KEY,0)),INDEX(I18N_FR,MATCH("kpi.hsse.tf",I18N_KEY,0))),"kpi.hsse.tf")),"{delta}",TEXT(ABS(G1423),"0.0%")),""))</f>
        <v/>
      </c>
      <c r="D1428" s="56" t="n"/>
      <c r="E1428" s="56" t="n"/>
      <c r="F1428" s="56" t="n"/>
      <c r="G1428" s="56" t="n"/>
      <c r="H1428" s="56" t="n"/>
      <c r="I1428" s="56" t="n"/>
      <c r="J1428" s="56" t="n"/>
      <c r="K1428" s="56" t="n"/>
      <c r="L1428" s="56" t="n"/>
      <c r="M1428" s="56" t="n"/>
      <c r="N1428" s="56" t="n"/>
      <c r="O1428" s="57" t="n"/>
    </row>
    <row r="1429">
      <c r="C1429" s="50" t="n"/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2" t="n"/>
    </row>
    <row r="1430">
      <c r="C1430" s="58" t="n"/>
      <c r="D1430" s="58" t="n"/>
      <c r="E1430" s="58" t="n"/>
      <c r="F1430" s="58" t="n"/>
      <c r="G1430" s="58" t="n"/>
      <c r="H1430" s="58" t="n"/>
      <c r="I1430" s="58" t="n"/>
      <c r="J1430" s="58" t="n"/>
      <c r="K1430" s="58" t="n"/>
      <c r="L1430" s="58" t="n"/>
      <c r="M1430" s="58" t="n"/>
      <c r="N1430" s="58" t="n"/>
      <c r="O1430" s="59" t="n"/>
    </row>
    <row r="1431">
      <c r="C1431" s="60" t="n"/>
      <c r="D1431" s="36" t="n"/>
      <c r="E1431" s="36" t="n"/>
      <c r="F1431" s="36" t="n"/>
      <c r="G1431" s="36" t="n"/>
      <c r="H1431" s="36" t="n"/>
      <c r="I1431" s="36" t="n"/>
      <c r="J1431" s="36" t="n"/>
      <c r="K1431" s="36" t="n"/>
      <c r="L1431" s="36" t="n"/>
      <c r="M1431" s="36" t="n"/>
      <c r="N1431" s="22" t="n"/>
    </row>
    <row r="1432">
      <c r="C1432" s="3" t="n"/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</row>
    <row r="1433" ht="19" customHeight="1">
      <c r="C1433" s="46">
        <f>"▸  8.3  "&amp;IF(LANG="EN","Toolbox Meeting","Réunions toolbox")</f>
        <v/>
      </c>
      <c r="D1433" s="47" t="n"/>
      <c r="E1433" s="47" t="n"/>
      <c r="F1433" s="47" t="n"/>
      <c r="G1433" s="47" t="n"/>
      <c r="H1433" s="47" t="n"/>
      <c r="I1433" s="47" t="n"/>
      <c r="J1433" s="47" t="n"/>
      <c r="K1433" s="47" t="n"/>
      <c r="L1433" s="47" t="n"/>
      <c r="M1433" s="47" t="n"/>
      <c r="N1433" s="48" t="n"/>
      <c r="O1433" s="1" t="n"/>
    </row>
    <row r="1434">
      <c r="C1434" s="80" t="inlineStr">
        <is>
          <t>Date</t>
        </is>
      </c>
      <c r="D1434" s="81" t="inlineStr">
        <is>
          <t>Thème / Topic</t>
        </is>
      </c>
      <c r="E1434" s="62" t="inlineStr">
        <is>
          <t>Participants</t>
        </is>
      </c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2" t="n"/>
    </row>
    <row r="1435">
      <c r="C1435" s="82" t="inlineStr">
        <is>
          <t>2026-06-02</t>
        </is>
      </c>
      <c r="D1435" s="84" t="inlineStr">
        <is>
          <t>Évacuation / Evacuation</t>
        </is>
      </c>
      <c r="E1435" s="83" t="n">
        <v>22</v>
      </c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2" t="n"/>
    </row>
    <row r="1436">
      <c r="C1436" s="82" t="inlineStr">
        <is>
          <t>2026-06-12</t>
        </is>
      </c>
      <c r="D1436" s="84" t="inlineStr">
        <is>
          <t>EPI / PPE</t>
        </is>
      </c>
      <c r="E1436" s="83" t="n">
        <v>18</v>
      </c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2" t="n"/>
    </row>
    <row r="1437">
      <c r="C1437" s="82" t="inlineStr">
        <is>
          <t>2026-06-23</t>
        </is>
      </c>
      <c r="D1437" s="84" t="inlineStr">
        <is>
          <t>Premiers secours / First aid</t>
        </is>
      </c>
      <c r="E1437" s="83" t="n">
        <v>20</v>
      </c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2" t="n"/>
    </row>
    <row r="1438">
      <c r="C1438" s="50" t="n"/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2" t="n"/>
    </row>
    <row r="1439">
      <c r="C1439" s="50" t="n"/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2" t="n"/>
    </row>
    <row r="1440">
      <c r="C1440" s="50" t="n"/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2" t="n"/>
    </row>
    <row r="1441">
      <c r="C1441" s="50" t="n"/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2" t="n"/>
    </row>
    <row r="1442">
      <c r="C1442" s="50" t="n"/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2" t="n"/>
    </row>
    <row r="1443">
      <c r="C1443" s="50" t="n"/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2" t="n"/>
    </row>
    <row r="1444">
      <c r="C1444" s="50" t="n"/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2" t="n"/>
    </row>
    <row r="1445">
      <c r="C1445" s="50" t="n"/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2" t="n"/>
    </row>
    <row r="1446">
      <c r="C1446" s="53">
        <f>"💬 "&amp;IFERROR(IF(LANG="EN",INDEX(I18N_EN,MATCH("col.comment",I18N_KEY,0)),INDEX(I18N_FR,MATCH("col.comment",I18N_KEY,0))),"col.comment")</f>
        <v/>
      </c>
      <c r="D1446" s="5" t="n"/>
      <c r="E1446" s="5" t="n"/>
      <c r="F1446" s="5" t="n"/>
      <c r="G1446" s="5" t="n"/>
      <c r="H1446" s="5" t="n"/>
      <c r="I1446" s="5" t="n"/>
      <c r="J1446" s="5" t="n"/>
      <c r="K1446" s="5" t="n"/>
      <c r="L1446" s="5" t="n"/>
      <c r="M1446" s="5" t="n"/>
      <c r="N1446" s="54" t="n"/>
      <c r="O1446" s="5" t="n"/>
    </row>
    <row r="1447">
      <c r="C1447" s="55">
        <f>IF(LANG="EN","Commentary / data source: management systems (demo).","Commentaire / source : systèmes de gestion (démo).")</f>
        <v/>
      </c>
      <c r="D1447" s="56" t="n"/>
      <c r="E1447" s="56" t="n"/>
      <c r="F1447" s="56" t="n"/>
      <c r="G1447" s="56" t="n"/>
      <c r="H1447" s="56" t="n"/>
      <c r="I1447" s="56" t="n"/>
      <c r="J1447" s="56" t="n"/>
      <c r="K1447" s="56" t="n"/>
      <c r="L1447" s="56" t="n"/>
      <c r="M1447" s="56" t="n"/>
      <c r="N1447" s="56" t="n"/>
      <c r="O1447" s="57" t="n"/>
    </row>
    <row r="1448">
      <c r="C1448" s="50" t="n"/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2" t="n"/>
    </row>
    <row r="1449">
      <c r="C1449" s="58" t="n"/>
      <c r="D1449" s="58" t="n"/>
      <c r="E1449" s="58" t="n"/>
      <c r="F1449" s="58" t="n"/>
      <c r="G1449" s="58" t="n"/>
      <c r="H1449" s="58" t="n"/>
      <c r="I1449" s="58" t="n"/>
      <c r="J1449" s="58" t="n"/>
      <c r="K1449" s="58" t="n"/>
      <c r="L1449" s="58" t="n"/>
      <c r="M1449" s="58" t="n"/>
      <c r="N1449" s="58" t="n"/>
      <c r="O1449" s="59" t="n"/>
    </row>
    <row r="1450">
      <c r="C1450" s="60" t="n"/>
      <c r="D1450" s="36" t="n"/>
      <c r="E1450" s="36" t="n"/>
      <c r="F1450" s="36" t="n"/>
      <c r="G1450" s="36" t="n"/>
      <c r="H1450" s="36" t="n"/>
      <c r="I1450" s="36" t="n"/>
      <c r="J1450" s="36" t="n"/>
      <c r="K1450" s="36" t="n"/>
      <c r="L1450" s="36" t="n"/>
      <c r="M1450" s="36" t="n"/>
      <c r="N1450" s="22" t="n"/>
    </row>
    <row r="1451">
      <c r="C1451" s="3" t="n"/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</row>
    <row r="1452" ht="19" customHeight="1">
      <c r="C1452" s="46">
        <f>"▸  8.4  "&amp;IF(LANG="EN","Security Action Tracking","Suivi des actions sûreté")</f>
        <v/>
      </c>
      <c r="D1452" s="47" t="n"/>
      <c r="E1452" s="47" t="n"/>
      <c r="F1452" s="47" t="n"/>
      <c r="G1452" s="47" t="n"/>
      <c r="H1452" s="47" t="n"/>
      <c r="I1452" s="47" t="n"/>
      <c r="J1452" s="47" t="n"/>
      <c r="K1452" s="47" t="n"/>
      <c r="L1452" s="47" t="n"/>
      <c r="M1452" s="47" t="n"/>
      <c r="N1452" s="48" t="n"/>
      <c r="O1452" s="1" t="n"/>
    </row>
    <row r="1453">
      <c r="C1453" s="53">
        <f>"💬 "&amp;IFERROR(IF(LANG="EN",INDEX(I18N_EN,MATCH("col.comment",I18N_KEY,0)),INDEX(I18N_FR,MATCH("col.comment",I18N_KEY,0))),"col.comment")</f>
        <v/>
      </c>
      <c r="D1453" s="5" t="n"/>
      <c r="E1453" s="5" t="n"/>
      <c r="F1453" s="5" t="n"/>
      <c r="G1453" s="5" t="n"/>
      <c r="H1453" s="5" t="n"/>
      <c r="I1453" s="5" t="n"/>
      <c r="J1453" s="5" t="n"/>
      <c r="K1453" s="5" t="n"/>
      <c r="L1453" s="5" t="n"/>
      <c r="M1453" s="5" t="n"/>
      <c r="N1453" s="54" t="n"/>
      <c r="O1453" s="5" t="n"/>
    </row>
    <row r="1454">
      <c r="C1454" s="55">
        <f>IF(LANG="EN","Commentary.","Commentaire.")</f>
        <v/>
      </c>
      <c r="D1454" s="56" t="n"/>
      <c r="E1454" s="56" t="n"/>
      <c r="F1454" s="56" t="n"/>
      <c r="G1454" s="56" t="n"/>
      <c r="H1454" s="56" t="n"/>
      <c r="I1454" s="56" t="n"/>
      <c r="J1454" s="56" t="n"/>
      <c r="K1454" s="56" t="n"/>
      <c r="L1454" s="56" t="n"/>
      <c r="M1454" s="56" t="n"/>
      <c r="N1454" s="56" t="n"/>
      <c r="O1454" s="57" t="n"/>
    </row>
    <row r="1455">
      <c r="C1455" s="50" t="n"/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2" t="n"/>
    </row>
    <row r="1456">
      <c r="C1456" s="58" t="n"/>
      <c r="D1456" s="58" t="n"/>
      <c r="E1456" s="58" t="n"/>
      <c r="F1456" s="58" t="n"/>
      <c r="G1456" s="58" t="n"/>
      <c r="H1456" s="58" t="n"/>
      <c r="I1456" s="58" t="n"/>
      <c r="J1456" s="58" t="n"/>
      <c r="K1456" s="58" t="n"/>
      <c r="L1456" s="58" t="n"/>
      <c r="M1456" s="58" t="n"/>
      <c r="N1456" s="58" t="n"/>
      <c r="O1456" s="59" t="n"/>
    </row>
    <row r="1457">
      <c r="C1457" s="60" t="n"/>
      <c r="D1457" s="36" t="n"/>
      <c r="E1457" s="36" t="n"/>
      <c r="F1457" s="36" t="n"/>
      <c r="G1457" s="36" t="n"/>
      <c r="H1457" s="36" t="n"/>
      <c r="I1457" s="36" t="n"/>
      <c r="J1457" s="36" t="n"/>
      <c r="K1457" s="36" t="n"/>
      <c r="L1457" s="36" t="n"/>
      <c r="M1457" s="36" t="n"/>
      <c r="N1457" s="22" t="n"/>
    </row>
    <row r="1458">
      <c r="C1458" s="3" t="n"/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</row>
    <row r="1459" ht="19" customHeight="1">
      <c r="C1459" s="46">
        <f>"▸  8.4.1  "&amp;IF(LANG="EN","Current Action Items","Actions en cours")</f>
        <v/>
      </c>
      <c r="D1459" s="47" t="n"/>
      <c r="E1459" s="47" t="n"/>
      <c r="F1459" s="47" t="n"/>
      <c r="G1459" s="47" t="n"/>
      <c r="H1459" s="47" t="n"/>
      <c r="I1459" s="47" t="n"/>
      <c r="J1459" s="47" t="n"/>
      <c r="K1459" s="47" t="n"/>
      <c r="L1459" s="47" t="n"/>
      <c r="M1459" s="47" t="n"/>
      <c r="N1459" s="48" t="n"/>
      <c r="O1459" s="1" t="n"/>
    </row>
    <row r="1460">
      <c r="C1460" s="80" t="inlineStr">
        <is>
          <t>Réf / Ref</t>
        </is>
      </c>
      <c r="D1460" s="81" t="inlineStr">
        <is>
          <t>Action</t>
        </is>
      </c>
      <c r="E1460" s="81" t="inlineStr">
        <is>
          <t>Responsable / Owner</t>
        </is>
      </c>
      <c r="F1460" s="81" t="inlineStr">
        <is>
          <t>Échéance / Due</t>
        </is>
      </c>
      <c r="G1460" s="81" t="inlineStr">
        <is>
          <t>Statut / Status</t>
        </is>
      </c>
      <c r="H1460" s="3" t="n"/>
      <c r="I1460" s="3" t="n"/>
      <c r="J1460" s="3" t="n"/>
      <c r="K1460" s="3" t="n"/>
      <c r="L1460" s="3" t="n"/>
      <c r="M1460" s="3" t="n"/>
      <c r="N1460" s="32" t="n"/>
    </row>
    <row r="1461">
      <c r="C1461" s="82" t="inlineStr">
        <is>
          <t>AC-01</t>
        </is>
      </c>
      <c r="D1461" s="84" t="inlineStr">
        <is>
          <t>Renforcer CCTV parking / Add CCTV</t>
        </is>
      </c>
      <c r="E1461" s="84" t="inlineStr">
        <is>
          <t>Sûreté / Security</t>
        </is>
      </c>
      <c r="F1461" s="84" t="inlineStr">
        <is>
          <t>2026-07-15</t>
        </is>
      </c>
      <c r="G1461" s="84" t="inlineStr">
        <is>
          <t>En cours / Ongoing</t>
        </is>
      </c>
      <c r="H1461" s="3" t="n"/>
      <c r="I1461" s="3" t="n"/>
      <c r="J1461" s="3" t="n"/>
      <c r="K1461" s="3" t="n"/>
      <c r="L1461" s="3" t="n"/>
      <c r="M1461" s="3" t="n"/>
      <c r="N1461" s="32" t="n"/>
    </row>
    <row r="1462">
      <c r="C1462" s="82" t="inlineStr">
        <is>
          <t>AC-02</t>
        </is>
      </c>
      <c r="D1462" s="84" t="inlineStr">
        <is>
          <t>Audit extincteurs / Extinguisher audit</t>
        </is>
      </c>
      <c r="E1462" s="84" t="inlineStr">
        <is>
          <t>HSSE</t>
        </is>
      </c>
      <c r="F1462" s="84" t="inlineStr">
        <is>
          <t>2026-07-01</t>
        </is>
      </c>
      <c r="G1462" s="84" t="inlineStr">
        <is>
          <t>En cours / Ongoing</t>
        </is>
      </c>
      <c r="H1462" s="3" t="n"/>
      <c r="I1462" s="3" t="n"/>
      <c r="J1462" s="3" t="n"/>
      <c r="K1462" s="3" t="n"/>
      <c r="L1462" s="3" t="n"/>
      <c r="M1462" s="3" t="n"/>
      <c r="N1462" s="32" t="n"/>
    </row>
    <row r="1463">
      <c r="C1463" s="82" t="inlineStr">
        <is>
          <t>AC-03</t>
        </is>
      </c>
      <c r="D1463" s="84" t="inlineStr">
        <is>
          <t>Formation évacuation / Evac training</t>
        </is>
      </c>
      <c r="E1463" s="84" t="inlineStr">
        <is>
          <t>HSSE</t>
        </is>
      </c>
      <c r="F1463" s="84" t="inlineStr">
        <is>
          <t>2026-07-20</t>
        </is>
      </c>
      <c r="G1463" s="84" t="inlineStr">
        <is>
          <t>Planifié / Planned</t>
        </is>
      </c>
      <c r="H1463" s="3" t="n"/>
      <c r="I1463" s="3" t="n"/>
      <c r="J1463" s="3" t="n"/>
      <c r="K1463" s="3" t="n"/>
      <c r="L1463" s="3" t="n"/>
      <c r="M1463" s="3" t="n"/>
      <c r="N1463" s="32" t="n"/>
    </row>
    <row r="1464">
      <c r="C1464" s="50" t="n"/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2" t="n"/>
    </row>
    <row r="1465">
      <c r="C1465" s="53">
        <f>"💬 "&amp;IFERROR(IF(LANG="EN",INDEX(I18N_EN,MATCH("col.comment",I18N_KEY,0)),INDEX(I18N_FR,MATCH("col.comment",I18N_KEY,0))),"col.comment")</f>
        <v/>
      </c>
      <c r="D1465" s="5" t="n"/>
      <c r="E1465" s="5" t="n"/>
      <c r="F1465" s="5" t="n"/>
      <c r="G1465" s="5" t="n"/>
      <c r="H1465" s="5" t="n"/>
      <c r="I1465" s="5" t="n"/>
      <c r="J1465" s="5" t="n"/>
      <c r="K1465" s="5" t="n"/>
      <c r="L1465" s="5" t="n"/>
      <c r="M1465" s="5" t="n"/>
      <c r="N1465" s="54" t="n"/>
      <c r="O1465" s="5" t="n"/>
    </row>
    <row r="1466">
      <c r="C1466" s="55">
        <f>IF(LANG="EN","Commentary / data source: management systems (demo).","Commentaire / source : systèmes de gestion (démo).")</f>
        <v/>
      </c>
      <c r="D1466" s="56" t="n"/>
      <c r="E1466" s="56" t="n"/>
      <c r="F1466" s="56" t="n"/>
      <c r="G1466" s="56" t="n"/>
      <c r="H1466" s="56" t="n"/>
      <c r="I1466" s="56" t="n"/>
      <c r="J1466" s="56" t="n"/>
      <c r="K1466" s="56" t="n"/>
      <c r="L1466" s="56" t="n"/>
      <c r="M1466" s="56" t="n"/>
      <c r="N1466" s="56" t="n"/>
      <c r="O1466" s="57" t="n"/>
    </row>
    <row r="1467">
      <c r="C1467" s="50" t="n"/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2" t="n"/>
    </row>
    <row r="1468">
      <c r="C1468" s="58" t="n"/>
      <c r="D1468" s="58" t="n"/>
      <c r="E1468" s="58" t="n"/>
      <c r="F1468" s="58" t="n"/>
      <c r="G1468" s="58" t="n"/>
      <c r="H1468" s="58" t="n"/>
      <c r="I1468" s="58" t="n"/>
      <c r="J1468" s="58" t="n"/>
      <c r="K1468" s="58" t="n"/>
      <c r="L1468" s="58" t="n"/>
      <c r="M1468" s="58" t="n"/>
      <c r="N1468" s="58" t="n"/>
      <c r="O1468" s="59" t="n"/>
    </row>
    <row r="1469">
      <c r="C1469" s="60" t="n"/>
      <c r="D1469" s="36" t="n"/>
      <c r="E1469" s="36" t="n"/>
      <c r="F1469" s="36" t="n"/>
      <c r="G1469" s="36" t="n"/>
      <c r="H1469" s="36" t="n"/>
      <c r="I1469" s="36" t="n"/>
      <c r="J1469" s="36" t="n"/>
      <c r="K1469" s="36" t="n"/>
      <c r="L1469" s="36" t="n"/>
      <c r="M1469" s="36" t="n"/>
      <c r="N1469" s="22" t="n"/>
    </row>
    <row r="1470">
      <c r="C1470" s="3" t="n"/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</row>
    <row r="1471" ht="19" customHeight="1">
      <c r="C1471" s="46">
        <f>"▸  8.4.2  "&amp;IF(LANG="EN","Upcoming Action Items","Actions à venir")</f>
        <v/>
      </c>
      <c r="D1471" s="47" t="n"/>
      <c r="E1471" s="47" t="n"/>
      <c r="F1471" s="47" t="n"/>
      <c r="G1471" s="47" t="n"/>
      <c r="H1471" s="47" t="n"/>
      <c r="I1471" s="47" t="n"/>
      <c r="J1471" s="47" t="n"/>
      <c r="K1471" s="47" t="n"/>
      <c r="L1471" s="47" t="n"/>
      <c r="M1471" s="47" t="n"/>
      <c r="N1471" s="48" t="n"/>
      <c r="O1471" s="1" t="n"/>
    </row>
    <row r="1472">
      <c r="C1472" s="80" t="inlineStr">
        <is>
          <t>Réf / Ref</t>
        </is>
      </c>
      <c r="D1472" s="81" t="inlineStr">
        <is>
          <t>Action</t>
        </is>
      </c>
      <c r="E1472" s="81" t="inlineStr">
        <is>
          <t>Responsable / Owner</t>
        </is>
      </c>
      <c r="F1472" s="81" t="inlineStr">
        <is>
          <t>Échéance / Due</t>
        </is>
      </c>
      <c r="G1472" s="81" t="inlineStr">
        <is>
          <t>Statut / Status</t>
        </is>
      </c>
      <c r="H1472" s="3" t="n"/>
      <c r="I1472" s="3" t="n"/>
      <c r="J1472" s="3" t="n"/>
      <c r="K1472" s="3" t="n"/>
      <c r="L1472" s="3" t="n"/>
      <c r="M1472" s="3" t="n"/>
      <c r="N1472" s="32" t="n"/>
    </row>
    <row r="1473">
      <c r="C1473" s="82" t="inlineStr">
        <is>
          <t>AC-04</t>
        </is>
      </c>
      <c r="D1473" s="84" t="inlineStr">
        <is>
          <t>Exercice incendie T3 / Q3 fire drill</t>
        </is>
      </c>
      <c r="E1473" s="84" t="inlineStr">
        <is>
          <t>HSSE</t>
        </is>
      </c>
      <c r="F1473" s="84" t="inlineStr">
        <is>
          <t>2026-08-10</t>
        </is>
      </c>
      <c r="G1473" s="84" t="inlineStr">
        <is>
          <t>À venir / Upcoming</t>
        </is>
      </c>
      <c r="H1473" s="3" t="n"/>
      <c r="I1473" s="3" t="n"/>
      <c r="J1473" s="3" t="n"/>
      <c r="K1473" s="3" t="n"/>
      <c r="L1473" s="3" t="n"/>
      <c r="M1473" s="3" t="n"/>
      <c r="N1473" s="32" t="n"/>
    </row>
    <row r="1474">
      <c r="C1474" s="82" t="inlineStr">
        <is>
          <t>AC-05</t>
        </is>
      </c>
      <c r="D1474" s="84" t="inlineStr">
        <is>
          <t>Revue plan de crise / Crisis plan review</t>
        </is>
      </c>
      <c r="E1474" s="84" t="inlineStr">
        <is>
          <t>Direction / Mgmt</t>
        </is>
      </c>
      <c r="F1474" s="84" t="inlineStr">
        <is>
          <t>2026-09-01</t>
        </is>
      </c>
      <c r="G1474" s="84" t="inlineStr">
        <is>
          <t>À venir / Upcoming</t>
        </is>
      </c>
      <c r="H1474" s="3" t="n"/>
      <c r="I1474" s="3" t="n"/>
      <c r="J1474" s="3" t="n"/>
      <c r="K1474" s="3" t="n"/>
      <c r="L1474" s="3" t="n"/>
      <c r="M1474" s="3" t="n"/>
      <c r="N1474" s="32" t="n"/>
    </row>
    <row r="1475">
      <c r="C1475" s="50" t="n"/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2" t="n"/>
    </row>
    <row r="1476">
      <c r="C1476" s="53">
        <f>"💬 "&amp;IFERROR(IF(LANG="EN",INDEX(I18N_EN,MATCH("col.comment",I18N_KEY,0)),INDEX(I18N_FR,MATCH("col.comment",I18N_KEY,0))),"col.comment")</f>
        <v/>
      </c>
      <c r="D1476" s="5" t="n"/>
      <c r="E1476" s="5" t="n"/>
      <c r="F1476" s="5" t="n"/>
      <c r="G1476" s="5" t="n"/>
      <c r="H1476" s="5" t="n"/>
      <c r="I1476" s="5" t="n"/>
      <c r="J1476" s="5" t="n"/>
      <c r="K1476" s="5" t="n"/>
      <c r="L1476" s="5" t="n"/>
      <c r="M1476" s="5" t="n"/>
      <c r="N1476" s="54" t="n"/>
      <c r="O1476" s="5" t="n"/>
    </row>
    <row r="1477">
      <c r="C1477" s="55">
        <f>IF(LANG="EN","Commentary / data source: management systems (demo).","Commentaire / source : systèmes de gestion (démo).")</f>
        <v/>
      </c>
      <c r="D1477" s="56" t="n"/>
      <c r="E1477" s="56" t="n"/>
      <c r="F1477" s="56" t="n"/>
      <c r="G1477" s="56" t="n"/>
      <c r="H1477" s="56" t="n"/>
      <c r="I1477" s="56" t="n"/>
      <c r="J1477" s="56" t="n"/>
      <c r="K1477" s="56" t="n"/>
      <c r="L1477" s="56" t="n"/>
      <c r="M1477" s="56" t="n"/>
      <c r="N1477" s="56" t="n"/>
      <c r="O1477" s="57" t="n"/>
    </row>
    <row r="1478">
      <c r="C1478" s="50" t="n"/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2" t="n"/>
    </row>
    <row r="1479">
      <c r="C1479" s="58" t="n"/>
      <c r="D1479" s="58" t="n"/>
      <c r="E1479" s="58" t="n"/>
      <c r="F1479" s="58" t="n"/>
      <c r="G1479" s="58" t="n"/>
      <c r="H1479" s="58" t="n"/>
      <c r="I1479" s="58" t="n"/>
      <c r="J1479" s="58" t="n"/>
      <c r="K1479" s="58" t="n"/>
      <c r="L1479" s="58" t="n"/>
      <c r="M1479" s="58" t="n"/>
      <c r="N1479" s="58" t="n"/>
      <c r="O1479" s="59" t="n"/>
    </row>
    <row r="1480">
      <c r="C1480" s="60" t="n"/>
      <c r="D1480" s="36" t="n"/>
      <c r="E1480" s="36" t="n"/>
      <c r="F1480" s="36" t="n"/>
      <c r="G1480" s="36" t="n"/>
      <c r="H1480" s="36" t="n"/>
      <c r="I1480" s="36" t="n"/>
      <c r="J1480" s="36" t="n"/>
      <c r="K1480" s="36" t="n"/>
      <c r="L1480" s="36" t="n"/>
      <c r="M1480" s="36" t="n"/>
      <c r="N1480" s="22" t="n"/>
    </row>
    <row r="1481">
      <c r="C1481" s="3" t="n"/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</row>
    <row r="1482" ht="19" customHeight="1">
      <c r="C1482" s="46">
        <f>"▸  8.5  "&amp;IF(LANG="EN","Budget &amp; Security Tracking","Suivi budgétaire &amp; sûreté")</f>
        <v/>
      </c>
      <c r="D1482" s="47" t="n"/>
      <c r="E1482" s="47" t="n"/>
      <c r="F1482" s="47" t="n"/>
      <c r="G1482" s="47" t="n"/>
      <c r="H1482" s="47" t="n"/>
      <c r="I1482" s="47" t="n"/>
      <c r="J1482" s="47" t="n"/>
      <c r="K1482" s="47" t="n"/>
      <c r="L1482" s="47" t="n"/>
      <c r="M1482" s="47" t="n"/>
      <c r="N1482" s="48" t="n"/>
      <c r="O1482" s="1" t="n"/>
    </row>
    <row r="1483">
      <c r="C1483" s="61">
        <f>IFERROR(IF(LANG="EN",INDEX(I18N_EN,MATCH("col.kpi",I18N_KEY,0)),INDEX(I18N_FR,MATCH("col.kpi",I18N_KEY,0))),"col.kpi")</f>
        <v/>
      </c>
      <c r="D1483" s="62">
        <f>IFERROR(IF(LANG="EN",INDEX(I18N_EN,MATCH("col.unit",I18N_KEY,0)),INDEX(I18N_FR,MATCH("col.unit",I18N_KEY,0))),"col.unit")</f>
        <v/>
      </c>
      <c r="E1483" s="62">
        <f>IFERROR(IF(LANG="EN",INDEX(I18N_EN,MATCH("col.current",I18N_KEY,0)),INDEX(I18N_FR,MATCH("col.current",I18N_KEY,0))),"col.current")</f>
        <v/>
      </c>
      <c r="F1483" s="62">
        <f>IFERROR(IF(LANG="EN",INDEX(I18N_EN,MATCH("col.prev",I18N_KEY,0)),INDEX(I18N_FR,MATCH("col.prev",I18N_KEY,0))),"col.prev")</f>
        <v/>
      </c>
      <c r="G1483" s="62">
        <f>IFERROR(IF(LANG="EN",INDEX(I18N_EN,MATCH("col.delta_prev",I18N_KEY,0)),INDEX(I18N_FR,MATCH("col.delta_prev",I18N_KEY,0))),"col.delta_prev")</f>
        <v/>
      </c>
      <c r="H1483" s="62">
        <f>IFERROR(IF(LANG="EN",INDEX(I18N_EN,MATCH("col.py",I18N_KEY,0)),INDEX(I18N_FR,MATCH("col.py",I18N_KEY,0))),"col.py")</f>
        <v/>
      </c>
      <c r="I1483" s="62">
        <f>IFERROR(IF(LANG="EN",INDEX(I18N_EN,MATCH("col.delta_py",I18N_KEY,0)),INDEX(I18N_FR,MATCH("col.delta_py",I18N_KEY,0))),"col.delta_py")</f>
        <v/>
      </c>
      <c r="J1483" s="62">
        <f>IFERROR(IF(LANG="EN",INDEX(I18N_EN,MATCH("col.budget",I18N_KEY,0)),INDEX(I18N_FR,MATCH("col.budget",I18N_KEY,0))),"col.budget")</f>
        <v/>
      </c>
      <c r="K1483" s="62">
        <f>IFERROR(IF(LANG="EN",INDEX(I18N_EN,MATCH("col.var",I18N_KEY,0)),INDEX(I18N_FR,MATCH("col.var",I18N_KEY,0))),"col.var")</f>
        <v/>
      </c>
      <c r="L1483" s="62">
        <f>IFERROR(IF(LANG="EN",INDEX(I18N_EN,MATCH("col.rag",I18N_KEY,0)),INDEX(I18N_FR,MATCH("col.rag",I18N_KEY,0))),"col.rag")</f>
        <v/>
      </c>
      <c r="M1483" s="3" t="n"/>
      <c r="N1483" s="32" t="n"/>
    </row>
    <row r="1484">
      <c r="C1484" s="63">
        <f>IFERROR(IF(LANG="EN",INDEX(I18N_EN,MATCH("kpi.hsse.guards",I18N_KEY,0)),INDEX(I18N_FR,MATCH("kpi.hsse.guards",I18N_KEY,0))),"kpi.hsse.guards")</f>
        <v/>
      </c>
      <c r="D1484" s="64" t="inlineStr">
        <is>
          <t>nb</t>
        </is>
      </c>
      <c r="E1484" s="65">
        <f>IFERROR((INDEX('M3 · Base mensuelle'!$D$100:$AM$100,MATCH(P_END,HDR,0))),"")</f>
        <v/>
      </c>
      <c r="F1484" s="65">
        <f>IFERROR((INDEX('M3 · Base mensuelle'!$D$100:$AM$100,MATCH(PP_END,HDR,0))),"")</f>
        <v/>
      </c>
      <c r="G1484" s="66">
        <f>IFERROR((E1484)/(F1484)-1,"")</f>
        <v/>
      </c>
      <c r="H1484" s="65">
        <f>IFERROR((INDEX('M3 · Base mensuelle'!$D$100:$AM$100,MATCH(PY_END,HDR,0))),"")</f>
        <v/>
      </c>
      <c r="I1484" s="66">
        <f>IFERROR((E1484)/(H1484)-1,"")</f>
        <v/>
      </c>
      <c r="J1484" s="67" t="n"/>
      <c r="K1484" s="66">
        <f>IFERROR((E1484)/(J1484)-1,"")</f>
        <v/>
      </c>
      <c r="L1484" s="68">
        <f>IF(O1484="","",IF(O1484="green",IFERROR(IF(LANG="EN",INDEX(I18N_EN,MATCH("rag.green",I18N_KEY,0)),INDEX(I18N_FR,MATCH("rag.green",I18N_KEY,0))),"rag.green"),IF(O1484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4" s="3" t="n"/>
      <c r="N1484" s="32" t="n"/>
      <c r="O1484" s="69">
        <f>IFERROR(IF(IF(N(J1484)&gt;0,J1484,H1484)=0,"",IF(INDEX(RAG_SENS,MATCH("kpi.hsse.guards",RAG_KEY,0))="UP",IF((E1484/IF(N(J1484)&gt;0,J1484,H1484))&gt;=INDEX(RAG_SV,MATCH("kpi.hsse.guards",RAG_KEY,0)),"green",IF((E1484/IF(N(J1484)&gt;0,J1484,H1484))&gt;=INDEX(RAG_SA,MATCH("kpi.hsse.guards",RAG_KEY,0)),"amber","red")),IF((E1484/IF(N(J1484)&gt;0,J1484,H1484))&lt;=INDEX(RAG_SV,MATCH("kpi.hsse.guards",RAG_KEY,0)),"green",IF((E1484/IF(N(J1484)&gt;0,J1484,H1484))&lt;=INDEX(RAG_SA,MATCH("kpi.hsse.guards",RAG_KEY,0)),"amber","red")))),"")</f>
        <v/>
      </c>
    </row>
    <row r="1485">
      <c r="C1485" s="63">
        <f>IFERROR(IF(LANG="EN",INDEX(I18N_EN,MATCH("kpi.hsse.sec_interv",I18N_KEY,0)),INDEX(I18N_FR,MATCH("kpi.hsse.sec_interv",I18N_KEY,0))),"kpi.hsse.sec_interv")</f>
        <v/>
      </c>
      <c r="D1485" s="64" t="inlineStr">
        <is>
          <t>nb</t>
        </is>
      </c>
      <c r="E1485" s="65">
        <f>IFERROR((SUMIFS('M3 · Base mensuelle'!$D$97:$AM$97,HDR,"&gt;="&amp;P_START,HDR,"&lt;="&amp;P_END)),"")</f>
        <v/>
      </c>
      <c r="F1485" s="65">
        <f>IFERROR((SUMIFS('M3 · Base mensuelle'!$D$97:$AM$97,HDR,"&gt;="&amp;PP_START,HDR,"&lt;="&amp;PP_END)),"")</f>
        <v/>
      </c>
      <c r="G1485" s="66">
        <f>IFERROR((E1485)/(F1485)-1,"")</f>
        <v/>
      </c>
      <c r="H1485" s="65">
        <f>IFERROR((SUMIFS('M3 · Base mensuelle'!$D$97:$AM$97,HDR,"&gt;="&amp;PY_START,HDR,"&lt;="&amp;PY_END)),"")</f>
        <v/>
      </c>
      <c r="I1485" s="66">
        <f>IFERROR((E1485)/(H1485)-1,"")</f>
        <v/>
      </c>
      <c r="J1485" s="67" t="n"/>
      <c r="K1485" s="66">
        <f>IFERROR((E1485)/(J1485)-1,"")</f>
        <v/>
      </c>
      <c r="L1485" s="68">
        <f>IF(O1485="","",IF(O1485="green",IFERROR(IF(LANG="EN",INDEX(I18N_EN,MATCH("rag.green",I18N_KEY,0)),INDEX(I18N_FR,MATCH("rag.green",I18N_KEY,0))),"rag.green"),IF(O1485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5" s="3" t="n"/>
      <c r="N1485" s="32" t="n"/>
      <c r="O1485" s="69">
        <f>IFERROR(IF(IF(N(J1485)&gt;0,J1485,H1485)=0,"",IF(INDEX(RAG_SENS,MATCH("kpi.hsse.sec_interv",RAG_KEY,0))="UP",IF((E1485/IF(N(J1485)&gt;0,J1485,H1485))&gt;=INDEX(RAG_SV,MATCH("kpi.hsse.sec_interv",RAG_KEY,0)),"green",IF((E1485/IF(N(J1485)&gt;0,J1485,H1485))&gt;=INDEX(RAG_SA,MATCH("kpi.hsse.sec_interv",RAG_KEY,0)),"amber","red")),IF((E1485/IF(N(J1485)&gt;0,J1485,H1485))&lt;=INDEX(RAG_SV,MATCH("kpi.hsse.sec_interv",RAG_KEY,0)),"green",IF((E1485/IF(N(J1485)&gt;0,J1485,H1485))&lt;=INDEX(RAG_SA,MATCH("kpi.hsse.sec_interv",RAG_KEY,0)),"amber","red")))),"")</f>
        <v/>
      </c>
    </row>
    <row r="1486">
      <c r="C1486" s="63">
        <f>IFERROR(IF(LANG="EN",INDEX(I18N_EN,MATCH("kpi.hsse.theft",I18N_KEY,0)),INDEX(I18N_FR,MATCH("kpi.hsse.theft",I18N_KEY,0))),"kpi.hsse.theft")</f>
        <v/>
      </c>
      <c r="D1486" s="64" t="inlineStr">
        <is>
          <t>nb</t>
        </is>
      </c>
      <c r="E1486" s="65">
        <f>IFERROR((SUMIFS('M3 · Base mensuelle'!$D$98:$AM$98,HDR,"&gt;="&amp;P_START,HDR,"&lt;="&amp;P_END)),"")</f>
        <v/>
      </c>
      <c r="F1486" s="65">
        <f>IFERROR((SUMIFS('M3 · Base mensuelle'!$D$98:$AM$98,HDR,"&gt;="&amp;PP_START,HDR,"&lt;="&amp;PP_END)),"")</f>
        <v/>
      </c>
      <c r="G1486" s="66">
        <f>IFERROR((E1486)/(F1486)-1,"")</f>
        <v/>
      </c>
      <c r="H1486" s="65">
        <f>IFERROR((SUMIFS('M3 · Base mensuelle'!$D$98:$AM$98,HDR,"&gt;="&amp;PY_START,HDR,"&lt;="&amp;PY_END)),"")</f>
        <v/>
      </c>
      <c r="I1486" s="66">
        <f>IFERROR((E1486)/(H1486)-1,"")</f>
        <v/>
      </c>
      <c r="J1486" s="67" t="n"/>
      <c r="K1486" s="66">
        <f>IFERROR((E1486)/(J1486)-1,"")</f>
        <v/>
      </c>
      <c r="L1486" s="68">
        <f>IF(O1486="","",IF(O1486="green",IFERROR(IF(LANG="EN",INDEX(I18N_EN,MATCH("rag.green",I18N_KEY,0)),INDEX(I18N_FR,MATCH("rag.green",I18N_KEY,0))),"rag.green"),IF(O1486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6" s="3" t="n"/>
      <c r="N1486" s="32" t="n"/>
      <c r="O1486" s="69">
        <f>IFERROR(IF(IF(N(J1486)&gt;0,J1486,H1486)=0,"",IF(INDEX(RAG_SENS,MATCH("kpi.hsse.theft",RAG_KEY,0))="UP",IF((E1486/IF(N(J1486)&gt;0,J1486,H1486))&gt;=INDEX(RAG_SV,MATCH("kpi.hsse.theft",RAG_KEY,0)),"green",IF((E1486/IF(N(J1486)&gt;0,J1486,H1486))&gt;=INDEX(RAG_SA,MATCH("kpi.hsse.theft",RAG_KEY,0)),"amber","red")),IF((E1486/IF(N(J1486)&gt;0,J1486,H1486))&lt;=INDEX(RAG_SV,MATCH("kpi.hsse.theft",RAG_KEY,0)),"green",IF((E1486/IF(N(J1486)&gt;0,J1486,H1486))&lt;=INDEX(RAG_SA,MATCH("kpi.hsse.theft",RAG_KEY,0)),"amber","red")))),"")</f>
        <v/>
      </c>
    </row>
    <row r="1487">
      <c r="C1487" s="63">
        <f>IFERROR(IF(LANG="EN",INDEX(I18N_EN,MATCH("kpi.hsse.cctv",I18N_KEY,0)),INDEX(I18N_FR,MATCH("kpi.hsse.cctv",I18N_KEY,0))),"kpi.hsse.cctv")</f>
        <v/>
      </c>
      <c r="D1487" s="64" t="inlineStr">
        <is>
          <t>%</t>
        </is>
      </c>
      <c r="E1487" s="71">
        <f>IFERROR((AVERAGEIFS('M3 · Base mensuelle'!$D$99:$AM$99,HDR,"&gt;="&amp;P_START,HDR,"&lt;="&amp;P_END)),"")</f>
        <v/>
      </c>
      <c r="F1487" s="71">
        <f>IFERROR((AVERAGEIFS('M3 · Base mensuelle'!$D$99:$AM$99,HDR,"&gt;="&amp;PP_START,HDR,"&lt;="&amp;PP_END)),"")</f>
        <v/>
      </c>
      <c r="G1487" s="66">
        <f>IFERROR((E1487)/(F1487)-1,"")</f>
        <v/>
      </c>
      <c r="H1487" s="71">
        <f>IFERROR((AVERAGEIFS('M3 · Base mensuelle'!$D$99:$AM$99,HDR,"&gt;="&amp;PY_START,HDR,"&lt;="&amp;PY_END)),"")</f>
        <v/>
      </c>
      <c r="I1487" s="66">
        <f>IFERROR((E1487)/(H1487)-1,"")</f>
        <v/>
      </c>
      <c r="J1487" s="67" t="n"/>
      <c r="K1487" s="66">
        <f>IFERROR((E1487)/(J1487)-1,"")</f>
        <v/>
      </c>
      <c r="L1487" s="68">
        <f>IF(O1487="","",IF(O1487="green",IFERROR(IF(LANG="EN",INDEX(I18N_EN,MATCH("rag.green",I18N_KEY,0)),INDEX(I18N_FR,MATCH("rag.green",I18N_KEY,0))),"rag.green"),IF(O1487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7" s="3" t="n"/>
      <c r="N1487" s="32" t="n"/>
      <c r="O1487" s="69">
        <f>IFERROR(IF(IF(N(J1487)&gt;0,J1487,H1487)=0,"",IF(INDEX(RAG_SENS,MATCH("kpi.hsse.cctv",RAG_KEY,0))="UP",IF((E1487/IF(N(J1487)&gt;0,J1487,H1487))&gt;=INDEX(RAG_SV,MATCH("kpi.hsse.cctv",RAG_KEY,0)),"green",IF((E1487/IF(N(J1487)&gt;0,J1487,H1487))&gt;=INDEX(RAG_SA,MATCH("kpi.hsse.cctv",RAG_KEY,0)),"amber","red")),IF((E1487/IF(N(J1487)&gt;0,J1487,H1487))&lt;=INDEX(RAG_SV,MATCH("kpi.hsse.cctv",RAG_KEY,0)),"green",IF((E1487/IF(N(J1487)&gt;0,J1487,H1487))&lt;=INDEX(RAG_SA,MATCH("kpi.hsse.cctv",RAG_KEY,0)),"amber","red")))),"")</f>
        <v/>
      </c>
    </row>
    <row r="1488">
      <c r="C1488" s="63">
        <f>IFERROR(IF(LANG="EN",INDEX(I18N_EN,MATCH("kpi.hsse.fire_conform",I18N_KEY,0)),INDEX(I18N_FR,MATCH("kpi.hsse.fire_conform",I18N_KEY,0))),"kpi.hsse.fire_conform")</f>
        <v/>
      </c>
      <c r="D1488" s="64" t="inlineStr">
        <is>
          <t>%</t>
        </is>
      </c>
      <c r="E1488" s="71">
        <f>IFERROR((AVERAGEIFS('M3 · Base mensuelle'!$D$94:$AM$94,HDR,"&gt;="&amp;P_START,HDR,"&lt;="&amp;P_END)),"")</f>
        <v/>
      </c>
      <c r="F1488" s="71">
        <f>IFERROR((AVERAGEIFS('M3 · Base mensuelle'!$D$94:$AM$94,HDR,"&gt;="&amp;PP_START,HDR,"&lt;="&amp;PP_END)),"")</f>
        <v/>
      </c>
      <c r="G1488" s="66">
        <f>IFERROR((E1488)/(F1488)-1,"")</f>
        <v/>
      </c>
      <c r="H1488" s="71">
        <f>IFERROR((AVERAGEIFS('M3 · Base mensuelle'!$D$94:$AM$94,HDR,"&gt;="&amp;PY_START,HDR,"&lt;="&amp;PY_END)),"")</f>
        <v/>
      </c>
      <c r="I1488" s="66">
        <f>IFERROR((E1488)/(H1488)-1,"")</f>
        <v/>
      </c>
      <c r="J1488" s="67" t="n"/>
      <c r="K1488" s="66">
        <f>IFERROR((E1488)/(J1488)-1,"")</f>
        <v/>
      </c>
      <c r="L1488" s="68">
        <f>IF(O1488="","",IF(O1488="green",IFERROR(IF(LANG="EN",INDEX(I18N_EN,MATCH("rag.green",I18N_KEY,0)),INDEX(I18N_FR,MATCH("rag.green",I18N_KEY,0))),"rag.green"),IF(O1488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8" s="3" t="n"/>
      <c r="N1488" s="32" t="n"/>
      <c r="O1488" s="69">
        <f>IFERROR(IF(IF(N(J1488)&gt;0,J1488,H1488)=0,"",IF(INDEX(RAG_SENS,MATCH("kpi.hsse.fire_conform",RAG_KEY,0))="UP",IF((E1488/IF(N(J1488)&gt;0,J1488,H1488))&gt;=INDEX(RAG_SV,MATCH("kpi.hsse.fire_conform",RAG_KEY,0)),"green",IF((E1488/IF(N(J1488)&gt;0,J1488,H1488))&gt;=INDEX(RAG_SA,MATCH("kpi.hsse.fire_conform",RAG_KEY,0)),"amber","red")),IF((E1488/IF(N(J1488)&gt;0,J1488,H1488))&lt;=INDEX(RAG_SV,MATCH("kpi.hsse.fire_conform",RAG_KEY,0)),"green",IF((E1488/IF(N(J1488)&gt;0,J1488,H1488))&lt;=INDEX(RAG_SA,MATCH("kpi.hsse.fire_conform",RAG_KEY,0)),"amber","red")))),"")</f>
        <v/>
      </c>
    </row>
    <row r="1489">
      <c r="C1489" s="63">
        <f>IFERROR(IF(LANG="EN",INDEX(I18N_EN,MATCH("kpi.hsse.evac_time",I18N_KEY,0)),INDEX(I18N_FR,MATCH("kpi.hsse.evac_time",I18N_KEY,0))),"kpi.hsse.evac_time")</f>
        <v/>
      </c>
      <c r="D1489" s="64" t="inlineStr">
        <is>
          <t>min</t>
        </is>
      </c>
      <c r="E1489" s="65">
        <f>IFERROR((AVERAGEIFS('M3 · Base mensuelle'!$D$96:$AM$96,HDR,"&gt;="&amp;P_START,HDR,"&lt;="&amp;P_END)),"")</f>
        <v/>
      </c>
      <c r="F1489" s="65">
        <f>IFERROR((AVERAGEIFS('M3 · Base mensuelle'!$D$96:$AM$96,HDR,"&gt;="&amp;PP_START,HDR,"&lt;="&amp;PP_END)),"")</f>
        <v/>
      </c>
      <c r="G1489" s="66">
        <f>IFERROR((E1489)/(F1489)-1,"")</f>
        <v/>
      </c>
      <c r="H1489" s="65">
        <f>IFERROR((AVERAGEIFS('M3 · Base mensuelle'!$D$96:$AM$96,HDR,"&gt;="&amp;PY_START,HDR,"&lt;="&amp;PY_END)),"")</f>
        <v/>
      </c>
      <c r="I1489" s="66">
        <f>IFERROR((E1489)/(H1489)-1,"")</f>
        <v/>
      </c>
      <c r="J1489" s="67" t="n"/>
      <c r="K1489" s="66">
        <f>IFERROR((E1489)/(J1489)-1,"")</f>
        <v/>
      </c>
      <c r="L1489" s="68">
        <f>IF(O1489="","",IF(O1489="green",IFERROR(IF(LANG="EN",INDEX(I18N_EN,MATCH("rag.green",I18N_KEY,0)),INDEX(I18N_FR,MATCH("rag.green",I18N_KEY,0))),"rag.green"),IF(O1489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89" s="3" t="n"/>
      <c r="N1489" s="32" t="n"/>
      <c r="O1489" s="69">
        <f>IFERROR(IF(IF(N(J1489)&gt;0,J1489,H1489)=0,"",IF(INDEX(RAG_SENS,MATCH("kpi.hsse.evac_time",RAG_KEY,0))="UP",IF((E1489/IF(N(J1489)&gt;0,J1489,H1489))&gt;=INDEX(RAG_SV,MATCH("kpi.hsse.evac_time",RAG_KEY,0)),"green",IF((E1489/IF(N(J1489)&gt;0,J1489,H1489))&gt;=INDEX(RAG_SA,MATCH("kpi.hsse.evac_time",RAG_KEY,0)),"amber","red")),IF((E1489/IF(N(J1489)&gt;0,J1489,H1489))&lt;=INDEX(RAG_SV,MATCH("kpi.hsse.evac_time",RAG_KEY,0)),"green",IF((E1489/IF(N(J1489)&gt;0,J1489,H1489))&lt;=INDEX(RAG_SA,MATCH("kpi.hsse.evac_time",RAG_KEY,0)),"amber","red")))),"")</f>
        <v/>
      </c>
    </row>
    <row r="1490">
      <c r="C1490" s="63">
        <f>IFERROR(IF(LANG="EN",INDEX(I18N_EN,MATCH("kpi.hsse.evac_drills",I18N_KEY,0)),INDEX(I18N_FR,MATCH("kpi.hsse.evac_drills",I18N_KEY,0))),"kpi.hsse.evac_drills")</f>
        <v/>
      </c>
      <c r="D1490" s="64" t="inlineStr">
        <is>
          <t>nb</t>
        </is>
      </c>
      <c r="E1490" s="65">
        <f>IFERROR((SUMIFS('M3 · Base mensuelle'!$D$93:$AM$93,HDR,"&gt;="&amp;P_START,HDR,"&lt;="&amp;P_END)),"")</f>
        <v/>
      </c>
      <c r="F1490" s="65">
        <f>IFERROR((SUMIFS('M3 · Base mensuelle'!$D$93:$AM$93,HDR,"&gt;="&amp;PP_START,HDR,"&lt;="&amp;PP_END)),"")</f>
        <v/>
      </c>
      <c r="G1490" s="66">
        <f>IFERROR((E1490)/(F1490)-1,"")</f>
        <v/>
      </c>
      <c r="H1490" s="65">
        <f>IFERROR((SUMIFS('M3 · Base mensuelle'!$D$93:$AM$93,HDR,"&gt;="&amp;PY_START,HDR,"&lt;="&amp;PY_END)),"")</f>
        <v/>
      </c>
      <c r="I1490" s="66">
        <f>IFERROR((E1490)/(H1490)-1,"")</f>
        <v/>
      </c>
      <c r="J1490" s="67" t="n"/>
      <c r="K1490" s="66">
        <f>IFERROR((E1490)/(J1490)-1,"")</f>
        <v/>
      </c>
      <c r="L1490" s="68">
        <f>IF(O1490="","",IF(O1490="green",IFERROR(IF(LANG="EN",INDEX(I18N_EN,MATCH("rag.green",I18N_KEY,0)),INDEX(I18N_FR,MATCH("rag.green",I18N_KEY,0))),"rag.green"),IF(O1490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0" s="3" t="n"/>
      <c r="N1490" s="32" t="n"/>
      <c r="O1490" s="69">
        <f>IFERROR(IF(IF(N(J1490)&gt;0,J1490,H1490)=0,"",IF(INDEX(RAG_SENS,MATCH("kpi.hsse.evac_drills",RAG_KEY,0))="UP",IF((E1490/IF(N(J1490)&gt;0,J1490,H1490))&gt;=INDEX(RAG_SV,MATCH("kpi.hsse.evac_drills",RAG_KEY,0)),"green",IF((E1490/IF(N(J1490)&gt;0,J1490,H1490))&gt;=INDEX(RAG_SA,MATCH("kpi.hsse.evac_drills",RAG_KEY,0)),"amber","red")),IF((E1490/IF(N(J1490)&gt;0,J1490,H1490))&lt;=INDEX(RAG_SV,MATCH("kpi.hsse.evac_drills",RAG_KEY,0)),"green",IF((E1490/IF(N(J1490)&gt;0,J1490,H1490))&lt;=INDEX(RAG_SA,MATCH("kpi.hsse.evac_drills",RAG_KEY,0)),"amber","red")))),"")</f>
        <v/>
      </c>
    </row>
    <row r="1491">
      <c r="C1491" s="63">
        <f>IFERROR(IF(LANG="EN",INDEX(I18N_EN,MATCH("kpi.hsse.fire_alarms",I18N_KEY,0)),INDEX(I18N_FR,MATCH("kpi.hsse.fire_alarms",I18N_KEY,0))),"kpi.hsse.fire_alarms")</f>
        <v/>
      </c>
      <c r="D1491" s="64" t="inlineStr">
        <is>
          <t>nb</t>
        </is>
      </c>
      <c r="E1491" s="65">
        <f>IFERROR((SUMIFS('M3 · Base mensuelle'!$D$95:$AM$95,HDR,"&gt;="&amp;P_START,HDR,"&lt;="&amp;P_END)),"")</f>
        <v/>
      </c>
      <c r="F1491" s="65">
        <f>IFERROR((SUMIFS('M3 · Base mensuelle'!$D$95:$AM$95,HDR,"&gt;="&amp;PP_START,HDR,"&lt;="&amp;PP_END)),"")</f>
        <v/>
      </c>
      <c r="G1491" s="66">
        <f>IFERROR((E1491)/(F1491)-1,"")</f>
        <v/>
      </c>
      <c r="H1491" s="65">
        <f>IFERROR((SUMIFS('M3 · Base mensuelle'!$D$95:$AM$95,HDR,"&gt;="&amp;PY_START,HDR,"&lt;="&amp;PY_END)),"")</f>
        <v/>
      </c>
      <c r="I1491" s="66">
        <f>IFERROR((E1491)/(H1491)-1,"")</f>
        <v/>
      </c>
      <c r="J1491" s="67" t="n"/>
      <c r="K1491" s="66">
        <f>IFERROR((E1491)/(J1491)-1,"")</f>
        <v/>
      </c>
      <c r="L1491" s="68">
        <f>IF(O1491="","",IF(O1491="green",IFERROR(IF(LANG="EN",INDEX(I18N_EN,MATCH("rag.green",I18N_KEY,0)),INDEX(I18N_FR,MATCH("rag.green",I18N_KEY,0))),"rag.green"),IF(O1491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1" s="3" t="n"/>
      <c r="N1491" s="32" t="n"/>
      <c r="O1491" s="69">
        <f>IFERROR(IF(IF(N(J1491)&gt;0,J1491,H1491)=0,"",IF(INDEX(RAG_SENS,MATCH("kpi.hsse.fire_alarms",RAG_KEY,0))="UP",IF((E1491/IF(N(J1491)&gt;0,J1491,H1491))&gt;=INDEX(RAG_SV,MATCH("kpi.hsse.fire_alarms",RAG_KEY,0)),"green",IF((E1491/IF(N(J1491)&gt;0,J1491,H1491))&gt;=INDEX(RAG_SA,MATCH("kpi.hsse.fire_alarms",RAG_KEY,0)),"amber","red")),IF((E1491/IF(N(J1491)&gt;0,J1491,H1491))&lt;=INDEX(RAG_SV,MATCH("kpi.hsse.fire_alarms",RAG_KEY,0)),"green",IF((E1491/IF(N(J1491)&gt;0,J1491,H1491))&lt;=INDEX(RAG_SA,MATCH("kpi.hsse.fire_alarms",RAG_KEY,0)),"amber","red")))),"")</f>
        <v/>
      </c>
    </row>
    <row r="1492">
      <c r="C1492" s="63">
        <f>IFERROR(IF(LANG="EN",INDEX(I18N_EN,MATCH("kpi.hsse.risks_id",I18N_KEY,0)),INDEX(I18N_FR,MATCH("kpi.hsse.risks_id",I18N_KEY,0))),"kpi.hsse.risks_id")</f>
        <v/>
      </c>
      <c r="D1492" s="64" t="inlineStr">
        <is>
          <t>nb</t>
        </is>
      </c>
      <c r="E1492" s="65">
        <f>IFERROR((SUMIFS('M3 · Base mensuelle'!$D$101:$AM$101,HDR,"&gt;="&amp;P_START,HDR,"&lt;="&amp;P_END)),"")</f>
        <v/>
      </c>
      <c r="F1492" s="65">
        <f>IFERROR((SUMIFS('M3 · Base mensuelle'!$D$101:$AM$101,HDR,"&gt;="&amp;PP_START,HDR,"&lt;="&amp;PP_END)),"")</f>
        <v/>
      </c>
      <c r="G1492" s="66">
        <f>IFERROR((E1492)/(F1492)-1,"")</f>
        <v/>
      </c>
      <c r="H1492" s="65">
        <f>IFERROR((SUMIFS('M3 · Base mensuelle'!$D$101:$AM$101,HDR,"&gt;="&amp;PY_START,HDR,"&lt;="&amp;PY_END)),"")</f>
        <v/>
      </c>
      <c r="I1492" s="66">
        <f>IFERROR((E1492)/(H1492)-1,"")</f>
        <v/>
      </c>
      <c r="J1492" s="67" t="n"/>
      <c r="K1492" s="66">
        <f>IFERROR((E1492)/(J1492)-1,"")</f>
        <v/>
      </c>
      <c r="L1492" s="68">
        <f>IF(O1492="","",IF(O1492="green",IFERROR(IF(LANG="EN",INDEX(I18N_EN,MATCH("rag.green",I18N_KEY,0)),INDEX(I18N_FR,MATCH("rag.green",I18N_KEY,0))),"rag.green"),IF(O1492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2" s="3" t="n"/>
      <c r="N1492" s="32" t="n"/>
      <c r="O1492" s="69">
        <f>IFERROR(IF(IF(N(J1492)&gt;0,J1492,H1492)=0,"",IF(INDEX(RAG_SENS,MATCH("kpi.hsse.risks_id",RAG_KEY,0))="UP",IF((E1492/IF(N(J1492)&gt;0,J1492,H1492))&gt;=INDEX(RAG_SV,MATCH("kpi.hsse.risks_id",RAG_KEY,0)),"green",IF((E1492/IF(N(J1492)&gt;0,J1492,H1492))&gt;=INDEX(RAG_SA,MATCH("kpi.hsse.risks_id",RAG_KEY,0)),"amber","red")),IF((E1492/IF(N(J1492)&gt;0,J1492,H1492))&lt;=INDEX(RAG_SV,MATCH("kpi.hsse.risks_id",RAG_KEY,0)),"green",IF((E1492/IF(N(J1492)&gt;0,J1492,H1492))&lt;=INDEX(RAG_SA,MATCH("kpi.hsse.risks_id",RAG_KEY,0)),"amber","red")))),"")</f>
        <v/>
      </c>
    </row>
    <row r="1493">
      <c r="C1493" s="63">
        <f>IFERROR(IF(LANG="EN",INDEX(I18N_EN,MATCH("kpi.hsse.risks_treated",I18N_KEY,0)),INDEX(I18N_FR,MATCH("kpi.hsse.risks_treated",I18N_KEY,0))),"kpi.hsse.risks_treated")</f>
        <v/>
      </c>
      <c r="D1493" s="64" t="inlineStr">
        <is>
          <t>%</t>
        </is>
      </c>
      <c r="E1493" s="71">
        <f>IFERROR((AVERAGEIFS('M3 · Base mensuelle'!$D$102:$AM$102,HDR,"&gt;="&amp;P_START,HDR,"&lt;="&amp;P_END)),"")</f>
        <v/>
      </c>
      <c r="F1493" s="71">
        <f>IFERROR((AVERAGEIFS('M3 · Base mensuelle'!$D$102:$AM$102,HDR,"&gt;="&amp;PP_START,HDR,"&lt;="&amp;PP_END)),"")</f>
        <v/>
      </c>
      <c r="G1493" s="66">
        <f>IFERROR((E1493)/(F1493)-1,"")</f>
        <v/>
      </c>
      <c r="H1493" s="71">
        <f>IFERROR((AVERAGEIFS('M3 · Base mensuelle'!$D$102:$AM$102,HDR,"&gt;="&amp;PY_START,HDR,"&lt;="&amp;PY_END)),"")</f>
        <v/>
      </c>
      <c r="I1493" s="66">
        <f>IFERROR((E1493)/(H1493)-1,"")</f>
        <v/>
      </c>
      <c r="J1493" s="67" t="n"/>
      <c r="K1493" s="66">
        <f>IFERROR((E1493)/(J1493)-1,"")</f>
        <v/>
      </c>
      <c r="L1493" s="68">
        <f>IF(O1493="","",IF(O1493="green",IFERROR(IF(LANG="EN",INDEX(I18N_EN,MATCH("rag.green",I18N_KEY,0)),INDEX(I18N_FR,MATCH("rag.green",I18N_KEY,0))),"rag.green"),IF(O1493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3" s="3" t="n"/>
      <c r="N1493" s="32" t="n"/>
      <c r="O1493" s="69">
        <f>IFERROR(IF(IF(N(J1493)&gt;0,J1493,H1493)=0,"",IF(INDEX(RAG_SENS,MATCH("kpi.hsse.risks_treated",RAG_KEY,0))="UP",IF((E1493/IF(N(J1493)&gt;0,J1493,H1493))&gt;=INDEX(RAG_SV,MATCH("kpi.hsse.risks_treated",RAG_KEY,0)),"green",IF((E1493/IF(N(J1493)&gt;0,J1493,H1493))&gt;=INDEX(RAG_SA,MATCH("kpi.hsse.risks_treated",RAG_KEY,0)),"amber","red")),IF((E1493/IF(N(J1493)&gt;0,J1493,H1493))&lt;=INDEX(RAG_SV,MATCH("kpi.hsse.risks_treated",RAG_KEY,0)),"green",IF((E1493/IF(N(J1493)&gt;0,J1493,H1493))&lt;=INDEX(RAG_SA,MATCH("kpi.hsse.risks_treated",RAG_KEY,0)),"amber","red")))),"")</f>
        <v/>
      </c>
    </row>
    <row r="1494">
      <c r="C1494" s="63">
        <f>IFERROR(IF(LANG="EN",INDEX(I18N_EN,MATCH("kpi.hsse.action_close",I18N_KEY,0)),INDEX(I18N_FR,MATCH("kpi.hsse.action_close",I18N_KEY,0))),"kpi.hsse.action_close")</f>
        <v/>
      </c>
      <c r="D1494" s="64" t="inlineStr">
        <is>
          <t>%</t>
        </is>
      </c>
      <c r="E1494" s="71">
        <f>IFERROR((AVERAGEIFS('M3 · Base mensuelle'!$D$103:$AM$103,HDR,"&gt;="&amp;P_START,HDR,"&lt;="&amp;P_END)),"")</f>
        <v/>
      </c>
      <c r="F1494" s="71">
        <f>IFERROR((AVERAGEIFS('M3 · Base mensuelle'!$D$103:$AM$103,HDR,"&gt;="&amp;PP_START,HDR,"&lt;="&amp;PP_END)),"")</f>
        <v/>
      </c>
      <c r="G1494" s="66">
        <f>IFERROR((E1494)/(F1494)-1,"")</f>
        <v/>
      </c>
      <c r="H1494" s="71">
        <f>IFERROR((AVERAGEIFS('M3 · Base mensuelle'!$D$103:$AM$103,HDR,"&gt;="&amp;PY_START,HDR,"&lt;="&amp;PY_END)),"")</f>
        <v/>
      </c>
      <c r="I1494" s="66">
        <f>IFERROR((E1494)/(H1494)-1,"")</f>
        <v/>
      </c>
      <c r="J1494" s="71">
        <f>IFERROR((SUMPRODUCT((BUD_MONTHS&gt;=MONTH(P_START))*(BUD_MONTHS&lt;=MONTH(P_END))*'M1 · Paramètres'!$H$104:$S$104)/SUMPRODUCT((BUD_MONTHS&gt;=MONTH(P_START))*(BUD_MONTHS&lt;=MONTH(P_END))*1)),"")</f>
        <v/>
      </c>
      <c r="K1494" s="66">
        <f>IFERROR((E1494)/(J1494)-1,"")</f>
        <v/>
      </c>
      <c r="L1494" s="68">
        <f>IF(O1494="","",IF(O1494="green",IFERROR(IF(LANG="EN",INDEX(I18N_EN,MATCH("rag.green",I18N_KEY,0)),INDEX(I18N_FR,MATCH("rag.green",I18N_KEY,0))),"rag.green"),IF(O1494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4" s="3" t="n"/>
      <c r="N1494" s="32" t="n"/>
      <c r="O1494" s="69">
        <f>IFERROR(IF(IF(N(J1494)&gt;0,J1494,H1494)=0,"",IF(INDEX(RAG_SENS,MATCH("kpi.hsse.action_close",RAG_KEY,0))="UP",IF((E1494/IF(N(J1494)&gt;0,J1494,H1494))&gt;=INDEX(RAG_SV,MATCH("kpi.hsse.action_close",RAG_KEY,0)),"green",IF((E1494/IF(N(J1494)&gt;0,J1494,H1494))&gt;=INDEX(RAG_SA,MATCH("kpi.hsse.action_close",RAG_KEY,0)),"amber","red")),IF((E1494/IF(N(J1494)&gt;0,J1494,H1494))&lt;=INDEX(RAG_SV,MATCH("kpi.hsse.action_close",RAG_KEY,0)),"green",IF((E1494/IF(N(J1494)&gt;0,J1494,H1494))&lt;=INDEX(RAG_SA,MATCH("kpi.hsse.action_close",RAG_KEY,0)),"amber","red")))),"")</f>
        <v/>
      </c>
    </row>
    <row r="1495">
      <c r="C1495" s="63">
        <f>IFERROR(IF(LANG="EN",INDEX(I18N_EN,MATCH("kpi.hsse.audits",I18N_KEY,0)),INDEX(I18N_FR,MATCH("kpi.hsse.audits",I18N_KEY,0))),"kpi.hsse.audits")</f>
        <v/>
      </c>
      <c r="D1495" s="64" t="inlineStr">
        <is>
          <t>nb</t>
        </is>
      </c>
      <c r="E1495" s="65">
        <f>IFERROR((SUMIFS('M3 · Base mensuelle'!$D$104:$AM$104,HDR,"&gt;="&amp;P_START,HDR,"&lt;="&amp;P_END)),"")</f>
        <v/>
      </c>
      <c r="F1495" s="65">
        <f>IFERROR((SUMIFS('M3 · Base mensuelle'!$D$104:$AM$104,HDR,"&gt;="&amp;PP_START,HDR,"&lt;="&amp;PP_END)),"")</f>
        <v/>
      </c>
      <c r="G1495" s="66">
        <f>IFERROR((E1495)/(F1495)-1,"")</f>
        <v/>
      </c>
      <c r="H1495" s="65">
        <f>IFERROR((SUMIFS('M3 · Base mensuelle'!$D$104:$AM$104,HDR,"&gt;="&amp;PY_START,HDR,"&lt;="&amp;PY_END)),"")</f>
        <v/>
      </c>
      <c r="I1495" s="66">
        <f>IFERROR((E1495)/(H1495)-1,"")</f>
        <v/>
      </c>
      <c r="J1495" s="67" t="n"/>
      <c r="K1495" s="66">
        <f>IFERROR((E1495)/(J1495)-1,"")</f>
        <v/>
      </c>
      <c r="L1495" s="68">
        <f>IF(O1495="","",IF(O1495="green",IFERROR(IF(LANG="EN",INDEX(I18N_EN,MATCH("rag.green",I18N_KEY,0)),INDEX(I18N_FR,MATCH("rag.green",I18N_KEY,0))),"rag.green"),IF(O1495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5" s="3" t="n"/>
      <c r="N1495" s="32" t="n"/>
      <c r="O1495" s="69">
        <f>IFERROR(IF(IF(N(J1495)&gt;0,J1495,H1495)=0,"",IF(INDEX(RAG_SENS,MATCH("kpi.hsse.audits",RAG_KEY,0))="UP",IF((E1495/IF(N(J1495)&gt;0,J1495,H1495))&gt;=INDEX(RAG_SV,MATCH("kpi.hsse.audits",RAG_KEY,0)),"green",IF((E1495/IF(N(J1495)&gt;0,J1495,H1495))&gt;=INDEX(RAG_SA,MATCH("kpi.hsse.audits",RAG_KEY,0)),"amber","red")),IF((E1495/IF(N(J1495)&gt;0,J1495,H1495))&lt;=INDEX(RAG_SV,MATCH("kpi.hsse.audits",RAG_KEY,0)),"green",IF((E1495/IF(N(J1495)&gt;0,J1495,H1495))&lt;=INDEX(RAG_SA,MATCH("kpi.hsse.audits",RAG_KEY,0)),"amber","red")))),"")</f>
        <v/>
      </c>
    </row>
    <row r="1496">
      <c r="C1496" s="63">
        <f>IFERROR(IF(LANG="EN",INDEX(I18N_EN,MATCH("kpi.hsse.train_cover",I18N_KEY,0)),INDEX(I18N_FR,MATCH("kpi.hsse.train_cover",I18N_KEY,0))),"kpi.hsse.train_cover")</f>
        <v/>
      </c>
      <c r="D1496" s="64" t="inlineStr">
        <is>
          <t>%</t>
        </is>
      </c>
      <c r="E1496" s="71">
        <f>IFERROR((AVERAGEIFS('M3 · Base mensuelle'!$D$105:$AM$105,HDR,"&gt;="&amp;P_START,HDR,"&lt;="&amp;P_END)),"")</f>
        <v/>
      </c>
      <c r="F1496" s="71">
        <f>IFERROR((AVERAGEIFS('M3 · Base mensuelle'!$D$105:$AM$105,HDR,"&gt;="&amp;PP_START,HDR,"&lt;="&amp;PP_END)),"")</f>
        <v/>
      </c>
      <c r="G1496" s="66">
        <f>IFERROR((E1496)/(F1496)-1,"")</f>
        <v/>
      </c>
      <c r="H1496" s="71">
        <f>IFERROR((AVERAGEIFS('M3 · Base mensuelle'!$D$105:$AM$105,HDR,"&gt;="&amp;PY_START,HDR,"&lt;="&amp;PY_END)),"")</f>
        <v/>
      </c>
      <c r="I1496" s="66">
        <f>IFERROR((E1496)/(H1496)-1,"")</f>
        <v/>
      </c>
      <c r="J1496" s="71">
        <f>IFERROR((SUMPRODUCT((BUD_MONTHS&gt;=MONTH(P_START))*(BUD_MONTHS&lt;=MONTH(P_END))*'M1 · Paramètres'!$H$106:$S$106)/SUMPRODUCT((BUD_MONTHS&gt;=MONTH(P_START))*(BUD_MONTHS&lt;=MONTH(P_END))*1)),"")</f>
        <v/>
      </c>
      <c r="K1496" s="66">
        <f>IFERROR((E1496)/(J1496)-1,"")</f>
        <v/>
      </c>
      <c r="L1496" s="68">
        <f>IF(O1496="","",IF(O1496="green",IFERROR(IF(LANG="EN",INDEX(I18N_EN,MATCH("rag.green",I18N_KEY,0)),INDEX(I18N_FR,MATCH("rag.green",I18N_KEY,0))),"rag.green"),IF(O1496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496" s="3" t="n"/>
      <c r="N1496" s="32" t="n"/>
      <c r="O1496" s="69">
        <f>IFERROR(IF(IF(N(J1496)&gt;0,J1496,H1496)=0,"",IF(INDEX(RAG_SENS,MATCH("kpi.hsse.train_cover",RAG_KEY,0))="UP",IF((E1496/IF(N(J1496)&gt;0,J1496,H1496))&gt;=INDEX(RAG_SV,MATCH("kpi.hsse.train_cover",RAG_KEY,0)),"green",IF((E1496/IF(N(J1496)&gt;0,J1496,H1496))&gt;=INDEX(RAG_SA,MATCH("kpi.hsse.train_cover",RAG_KEY,0)),"amber","red")),IF((E1496/IF(N(J1496)&gt;0,J1496,H1496))&lt;=INDEX(RAG_SV,MATCH("kpi.hsse.train_cover",RAG_KEY,0)),"green",IF((E1496/IF(N(J1496)&gt;0,J1496,H1496))&lt;=INDEX(RAG_SA,MATCH("kpi.hsse.train_cover",RAG_KEY,0)),"amber","red")))),"")</f>
        <v/>
      </c>
    </row>
    <row r="1497">
      <c r="C1497" s="72">
        <f>"◆ "&amp;IFERROR(IF(LANG="EN",INDEX(I18N_EN,MATCH("msg.highlights",I18N_KEY,0)),INDEX(I18N_FR,MATCH("msg.highlights",I18N_KEY,0))),"msg.highlights")</f>
        <v/>
      </c>
      <c r="D1497" s="3" t="n"/>
      <c r="E1497" s="3" t="n"/>
      <c r="F1497" s="3" t="n"/>
      <c r="G1497" s="3" t="n"/>
      <c r="H1497" s="3" t="n"/>
      <c r="I1497" s="3" t="n"/>
      <c r="J1497" s="3" t="n"/>
      <c r="K1497" s="3" t="n"/>
      <c r="L1497" s="3" t="n"/>
      <c r="M1497" s="3" t="n"/>
      <c r="N1497" s="32" t="n"/>
    </row>
    <row r="1498">
      <c r="C1498" s="73">
        <f>IFERROR("▲ "&amp;INDEX(C1484:C1496,MATCH(MAX(G1484:G1496),G1484:G1496,0))&amp;"   "&amp;TEXT(MAX(G1484:G1496),"+0.0%;-0.0%"),"")</f>
        <v/>
      </c>
      <c r="D1498" s="3" t="n"/>
      <c r="E1498" s="3" t="n"/>
      <c r="F1498" s="3" t="n"/>
      <c r="G1498" s="3" t="n"/>
      <c r="H1498" s="3" t="n"/>
      <c r="I1498" s="74">
        <f>IFERROR("▼ "&amp;INDEX(C1484:C1496,MATCH(MIN(G1484:G1496),G1484:G1496,0))&amp;"   "&amp;TEXT(MIN(G1484:G1496),"+0.0%;-0.0%"),"")</f>
        <v/>
      </c>
      <c r="J1498" s="3" t="n"/>
      <c r="K1498" s="3" t="n"/>
      <c r="L1498" s="3" t="n"/>
      <c r="M1498" s="3" t="n"/>
      <c r="N1498" s="32" t="n"/>
    </row>
    <row r="1499">
      <c r="C1499" s="53">
        <f>"💬 "&amp;IFERROR(IF(LANG="EN",INDEX(I18N_EN,MATCH("col.comment",I18N_KEY,0)),INDEX(I18N_FR,MATCH("col.comment",I18N_KEY,0))),"col.comment")</f>
        <v/>
      </c>
      <c r="D1499" s="5" t="n"/>
      <c r="E1499" s="5" t="n"/>
      <c r="F1499" s="5" t="n"/>
      <c r="G1499" s="5" t="n"/>
      <c r="H1499" s="5" t="n"/>
      <c r="I1499" s="5" t="n"/>
      <c r="J1499" s="5" t="n"/>
      <c r="K1499" s="5" t="n"/>
      <c r="L1499" s="5" t="n"/>
      <c r="M1499" s="5" t="n"/>
      <c r="N1499" s="54" t="n"/>
      <c r="O1499" s="5" t="n"/>
    </row>
    <row r="1500">
      <c r="C1500" s="75">
        <f>IF('C7 · HSSE'!$D$42&lt;&gt;"",'C7 · HSSE'!$D$42,IFERROR(SUBSTITUTE(SUBSTITUTE(IF(G1484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hsse.guards",I18N_KEY,0)),INDEX(I18N_FR,MATCH("kpi.hsse.guards",I18N_KEY,0))),"kpi.hsse.guards")),"{delta}",TEXT(ABS(G1484),"0.0%")),""))</f>
        <v/>
      </c>
      <c r="D1500" s="56" t="n"/>
      <c r="E1500" s="56" t="n"/>
      <c r="F1500" s="56" t="n"/>
      <c r="G1500" s="56" t="n"/>
      <c r="H1500" s="56" t="n"/>
      <c r="I1500" s="56" t="n"/>
      <c r="J1500" s="56" t="n"/>
      <c r="K1500" s="56" t="n"/>
      <c r="L1500" s="56" t="n"/>
      <c r="M1500" s="56" t="n"/>
      <c r="N1500" s="56" t="n"/>
      <c r="O1500" s="57" t="n"/>
    </row>
    <row r="1501">
      <c r="C1501" s="50" t="n"/>
      <c r="D1501" s="3" t="n"/>
      <c r="E1501" s="3" t="n"/>
      <c r="F1501" s="3" t="n"/>
      <c r="G1501" s="3" t="n"/>
      <c r="H1501" s="3" t="n"/>
      <c r="I1501" s="3" t="n"/>
      <c r="J1501" s="3" t="n"/>
      <c r="K1501" s="3" t="n"/>
      <c r="L1501" s="3" t="n"/>
      <c r="M1501" s="3" t="n"/>
      <c r="N1501" s="32" t="n"/>
    </row>
    <row r="1502">
      <c r="C1502" s="58" t="n"/>
      <c r="D1502" s="58" t="n"/>
      <c r="E1502" s="58" t="n"/>
      <c r="F1502" s="58" t="n"/>
      <c r="G1502" s="58" t="n"/>
      <c r="H1502" s="58" t="n"/>
      <c r="I1502" s="58" t="n"/>
      <c r="J1502" s="58" t="n"/>
      <c r="K1502" s="58" t="n"/>
      <c r="L1502" s="58" t="n"/>
      <c r="M1502" s="58" t="n"/>
      <c r="N1502" s="58" t="n"/>
      <c r="O1502" s="59" t="n"/>
    </row>
    <row r="1503">
      <c r="C1503" s="60" t="n"/>
      <c r="D1503" s="36" t="n"/>
      <c r="E1503" s="36" t="n"/>
      <c r="F1503" s="36" t="n"/>
      <c r="G1503" s="36" t="n"/>
      <c r="H1503" s="36" t="n"/>
      <c r="I1503" s="36" t="n"/>
      <c r="J1503" s="36" t="n"/>
      <c r="K1503" s="36" t="n"/>
      <c r="L1503" s="36" t="n"/>
      <c r="M1503" s="36" t="n"/>
      <c r="N1503" s="22" t="n"/>
    </row>
    <row r="1504">
      <c r="C1504" s="3" t="n"/>
      <c r="D1504" s="3" t="n"/>
      <c r="E1504" s="3" t="n"/>
      <c r="F1504" s="3" t="n"/>
      <c r="G1504" s="3" t="n"/>
      <c r="H1504" s="3" t="n"/>
      <c r="I1504" s="3" t="n"/>
      <c r="J1504" s="3" t="n"/>
      <c r="K1504" s="3" t="n"/>
      <c r="L1504" s="3" t="n"/>
      <c r="M1504" s="3" t="n"/>
      <c r="N1504" s="3" t="n"/>
    </row>
    <row r="1505" ht="19" customHeight="1">
      <c r="C1505" s="46">
        <f>"▸  8.6  "&amp;IF(LANG="EN","Vendors Assessment","Évaluation prestataires")</f>
        <v/>
      </c>
      <c r="D1505" s="47" t="n"/>
      <c r="E1505" s="47" t="n"/>
      <c r="F1505" s="47" t="n"/>
      <c r="G1505" s="47" t="n"/>
      <c r="H1505" s="47" t="n"/>
      <c r="I1505" s="47" t="n"/>
      <c r="J1505" s="47" t="n"/>
      <c r="K1505" s="47" t="n"/>
      <c r="L1505" s="47" t="n"/>
      <c r="M1505" s="47" t="n"/>
      <c r="N1505" s="48" t="n"/>
      <c r="O1505" s="1" t="n"/>
    </row>
    <row r="1506">
      <c r="C1506" s="80" t="inlineStr">
        <is>
          <t>Prestataire / Vendor</t>
        </is>
      </c>
      <c r="D1506" s="81" t="inlineStr">
        <is>
          <t>Service</t>
        </is>
      </c>
      <c r="E1506" s="62" t="inlineStr">
        <is>
          <t>SLA</t>
        </is>
      </c>
      <c r="F1506" s="62" t="inlineStr">
        <is>
          <t>Score /10</t>
        </is>
      </c>
      <c r="G1506" s="81" t="inlineStr">
        <is>
          <t>Statut / Status</t>
        </is>
      </c>
      <c r="H1506" s="3" t="n"/>
      <c r="I1506" s="3" t="n"/>
      <c r="J1506" s="3" t="n"/>
      <c r="K1506" s="3" t="n"/>
      <c r="L1506" s="3" t="n"/>
      <c r="M1506" s="3" t="n"/>
      <c r="N1506" s="32" t="n"/>
    </row>
    <row r="1507">
      <c r="C1507" s="82" t="inlineStr">
        <is>
          <t>SecuGuard</t>
        </is>
      </c>
      <c r="D1507" s="84" t="inlineStr">
        <is>
          <t>Gardiennage / Guarding</t>
        </is>
      </c>
      <c r="E1507" s="86" t="n">
        <v>0.9399999999999999</v>
      </c>
      <c r="F1507" s="83" t="n">
        <v>8</v>
      </c>
      <c r="G1507" s="84" t="inlineStr">
        <is>
          <t>Conforme / OK</t>
        </is>
      </c>
      <c r="H1507" s="3" t="n"/>
      <c r="I1507" s="3" t="n"/>
      <c r="J1507" s="3" t="n"/>
      <c r="K1507" s="3" t="n"/>
      <c r="L1507" s="3" t="n"/>
      <c r="M1507" s="3" t="n"/>
      <c r="N1507" s="32" t="n"/>
    </row>
    <row r="1508">
      <c r="C1508" s="82" t="inlineStr">
        <is>
          <t>FireSafe</t>
        </is>
      </c>
      <c r="D1508" s="84" t="inlineStr">
        <is>
          <t>Incendie / Fire</t>
        </is>
      </c>
      <c r="E1508" s="86" t="n">
        <v>0.97</v>
      </c>
      <c r="F1508" s="83" t="n">
        <v>9</v>
      </c>
      <c r="G1508" s="84" t="inlineStr">
        <is>
          <t>Conforme / OK</t>
        </is>
      </c>
      <c r="H1508" s="3" t="n"/>
      <c r="I1508" s="3" t="n"/>
      <c r="J1508" s="3" t="n"/>
      <c r="K1508" s="3" t="n"/>
      <c r="L1508" s="3" t="n"/>
      <c r="M1508" s="3" t="n"/>
      <c r="N1508" s="32" t="n"/>
    </row>
    <row r="1509">
      <c r="C1509" s="82" t="inlineStr">
        <is>
          <t>SafeMed</t>
        </is>
      </c>
      <c r="D1509" s="84" t="inlineStr">
        <is>
          <t>Secours / Medical</t>
        </is>
      </c>
      <c r="E1509" s="86" t="n">
        <v>0.9</v>
      </c>
      <c r="F1509" s="83" t="n">
        <v>7</v>
      </c>
      <c r="G1509" s="84" t="inlineStr">
        <is>
          <t>Vigilance / Watch</t>
        </is>
      </c>
      <c r="H1509" s="3" t="n"/>
      <c r="I1509" s="3" t="n"/>
      <c r="J1509" s="3" t="n"/>
      <c r="K1509" s="3" t="n"/>
      <c r="L1509" s="3" t="n"/>
      <c r="M1509" s="3" t="n"/>
      <c r="N1509" s="32" t="n"/>
    </row>
    <row r="1510">
      <c r="C1510" s="50" t="n"/>
      <c r="D1510" s="3" t="n"/>
      <c r="E1510" s="3" t="n"/>
      <c r="F1510" s="3" t="n"/>
      <c r="G1510" s="3" t="n"/>
      <c r="H1510" s="3" t="n"/>
      <c r="I1510" s="3" t="n"/>
      <c r="J1510" s="3" t="n"/>
      <c r="K1510" s="3" t="n"/>
      <c r="L1510" s="3" t="n"/>
      <c r="M1510" s="3" t="n"/>
      <c r="N1510" s="32" t="n"/>
    </row>
    <row r="1511">
      <c r="C1511" s="50" t="n"/>
      <c r="D1511" s="3" t="n"/>
      <c r="E1511" s="3" t="n"/>
      <c r="F1511" s="3" t="n"/>
      <c r="G1511" s="3" t="n"/>
      <c r="H1511" s="3" t="n"/>
      <c r="I1511" s="3" t="n"/>
      <c r="J1511" s="3" t="n"/>
      <c r="K1511" s="3" t="n"/>
      <c r="L1511" s="3" t="n"/>
      <c r="M1511" s="3" t="n"/>
      <c r="N1511" s="32" t="n"/>
    </row>
    <row r="1512">
      <c r="C1512" s="50" t="n"/>
      <c r="D1512" s="3" t="n"/>
      <c r="E1512" s="3" t="n"/>
      <c r="F1512" s="3" t="n"/>
      <c r="G1512" s="3" t="n"/>
      <c r="H1512" s="3" t="n"/>
      <c r="I1512" s="3" t="n"/>
      <c r="J1512" s="3" t="n"/>
      <c r="K1512" s="3" t="n"/>
      <c r="L1512" s="3" t="n"/>
      <c r="M1512" s="3" t="n"/>
      <c r="N1512" s="32" t="n"/>
    </row>
    <row r="1513">
      <c r="C1513" s="50" t="n"/>
      <c r="D1513" s="3" t="n"/>
      <c r="E1513" s="3" t="n"/>
      <c r="F1513" s="3" t="n"/>
      <c r="G1513" s="3" t="n"/>
      <c r="H1513" s="3" t="n"/>
      <c r="I1513" s="3" t="n"/>
      <c r="J1513" s="3" t="n"/>
      <c r="K1513" s="3" t="n"/>
      <c r="L1513" s="3" t="n"/>
      <c r="M1513" s="3" t="n"/>
      <c r="N1513" s="32" t="n"/>
    </row>
    <row r="1514">
      <c r="C1514" s="50" t="n"/>
      <c r="D1514" s="3" t="n"/>
      <c r="E1514" s="3" t="n"/>
      <c r="F1514" s="3" t="n"/>
      <c r="G1514" s="3" t="n"/>
      <c r="H1514" s="3" t="n"/>
      <c r="I1514" s="3" t="n"/>
      <c r="J1514" s="3" t="n"/>
      <c r="K1514" s="3" t="n"/>
      <c r="L1514" s="3" t="n"/>
      <c r="M1514" s="3" t="n"/>
      <c r="N1514" s="32" t="n"/>
    </row>
    <row r="1515">
      <c r="C1515" s="50" t="n"/>
      <c r="D1515" s="3" t="n"/>
      <c r="E1515" s="3" t="n"/>
      <c r="F1515" s="3" t="n"/>
      <c r="G1515" s="3" t="n"/>
      <c r="H1515" s="3" t="n"/>
      <c r="I1515" s="3" t="n"/>
      <c r="J1515" s="3" t="n"/>
      <c r="K1515" s="3" t="n"/>
      <c r="L1515" s="3" t="n"/>
      <c r="M1515" s="3" t="n"/>
      <c r="N1515" s="32" t="n"/>
    </row>
    <row r="1516">
      <c r="C1516" s="50" t="n"/>
      <c r="D1516" s="3" t="n"/>
      <c r="E1516" s="3" t="n"/>
      <c r="F1516" s="3" t="n"/>
      <c r="G1516" s="3" t="n"/>
      <c r="H1516" s="3" t="n"/>
      <c r="I1516" s="3" t="n"/>
      <c r="J1516" s="3" t="n"/>
      <c r="K1516" s="3" t="n"/>
      <c r="L1516" s="3" t="n"/>
      <c r="M1516" s="3" t="n"/>
      <c r="N1516" s="32" t="n"/>
    </row>
    <row r="1517">
      <c r="C1517" s="50" t="n"/>
      <c r="D1517" s="3" t="n"/>
      <c r="E1517" s="3" t="n"/>
      <c r="F1517" s="3" t="n"/>
      <c r="G1517" s="3" t="n"/>
      <c r="H1517" s="3" t="n"/>
      <c r="I1517" s="3" t="n"/>
      <c r="J1517" s="3" t="n"/>
      <c r="K1517" s="3" t="n"/>
      <c r="L1517" s="3" t="n"/>
      <c r="M1517" s="3" t="n"/>
      <c r="N1517" s="32" t="n"/>
    </row>
    <row r="1518">
      <c r="C1518" s="53">
        <f>"💬 "&amp;IFERROR(IF(LANG="EN",INDEX(I18N_EN,MATCH("col.comment",I18N_KEY,0)),INDEX(I18N_FR,MATCH("col.comment",I18N_KEY,0))),"col.comment")</f>
        <v/>
      </c>
      <c r="D1518" s="5" t="n"/>
      <c r="E1518" s="5" t="n"/>
      <c r="F1518" s="5" t="n"/>
      <c r="G1518" s="5" t="n"/>
      <c r="H1518" s="5" t="n"/>
      <c r="I1518" s="5" t="n"/>
      <c r="J1518" s="5" t="n"/>
      <c r="K1518" s="5" t="n"/>
      <c r="L1518" s="5" t="n"/>
      <c r="M1518" s="5" t="n"/>
      <c r="N1518" s="54" t="n"/>
      <c r="O1518" s="5" t="n"/>
    </row>
    <row r="1519">
      <c r="C1519" s="55">
        <f>IF(LANG="EN","Commentary / data source: management systems (demo).","Commentaire / source : systèmes de gestion (démo).")</f>
        <v/>
      </c>
      <c r="D1519" s="56" t="n"/>
      <c r="E1519" s="56" t="n"/>
      <c r="F1519" s="56" t="n"/>
      <c r="G1519" s="56" t="n"/>
      <c r="H1519" s="56" t="n"/>
      <c r="I1519" s="56" t="n"/>
      <c r="J1519" s="56" t="n"/>
      <c r="K1519" s="56" t="n"/>
      <c r="L1519" s="56" t="n"/>
      <c r="M1519" s="56" t="n"/>
      <c r="N1519" s="56" t="n"/>
      <c r="O1519" s="57" t="n"/>
    </row>
    <row r="1520">
      <c r="C1520" s="50" t="n"/>
      <c r="D1520" s="3" t="n"/>
      <c r="E1520" s="3" t="n"/>
      <c r="F1520" s="3" t="n"/>
      <c r="G1520" s="3" t="n"/>
      <c r="H1520" s="3" t="n"/>
      <c r="I1520" s="3" t="n"/>
      <c r="J1520" s="3" t="n"/>
      <c r="K1520" s="3" t="n"/>
      <c r="L1520" s="3" t="n"/>
      <c r="M1520" s="3" t="n"/>
      <c r="N1520" s="32" t="n"/>
    </row>
    <row r="1521">
      <c r="C1521" s="58" t="n"/>
      <c r="D1521" s="58" t="n"/>
      <c r="E1521" s="58" t="n"/>
      <c r="F1521" s="58" t="n"/>
      <c r="G1521" s="58" t="n"/>
      <c r="H1521" s="58" t="n"/>
      <c r="I1521" s="58" t="n"/>
      <c r="J1521" s="58" t="n"/>
      <c r="K1521" s="58" t="n"/>
      <c r="L1521" s="58" t="n"/>
      <c r="M1521" s="58" t="n"/>
      <c r="N1521" s="58" t="n"/>
      <c r="O1521" s="59" t="n"/>
    </row>
    <row r="1522">
      <c r="C1522" s="60" t="n"/>
      <c r="D1522" s="36" t="n"/>
      <c r="E1522" s="36" t="n"/>
      <c r="F1522" s="36" t="n"/>
      <c r="G1522" s="36" t="n"/>
      <c r="H1522" s="36" t="n"/>
      <c r="I1522" s="36" t="n"/>
      <c r="J1522" s="36" t="n"/>
      <c r="K1522" s="36" t="n"/>
      <c r="L1522" s="36" t="n"/>
      <c r="M1522" s="36" t="n"/>
      <c r="N1522" s="22" t="n"/>
    </row>
    <row r="1523">
      <c r="C1523" s="3" t="n"/>
      <c r="D1523" s="3" t="n"/>
      <c r="E1523" s="3" t="n"/>
      <c r="F1523" s="3" t="n"/>
      <c r="G1523" s="3" t="n"/>
      <c r="H1523" s="3" t="n"/>
      <c r="I1523" s="3" t="n"/>
      <c r="J1523" s="3" t="n"/>
      <c r="K1523" s="3" t="n"/>
      <c r="L1523" s="3" t="n"/>
      <c r="M1523" s="3" t="n"/>
      <c r="N1523" s="3" t="n"/>
    </row>
    <row r="1524" ht="19" customHeight="1">
      <c r="C1524" s="46">
        <f>"🎯  8.7  "&amp;IF(LANG="EN","Budget vs Actual","Budget vs Réalisé")</f>
        <v/>
      </c>
      <c r="D1524" s="47" t="n"/>
      <c r="E1524" s="47" t="n"/>
      <c r="F1524" s="47" t="n"/>
      <c r="G1524" s="47" t="n"/>
      <c r="H1524" s="47" t="n"/>
      <c r="I1524" s="47" t="n"/>
      <c r="J1524" s="47" t="n"/>
      <c r="K1524" s="47" t="n"/>
      <c r="L1524" s="47" t="n"/>
      <c r="M1524" s="47" t="n"/>
      <c r="N1524" s="48" t="n"/>
      <c r="O1524" s="1" t="n"/>
    </row>
    <row r="1525">
      <c r="C1525" s="76">
        <f>"▌ "&amp;IF(LANG="EN","Actual vs Budget — 12 months","Réalisé vs Budget — 12 mois")</f>
        <v/>
      </c>
      <c r="D1525" s="3" t="n"/>
      <c r="E1525" s="3" t="n"/>
      <c r="F1525" s="3" t="n"/>
      <c r="G1525" s="3" t="n"/>
      <c r="H1525" s="3" t="n"/>
      <c r="I1525" s="3" t="n"/>
      <c r="J1525" s="3" t="n"/>
      <c r="K1525" s="3" t="n"/>
      <c r="L1525" s="3" t="n"/>
      <c r="M1525" s="3" t="n"/>
      <c r="N1525" s="32" t="n"/>
    </row>
    <row r="1526">
      <c r="C1526" s="50" t="n"/>
      <c r="D1526" s="3" t="n"/>
      <c r="E1526" s="3" t="n"/>
      <c r="F1526" s="3" t="n"/>
      <c r="G1526" s="3" t="n"/>
      <c r="H1526" s="3" t="n"/>
      <c r="I1526" s="3" t="n"/>
      <c r="J1526" s="3" t="n"/>
      <c r="K1526" s="3" t="n"/>
      <c r="L1526" s="3" t="n"/>
      <c r="M1526" s="3" t="n"/>
      <c r="N1526" s="32" t="n"/>
    </row>
    <row r="1527">
      <c r="C1527" s="50" t="n"/>
      <c r="D1527" s="3" t="n"/>
      <c r="E1527" s="3" t="n"/>
      <c r="F1527" s="3" t="n"/>
      <c r="G1527" s="3" t="n"/>
      <c r="H1527" s="3" t="n"/>
      <c r="I1527" s="3" t="n"/>
      <c r="J1527" s="3" t="n"/>
      <c r="K1527" s="3" t="n"/>
      <c r="L1527" s="3" t="n"/>
      <c r="M1527" s="3" t="n"/>
      <c r="N1527" s="32" t="n"/>
    </row>
    <row r="1528">
      <c r="C1528" s="50" t="n"/>
      <c r="D1528" s="3" t="n"/>
      <c r="E1528" s="3" t="n"/>
      <c r="F1528" s="3" t="n"/>
      <c r="G1528" s="3" t="n"/>
      <c r="H1528" s="3" t="n"/>
      <c r="I1528" s="3" t="n"/>
      <c r="J1528" s="3" t="n"/>
      <c r="K1528" s="3" t="n"/>
      <c r="L1528" s="3" t="n"/>
      <c r="M1528" s="3" t="n"/>
      <c r="N1528" s="32" t="n"/>
    </row>
    <row r="1529">
      <c r="C1529" s="50" t="n"/>
      <c r="D1529" s="3" t="n"/>
      <c r="E1529" s="3" t="n"/>
      <c r="F1529" s="3" t="n"/>
      <c r="G1529" s="3" t="n"/>
      <c r="H1529" s="3" t="n"/>
      <c r="I1529" s="3" t="n"/>
      <c r="J1529" s="3" t="n"/>
      <c r="K1529" s="3" t="n"/>
      <c r="L1529" s="3" t="n"/>
      <c r="M1529" s="3" t="n"/>
      <c r="N1529" s="32" t="n"/>
    </row>
    <row r="1530">
      <c r="C1530" s="50" t="n"/>
      <c r="D1530" s="3" t="n"/>
      <c r="E1530" s="3" t="n"/>
      <c r="F1530" s="3" t="n"/>
      <c r="G1530" s="3" t="n"/>
      <c r="H1530" s="3" t="n"/>
      <c r="I1530" s="3" t="n"/>
      <c r="J1530" s="3" t="n"/>
      <c r="K1530" s="3" t="n"/>
      <c r="L1530" s="3" t="n"/>
      <c r="M1530" s="3" t="n"/>
      <c r="N1530" s="32" t="n"/>
    </row>
    <row r="1531">
      <c r="C1531" s="50" t="n"/>
      <c r="D1531" s="3" t="n"/>
      <c r="E1531" s="3" t="n"/>
      <c r="F1531" s="3" t="n"/>
      <c r="G1531" s="3" t="n"/>
      <c r="H1531" s="3" t="n"/>
      <c r="I1531" s="3" t="n"/>
      <c r="J1531" s="3" t="n"/>
      <c r="K1531" s="3" t="n"/>
      <c r="L1531" s="3" t="n"/>
      <c r="M1531" s="3" t="n"/>
      <c r="N1531" s="32" t="n"/>
    </row>
    <row r="1532">
      <c r="C1532" s="50" t="n"/>
      <c r="D1532" s="3" t="n"/>
      <c r="E1532" s="3" t="n"/>
      <c r="F1532" s="3" t="n"/>
      <c r="G1532" s="3" t="n"/>
      <c r="H1532" s="3" t="n"/>
      <c r="I1532" s="3" t="n"/>
      <c r="J1532" s="3" t="n"/>
      <c r="K1532" s="3" t="n"/>
      <c r="L1532" s="3" t="n"/>
      <c r="M1532" s="3" t="n"/>
      <c r="N1532" s="32" t="n"/>
    </row>
    <row r="1533">
      <c r="C1533" s="50" t="n"/>
      <c r="D1533" s="3" t="n"/>
      <c r="E1533" s="3" t="n"/>
      <c r="F1533" s="3" t="n"/>
      <c r="G1533" s="3" t="n"/>
      <c r="H1533" s="3" t="n"/>
      <c r="I1533" s="3" t="n"/>
      <c r="J1533" s="3" t="n"/>
      <c r="K1533" s="3" t="n"/>
      <c r="L1533" s="3" t="n"/>
      <c r="M1533" s="3" t="n"/>
      <c r="N1533" s="32" t="n"/>
    </row>
    <row r="1534">
      <c r="C1534" s="50" t="n"/>
      <c r="D1534" s="3" t="n"/>
      <c r="E1534" s="3" t="n"/>
      <c r="F1534" s="3" t="n"/>
      <c r="G1534" s="3" t="n"/>
      <c r="H1534" s="3" t="n"/>
      <c r="I1534" s="3" t="n"/>
      <c r="J1534" s="3" t="n"/>
      <c r="K1534" s="3" t="n"/>
      <c r="L1534" s="3" t="n"/>
      <c r="M1534" s="3" t="n"/>
      <c r="N1534" s="32" t="n"/>
    </row>
    <row r="1535">
      <c r="C1535" s="50" t="n"/>
      <c r="D1535" s="3" t="n"/>
      <c r="E1535" s="3" t="n"/>
      <c r="F1535" s="3" t="n"/>
      <c r="G1535" s="3" t="n"/>
      <c r="H1535" s="3" t="n"/>
      <c r="I1535" s="3" t="n"/>
      <c r="J1535" s="3" t="n"/>
      <c r="K1535" s="3" t="n"/>
      <c r="L1535" s="3" t="n"/>
      <c r="M1535" s="3" t="n"/>
      <c r="N1535" s="32" t="n"/>
    </row>
    <row r="1536">
      <c r="C1536" s="50" t="n"/>
      <c r="D1536" s="3" t="n"/>
      <c r="E1536" s="3" t="n"/>
      <c r="F1536" s="3" t="n"/>
      <c r="G1536" s="3" t="n"/>
      <c r="H1536" s="3" t="n"/>
      <c r="I1536" s="3" t="n"/>
      <c r="J1536" s="3" t="n"/>
      <c r="K1536" s="3" t="n"/>
      <c r="L1536" s="3" t="n"/>
      <c r="M1536" s="3" t="n"/>
      <c r="N1536" s="32" t="n"/>
    </row>
    <row r="1537">
      <c r="C1537" s="50" t="n"/>
      <c r="D1537" s="3" t="n"/>
      <c r="E1537" s="3" t="n"/>
      <c r="F1537" s="3" t="n"/>
      <c r="G1537" s="3" t="n"/>
      <c r="H1537" s="3" t="n"/>
      <c r="I1537" s="3" t="n"/>
      <c r="J1537" s="3" t="n"/>
      <c r="K1537" s="3" t="n"/>
      <c r="L1537" s="3" t="n"/>
      <c r="M1537" s="3" t="n"/>
      <c r="N1537" s="32" t="n"/>
    </row>
    <row r="1538">
      <c r="C1538" s="61">
        <f>IFERROR(IF(LANG="EN",INDEX(I18N_EN,MATCH("col.kpi",I18N_KEY,0)),INDEX(I18N_FR,MATCH("col.kpi",I18N_KEY,0))),"col.kpi")</f>
        <v/>
      </c>
      <c r="D1538" s="62">
        <f>IFERROR(IF(LANG="EN",INDEX(I18N_EN,MATCH("col.unit",I18N_KEY,0)),INDEX(I18N_FR,MATCH("col.unit",I18N_KEY,0))),"col.unit")</f>
        <v/>
      </c>
      <c r="E1538" s="62">
        <f>IFERROR(IF(LANG="EN",INDEX(I18N_EN,MATCH("col.current",I18N_KEY,0)),INDEX(I18N_FR,MATCH("col.current",I18N_KEY,0))),"col.current")</f>
        <v/>
      </c>
      <c r="F1538" s="62">
        <f>IFERROR(IF(LANG="EN",INDEX(I18N_EN,MATCH("col.budget",I18N_KEY,0)),INDEX(I18N_FR,MATCH("col.budget",I18N_KEY,0))),"col.budget")</f>
        <v/>
      </c>
      <c r="G1538" s="62">
        <f>IFERROR(IF(LANG="EN",INDEX(I18N_EN,MATCH("col.var",I18N_KEY,0)),INDEX(I18N_FR,MATCH("col.var",I18N_KEY,0))),"col.var")</f>
        <v/>
      </c>
      <c r="H1538" s="62">
        <f>IFERROR(IF(LANG="EN",INDEX(I18N_EN,MATCH("col.rag",I18N_KEY,0)),INDEX(I18N_FR,MATCH("col.rag",I18N_KEY,0))),"col.rag")</f>
        <v/>
      </c>
      <c r="I1538" s="3" t="n"/>
      <c r="J1538" s="3" t="n"/>
      <c r="K1538" s="3" t="n"/>
      <c r="L1538" s="3" t="n"/>
      <c r="M1538" s="3" t="n"/>
      <c r="N1538" s="32" t="n"/>
    </row>
    <row r="1539">
      <c r="C1539" s="63">
        <f>IFERROR(IF(LANG="EN",INDEX(I18N_EN,MATCH("kpi.hsse.action_close",I18N_KEY,0)),INDEX(I18N_FR,MATCH("kpi.hsse.action_close",I18N_KEY,0))),"kpi.hsse.action_close")</f>
        <v/>
      </c>
      <c r="D1539" s="64" t="inlineStr">
        <is>
          <t>%</t>
        </is>
      </c>
      <c r="E1539" s="71">
        <f>IFERROR((AVERAGEIFS('M3 · Base mensuelle'!$D$103:$AM$103,HDR,"&gt;="&amp;P_START,HDR,"&lt;="&amp;P_END)),"")</f>
        <v/>
      </c>
      <c r="F1539" s="71">
        <f>IFERROR((SUMPRODUCT((BUD_MONTHS&gt;=MONTH(P_START))*(BUD_MONTHS&lt;=MONTH(P_END))*'M1 · Paramètres'!$H$104:$S$104)/SUMPRODUCT((BUD_MONTHS&gt;=MONTH(P_START))*(BUD_MONTHS&lt;=MONTH(P_END))*1)),"")</f>
        <v/>
      </c>
      <c r="G1539" s="77">
        <f>IFERROR((E1539)/(F1539)-1,"")</f>
        <v/>
      </c>
      <c r="H1539" s="68">
        <f>IF(P1539="","",IF(P1539="green",IFERROR(IF(LANG="EN",INDEX(I18N_EN,MATCH("rag.green",I18N_KEY,0)),INDEX(I18N_FR,MATCH("rag.green",I18N_KEY,0))),"rag.green"),IF(P1539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539" s="3" t="n"/>
      <c r="J1539" s="3" t="n"/>
      <c r="K1539" s="3" t="n"/>
      <c r="L1539" s="3" t="n"/>
      <c r="M1539" s="3" t="n"/>
      <c r="N1539" s="32" t="n"/>
      <c r="P1539" s="69">
        <f>IFERROR(IF(F1539=0,"",IF(INDEX(RAG_SENS,MATCH("kpi.hsse.action_close",RAG_KEY,0))="UP",IF((E1539/F1539)&gt;=INDEX(RAG_SV,MATCH("kpi.hsse.action_close",RAG_KEY,0)),"green",IF((E1539/F1539)&gt;=INDEX(RAG_SA,MATCH("kpi.hsse.action_close",RAG_KEY,0)),"amber","red")),IF((E1539/F1539)&lt;=INDEX(RAG_SV,MATCH("kpi.hsse.action_close",RAG_KEY,0)),"green",IF((E1539/F1539)&lt;=INDEX(RAG_SA,MATCH("kpi.hsse.action_close",RAG_KEY,0)),"amber","red")))),"")</f>
        <v/>
      </c>
    </row>
    <row r="1540">
      <c r="C1540" s="63">
        <f>IFERROR(IF(LANG="EN",INDEX(I18N_EN,MATCH("kpi.hsse.train_cover",I18N_KEY,0)),INDEX(I18N_FR,MATCH("kpi.hsse.train_cover",I18N_KEY,0))),"kpi.hsse.train_cover")</f>
        <v/>
      </c>
      <c r="D1540" s="64" t="inlineStr">
        <is>
          <t>%</t>
        </is>
      </c>
      <c r="E1540" s="71">
        <f>IFERROR((AVERAGEIFS('M3 · Base mensuelle'!$D$105:$AM$105,HDR,"&gt;="&amp;P_START,HDR,"&lt;="&amp;P_END)),"")</f>
        <v/>
      </c>
      <c r="F1540" s="71">
        <f>IFERROR((SUMPRODUCT((BUD_MONTHS&gt;=MONTH(P_START))*(BUD_MONTHS&lt;=MONTH(P_END))*'M1 · Paramètres'!$H$106:$S$106)/SUMPRODUCT((BUD_MONTHS&gt;=MONTH(P_START))*(BUD_MONTHS&lt;=MONTH(P_END))*1)),"")</f>
        <v/>
      </c>
      <c r="G1540" s="77">
        <f>IFERROR((E1540)/(F1540)-1,"")</f>
        <v/>
      </c>
      <c r="H1540" s="68">
        <f>IF(P1540="","",IF(P1540="green",IFERROR(IF(LANG="EN",INDEX(I18N_EN,MATCH("rag.green",I18N_KEY,0)),INDEX(I18N_FR,MATCH("rag.green",I18N_KEY,0))),"rag.green"),IF(P1540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540" s="3" t="n"/>
      <c r="J1540" s="3" t="n"/>
      <c r="K1540" s="3" t="n"/>
      <c r="L1540" s="3" t="n"/>
      <c r="M1540" s="3" t="n"/>
      <c r="N1540" s="32" t="n"/>
      <c r="P1540" s="69">
        <f>IFERROR(IF(F1540=0,"",IF(INDEX(RAG_SENS,MATCH("kpi.hsse.train_cover",RAG_KEY,0))="UP",IF((E1540/F1540)&gt;=INDEX(RAG_SV,MATCH("kpi.hsse.train_cover",RAG_KEY,0)),"green",IF((E1540/F1540)&gt;=INDEX(RAG_SA,MATCH("kpi.hsse.train_cover",RAG_KEY,0)),"amber","red")),IF((E1540/F1540)&lt;=INDEX(RAG_SV,MATCH("kpi.hsse.train_cover",RAG_KEY,0)),"green",IF((E1540/F1540)&lt;=INDEX(RAG_SA,MATCH("kpi.hsse.train_cover",RAG_KEY,0)),"amber","red")))),"")</f>
        <v/>
      </c>
    </row>
    <row r="1541">
      <c r="C1541" s="53">
        <f>"💬 "&amp;IFERROR(IF(LANG="EN",INDEX(I18N_EN,MATCH("col.comment",I18N_KEY,0)),INDEX(I18N_FR,MATCH("col.comment",I18N_KEY,0))),"col.comment")</f>
        <v/>
      </c>
      <c r="D1541" s="5" t="n"/>
      <c r="E1541" s="5" t="n"/>
      <c r="F1541" s="5" t="n"/>
      <c r="G1541" s="5" t="n"/>
      <c r="H1541" s="5" t="n"/>
      <c r="I1541" s="5" t="n"/>
      <c r="J1541" s="5" t="n"/>
      <c r="K1541" s="5" t="n"/>
      <c r="L1541" s="5" t="n"/>
      <c r="M1541" s="5" t="n"/>
      <c r="N1541" s="54" t="n"/>
      <c r="O1541" s="5" t="n"/>
    </row>
    <row r="1542">
      <c r="C1542" s="55">
        <f>IF(LANG="EN","Budget variance commentary.","Commentaire écart budgétaire.")</f>
        <v/>
      </c>
      <c r="D1542" s="56" t="n"/>
      <c r="E1542" s="56" t="n"/>
      <c r="F1542" s="56" t="n"/>
      <c r="G1542" s="56" t="n"/>
      <c r="H1542" s="56" t="n"/>
      <c r="I1542" s="56" t="n"/>
      <c r="J1542" s="56" t="n"/>
      <c r="K1542" s="56" t="n"/>
      <c r="L1542" s="56" t="n"/>
      <c r="M1542" s="56" t="n"/>
      <c r="N1542" s="56" t="n"/>
      <c r="O1542" s="57" t="n"/>
    </row>
    <row r="1543">
      <c r="C1543" s="50" t="n"/>
      <c r="D1543" s="3" t="n"/>
      <c r="E1543" s="3" t="n"/>
      <c r="F1543" s="3" t="n"/>
      <c r="G1543" s="3" t="n"/>
      <c r="H1543" s="3" t="n"/>
      <c r="I1543" s="3" t="n"/>
      <c r="J1543" s="3" t="n"/>
      <c r="K1543" s="3" t="n"/>
      <c r="L1543" s="3" t="n"/>
      <c r="M1543" s="3" t="n"/>
      <c r="N1543" s="32" t="n"/>
    </row>
    <row r="1544">
      <c r="C1544" s="58" t="n"/>
      <c r="D1544" s="58" t="n"/>
      <c r="E1544" s="58" t="n"/>
      <c r="F1544" s="58" t="n"/>
      <c r="G1544" s="58" t="n"/>
      <c r="H1544" s="58" t="n"/>
      <c r="I1544" s="58" t="n"/>
      <c r="J1544" s="58" t="n"/>
      <c r="K1544" s="58" t="n"/>
      <c r="L1544" s="58" t="n"/>
      <c r="M1544" s="58" t="n"/>
      <c r="N1544" s="58" t="n"/>
      <c r="O1544" s="59" t="n"/>
    </row>
    <row r="1545">
      <c r="C1545" s="60" t="n"/>
      <c r="D1545" s="36" t="n"/>
      <c r="E1545" s="36" t="n"/>
      <c r="F1545" s="36" t="n"/>
      <c r="G1545" s="36" t="n"/>
      <c r="H1545" s="36" t="n"/>
      <c r="I1545" s="36" t="n"/>
      <c r="J1545" s="36" t="n"/>
      <c r="K1545" s="36" t="n"/>
      <c r="L1545" s="36" t="n"/>
      <c r="M1545" s="36" t="n"/>
      <c r="N1545" s="22" t="n"/>
    </row>
    <row r="1546">
      <c r="C1546" s="3" t="n"/>
      <c r="D1546" s="3" t="n"/>
      <c r="E1546" s="3" t="n"/>
      <c r="F1546" s="3" t="n"/>
      <c r="G1546" s="3" t="n"/>
      <c r="H1546" s="3" t="n"/>
      <c r="I1546" s="3" t="n"/>
      <c r="J1546" s="3" t="n"/>
      <c r="K1546" s="3" t="n"/>
      <c r="L1546" s="3" t="n"/>
      <c r="M1546" s="3" t="n"/>
      <c r="N1546" s="3" t="n"/>
    </row>
    <row r="1547">
      <c r="C1547" s="78" t="n"/>
      <c r="D1547" s="78" t="n"/>
      <c r="E1547" s="78" t="n"/>
      <c r="F1547" s="78" t="n"/>
      <c r="G1547" s="78" t="n"/>
      <c r="H1547" s="78" t="n"/>
      <c r="I1547" s="78" t="n"/>
      <c r="J1547" s="78" t="n"/>
      <c r="K1547" s="78" t="n"/>
      <c r="L1547" s="78" t="n"/>
      <c r="M1547" s="78" t="n"/>
      <c r="N1547" s="78" t="n"/>
      <c r="O1547" s="78" t="n"/>
    </row>
    <row r="1548">
      <c r="C1548" s="3" t="n"/>
      <c r="D1548" s="3" t="n"/>
      <c r="E1548" s="3" t="n"/>
      <c r="F1548" s="3" t="n"/>
      <c r="G1548" s="3" t="n"/>
      <c r="H1548" s="3" t="n"/>
      <c r="I1548" s="3" t="n"/>
      <c r="J1548" s="3" t="n"/>
      <c r="K1548" s="3" t="n"/>
      <c r="L1548" s="3" t="n"/>
      <c r="M1548" s="3" t="n"/>
      <c r="N1548" s="3" t="n"/>
    </row>
    <row r="1549" ht="28" customHeight="1">
      <c r="C1549" s="9">
        <f>"         9.   "&amp;IFERROR(IF(LANG="EN",INDEX(I18N_EN,MATCH("dept.fac",I18N_KEY,0)),INDEX(I18N_FR,MATCH("dept.fac",I18N_KEY,0))),"dept.fac")&amp;"   ·   "&amp;IF(LANG="EN",INDEX(MOIS_EN,MONTH(PERIODE)),INDEX(MOIS_FR,MONTH(PERIODE)))&amp;" "&amp;YEAR(PERIODE)</f>
        <v/>
      </c>
      <c r="D1549" s="1" t="n"/>
      <c r="E1549" s="1" t="n"/>
      <c r="F1549" s="1" t="n"/>
      <c r="G1549" s="1" t="n"/>
      <c r="H1549" s="1" t="n"/>
      <c r="I1549" s="1" t="n"/>
      <c r="J1549" s="1" t="n"/>
      <c r="K1549" s="1" t="n"/>
      <c r="L1549" s="1" t="n"/>
      <c r="M1549" s="1" t="n"/>
      <c r="N1549" s="1" t="n"/>
      <c r="O1549" s="15">
        <f>"↑ "&amp;IFERROR(IF(LANG="EN",INDEX(I18N_EN,MATCH("nav.summary",I18N_KEY,0)),INDEX(I18N_FR,MATCH("nav.summary",I18N_KEY,0))),"nav.summary")</f>
        <v/>
      </c>
    </row>
    <row r="1550">
      <c r="C1550" s="37">
        <f>""&amp;IFERROR(IF(LANG="EN",INDEX(I18N_EN,MATCH("nav.grain",I18N_KEY,0)),INDEX(I18N_FR,MATCH("nav.grain",I18N_KEY,0))),"nav.grain")&amp;": "&amp;IF(GRAIN="M",IFERROR(IF(LANG="EN",INDEX(I18N_EN,MATCH("grain.month",I18N_KEY,0)),INDEX(I18N_FR,MATCH("grain.month",I18N_KEY,0))),"grain.month"),IF(GRAIN="Q",IFERROR(IF(LANG="EN",INDEX(I18N_EN,MATCH("grain.quarter",I18N_KEY,0)),INDEX(I18N_FR,MATCH("grain.quarter",I18N_KEY,0))),"grain.quarter"),IFERROR(IF(LANG="EN",INDEX(I18N_EN,MATCH("grain.year",I18N_KEY,0)),INDEX(I18N_FR,MATCH("grain.year",I18N_KEY,0))),"grain.year")))</f>
        <v/>
      </c>
      <c r="D1550" s="3" t="n"/>
      <c r="E1550" s="3" t="n"/>
      <c r="F1550" s="3" t="n"/>
      <c r="G1550" s="3" t="n"/>
      <c r="H1550" s="3" t="n"/>
      <c r="I1550" s="3" t="n"/>
      <c r="J1550" s="3" t="n"/>
      <c r="K1550" s="3" t="n"/>
      <c r="L1550" s="3" t="n"/>
      <c r="M1550" s="3" t="n"/>
      <c r="N1550" s="3" t="n"/>
    </row>
    <row r="1551">
      <c r="C1551" s="3" t="n"/>
      <c r="D1551" s="3" t="n"/>
      <c r="E1551" s="3" t="n"/>
      <c r="F1551" s="3" t="n"/>
      <c r="G1551" s="3" t="n"/>
      <c r="H1551" s="3" t="n"/>
      <c r="I1551" s="3" t="n"/>
      <c r="J1551" s="3" t="n"/>
      <c r="K1551" s="3" t="n"/>
      <c r="L1551" s="3" t="n"/>
      <c r="M1551" s="3" t="n"/>
      <c r="N1551" s="3" t="n"/>
    </row>
    <row r="1552" ht="5" customHeight="1">
      <c r="C1552" s="17" t="n"/>
      <c r="D1552" s="38" t="n"/>
      <c r="E1552" s="38" t="n"/>
      <c r="F1552" s="38" t="n"/>
      <c r="G1552" s="38" t="n"/>
      <c r="H1552" s="18" t="n"/>
      <c r="I1552" s="17" t="n"/>
      <c r="J1552" s="38" t="n"/>
      <c r="K1552" s="38" t="n"/>
      <c r="L1552" s="38" t="n"/>
      <c r="M1552" s="38" t="n"/>
      <c r="N1552" s="18" t="n"/>
    </row>
    <row r="1553" ht="18" customHeight="1">
      <c r="C1553" s="39">
        <f>"       "&amp;IFERROR(IF(LANG="EN",INDEX(I18N_EN,MATCH("kpi.fac.prev_corr",I18N_KEY,0)),INDEX(I18N_FR,MATCH("kpi.fac.prev_corr",I18N_KEY,0))),"kpi.fac.prev_corr")</f>
        <v/>
      </c>
      <c r="D1553" s="40" t="n"/>
      <c r="E1553" s="40" t="n"/>
      <c r="F1553" s="40" t="n"/>
      <c r="G1553" s="40" t="n"/>
      <c r="H1553" s="20" t="n"/>
      <c r="I1553" s="39">
        <f>"       "&amp;IFERROR(IF(LANG="EN",INDEX(I18N_EN,MATCH("kpi.fac.wo_prev",I18N_KEY,0)),INDEX(I18N_FR,MATCH("kpi.fac.wo_prev",I18N_KEY,0))),"kpi.fac.wo_prev")</f>
        <v/>
      </c>
      <c r="J1553" s="40" t="n"/>
      <c r="K1553" s="40" t="n"/>
      <c r="L1553" s="40" t="n"/>
      <c r="M1553" s="40" t="n"/>
      <c r="N1553" s="20" t="n"/>
    </row>
    <row r="1554" ht="42" customHeight="1">
      <c r="C1554" s="79">
        <f>IFERROR((AVERAGEIFS('M3 · Base mensuelle'!$D$106:$AM$106,HDR,"&gt;="&amp;P_START,HDR,"&lt;="&amp;P_END)),"")</f>
        <v/>
      </c>
      <c r="D1554" s="40" t="n"/>
      <c r="E1554" s="40" t="n"/>
      <c r="F1554" s="40" t="n"/>
      <c r="G1554" s="40" t="n"/>
      <c r="H1554" s="20" t="n"/>
      <c r="I1554" s="41">
        <f>IFERROR((SUMIFS('M3 · Base mensuelle'!$D$107:$AM$107,HDR,"&gt;="&amp;P_START,HDR,"&lt;="&amp;P_END)),"")</f>
        <v/>
      </c>
      <c r="J1554" s="40" t="n"/>
      <c r="K1554" s="40" t="n"/>
      <c r="L1554" s="40" t="n"/>
      <c r="M1554" s="40" t="n"/>
      <c r="N1554" s="20" t="n"/>
    </row>
    <row r="1555" ht="20" customHeight="1">
      <c r="C1555" s="42">
        <f>IFERROR((IFERROR((AVERAGEIFS('M3 · Base mensuelle'!$D$106:$AM$106,HDR,"&gt;="&amp;P_START,HDR,"&lt;="&amp;P_END)),""))/(IFERROR((AVERAGEIFS('M3 · Base mensuelle'!$D$106:$AM$106,HDR,"&gt;="&amp;PP_START,HDR,"&lt;="&amp;PP_END)),""))-1,"")</f>
        <v/>
      </c>
      <c r="D1555" s="36" t="n"/>
      <c r="E1555" s="36" t="n"/>
      <c r="F1555" s="36" t="n"/>
      <c r="G1555" s="36" t="n"/>
      <c r="H1555" s="22" t="n"/>
      <c r="I1555" s="42">
        <f>IFERROR((IFERROR((SUMIFS('M3 · Base mensuelle'!$D$107:$AM$107,HDR,"&gt;="&amp;P_START,HDR,"&lt;="&amp;P_END)),""))/(IFERROR((SUMIFS('M3 · Base mensuelle'!$D$107:$AM$107,HDR,"&gt;="&amp;PP_START,HDR,"&lt;="&amp;PP_END)),""))-1,"")</f>
        <v/>
      </c>
      <c r="J1555" s="36" t="n"/>
      <c r="K1555" s="36" t="n"/>
      <c r="L1555" s="36" t="n"/>
      <c r="M1555" s="36" t="n"/>
      <c r="N1555" s="22" t="n"/>
    </row>
    <row r="1556">
      <c r="C1556" s="3" t="n"/>
      <c r="D1556" s="3" t="n"/>
      <c r="E1556" s="3" t="n"/>
      <c r="F1556" s="3" t="n"/>
      <c r="G1556" s="3" t="n"/>
      <c r="H1556" s="3" t="n"/>
      <c r="I1556" s="3" t="n"/>
      <c r="J1556" s="3" t="n"/>
      <c r="K1556" s="3" t="n"/>
      <c r="L1556" s="3" t="n"/>
      <c r="M1556" s="3" t="n"/>
      <c r="N1556" s="3" t="n"/>
    </row>
    <row r="1557" ht="5" customHeight="1">
      <c r="C1557" s="17" t="n"/>
      <c r="D1557" s="38" t="n"/>
      <c r="E1557" s="38" t="n"/>
      <c r="F1557" s="38" t="n"/>
      <c r="G1557" s="38" t="n"/>
      <c r="H1557" s="18" t="n"/>
      <c r="I1557" s="17" t="n"/>
      <c r="J1557" s="38" t="n"/>
      <c r="K1557" s="38" t="n"/>
      <c r="L1557" s="38" t="n"/>
      <c r="M1557" s="38" t="n"/>
      <c r="N1557" s="18" t="n"/>
    </row>
    <row r="1558" ht="18" customHeight="1">
      <c r="C1558" s="39">
        <f>"       "&amp;IFERROR(IF(LANG="EN",INDEX(I18N_EN,MATCH("kpi.fac.wo_corr",I18N_KEY,0)),INDEX(I18N_FR,MATCH("kpi.fac.wo_corr",I18N_KEY,0))),"kpi.fac.wo_corr")</f>
        <v/>
      </c>
      <c r="D1558" s="40" t="n"/>
      <c r="E1558" s="40" t="n"/>
      <c r="F1558" s="40" t="n"/>
      <c r="G1558" s="40" t="n"/>
      <c r="H1558" s="20" t="n"/>
      <c r="I1558" s="39">
        <f>"       "&amp;IFERROR(IF(LANG="EN",INDEX(I18N_EN,MATCH("kpi.fac.ot_backlog",I18N_KEY,0)),INDEX(I18N_FR,MATCH("kpi.fac.ot_backlog",I18N_KEY,0))),"kpi.fac.ot_backlog")</f>
        <v/>
      </c>
      <c r="J1558" s="40" t="n"/>
      <c r="K1558" s="40" t="n"/>
      <c r="L1558" s="40" t="n"/>
      <c r="M1558" s="40" t="n"/>
      <c r="N1558" s="20" t="n"/>
    </row>
    <row r="1559" ht="42" customHeight="1">
      <c r="C1559" s="41">
        <f>IFERROR((SUMIFS('M3 · Base mensuelle'!$D$108:$AM$108,HDR,"&gt;="&amp;P_START,HDR,"&lt;="&amp;P_END)),"")</f>
        <v/>
      </c>
      <c r="D1559" s="40" t="n"/>
      <c r="E1559" s="40" t="n"/>
      <c r="F1559" s="40" t="n"/>
      <c r="G1559" s="40" t="n"/>
      <c r="H1559" s="20" t="n"/>
      <c r="I1559" s="41">
        <f>IFERROR((INDEX('M3 · Base mensuelle'!$D$109:$AM$109,MATCH(P_END,HDR,0))),"")</f>
        <v/>
      </c>
      <c r="J1559" s="40" t="n"/>
      <c r="K1559" s="40" t="n"/>
      <c r="L1559" s="40" t="n"/>
      <c r="M1559" s="40" t="n"/>
      <c r="N1559" s="20" t="n"/>
    </row>
    <row r="1560" ht="20" customHeight="1">
      <c r="C1560" s="42">
        <f>IFERROR((IFERROR((SUMIFS('M3 · Base mensuelle'!$D$108:$AM$108,HDR,"&gt;="&amp;P_START,HDR,"&lt;="&amp;P_END)),""))/(IFERROR((SUMIFS('M3 · Base mensuelle'!$D$108:$AM$108,HDR,"&gt;="&amp;PP_START,HDR,"&lt;="&amp;PP_END)),""))-1,"")</f>
        <v/>
      </c>
      <c r="D1560" s="36" t="n"/>
      <c r="E1560" s="36" t="n"/>
      <c r="F1560" s="36" t="n"/>
      <c r="G1560" s="36" t="n"/>
      <c r="H1560" s="22" t="n"/>
      <c r="I1560" s="42">
        <f>IFERROR((IFERROR((INDEX('M3 · Base mensuelle'!$D$109:$AM$109,MATCH(P_END,HDR,0))),""))/(IFERROR((INDEX('M3 · Base mensuelle'!$D$109:$AM$109,MATCH(PP_END,HDR,0))),""))-1,"")</f>
        <v/>
      </c>
      <c r="J1560" s="36" t="n"/>
      <c r="K1560" s="36" t="n"/>
      <c r="L1560" s="36" t="n"/>
      <c r="M1560" s="36" t="n"/>
      <c r="N1560" s="22" t="n"/>
    </row>
    <row r="1561">
      <c r="C1561" s="3" t="n"/>
      <c r="D1561" s="3" t="n"/>
      <c r="E1561" s="3" t="n"/>
      <c r="F1561" s="3" t="n"/>
      <c r="G1561" s="3" t="n"/>
      <c r="H1561" s="3" t="n"/>
      <c r="I1561" s="3" t="n"/>
      <c r="J1561" s="3" t="n"/>
      <c r="K1561" s="3" t="n"/>
      <c r="L1561" s="3" t="n"/>
      <c r="M1561" s="3" t="n"/>
      <c r="N1561" s="3" t="n"/>
    </row>
    <row r="1562">
      <c r="C1562" s="3" t="n"/>
      <c r="D1562" s="3" t="n"/>
      <c r="E1562" s="3" t="n"/>
      <c r="F1562" s="3" t="n"/>
      <c r="G1562" s="3" t="n"/>
      <c r="H1562" s="3" t="n"/>
      <c r="I1562" s="3" t="n"/>
      <c r="J1562" s="3" t="n"/>
      <c r="K1562" s="3" t="n"/>
      <c r="L1562" s="3" t="n"/>
      <c r="M1562" s="3" t="n"/>
      <c r="N1562" s="3" t="n"/>
    </row>
    <row r="1563">
      <c r="C1563" s="43">
        <f>"▌ "&amp;IFERROR(IF(LANG="EN",INDEX(I18N_EN,MATCH("kpi.fac.prev_corr",I18N_KEY,0)),INDEX(I18N_FR,MATCH("kpi.fac.prev_corr",I18N_KEY,0))),"kpi.fac.prev_corr")&amp;" — 12 mois / 12M"</f>
        <v/>
      </c>
      <c r="D1563" s="3" t="n"/>
      <c r="E1563" s="3" t="n"/>
      <c r="F1563" s="3" t="n"/>
      <c r="G1563" s="3" t="n"/>
      <c r="H1563" s="3" t="n"/>
      <c r="I1563" s="3" t="n"/>
      <c r="J1563" s="3" t="n"/>
      <c r="K1563" s="3" t="n"/>
      <c r="L1563" s="3" t="n"/>
      <c r="M1563" s="3" t="n"/>
      <c r="N1563" s="3" t="n"/>
    </row>
    <row r="1564">
      <c r="C1564" s="3" t="n"/>
      <c r="D1564" s="3" t="n"/>
      <c r="E1564" s="3" t="n"/>
      <c r="F1564" s="3" t="n"/>
      <c r="G1564" s="3" t="n"/>
      <c r="H1564" s="3" t="n"/>
      <c r="I1564" s="3" t="n"/>
      <c r="J1564" s="3" t="n"/>
      <c r="K1564" s="3" t="n"/>
      <c r="L1564" s="3" t="n"/>
      <c r="M1564" s="3" t="n"/>
      <c r="N1564" s="3" t="n"/>
    </row>
    <row r="1565">
      <c r="C1565" s="3" t="n"/>
      <c r="D1565" s="3" t="n"/>
      <c r="E1565" s="3" t="n"/>
      <c r="F1565" s="3" t="n"/>
      <c r="G1565" s="3" t="n"/>
      <c r="H1565" s="3" t="n"/>
      <c r="I1565" s="3" t="n"/>
      <c r="J1565" s="3" t="n"/>
      <c r="K1565" s="3" t="n"/>
      <c r="L1565" s="3" t="n"/>
      <c r="M1565" s="3" t="n"/>
      <c r="N1565" s="3" t="n"/>
    </row>
    <row r="1566">
      <c r="C1566" s="3" t="n"/>
      <c r="D1566" s="3" t="n"/>
      <c r="E1566" s="3" t="n"/>
      <c r="F1566" s="3" t="n"/>
      <c r="G1566" s="3" t="n"/>
      <c r="H1566" s="3" t="n"/>
      <c r="I1566" s="3" t="n"/>
      <c r="J1566" s="3" t="n"/>
      <c r="K1566" s="3" t="n"/>
      <c r="L1566" s="3" t="n"/>
      <c r="M1566" s="3" t="n"/>
      <c r="N1566" s="3" t="n"/>
    </row>
    <row r="1567">
      <c r="C1567" s="3" t="n"/>
      <c r="D1567" s="3" t="n"/>
      <c r="E1567" s="3" t="n"/>
      <c r="F1567" s="3" t="n"/>
      <c r="G1567" s="3" t="n"/>
      <c r="H1567" s="3" t="n"/>
      <c r="I1567" s="3" t="n"/>
      <c r="J1567" s="3" t="n"/>
      <c r="K1567" s="3" t="n"/>
      <c r="L1567" s="3" t="n"/>
      <c r="M1567" s="3" t="n"/>
      <c r="N1567" s="3" t="n"/>
    </row>
    <row r="1568">
      <c r="C1568" s="3" t="n"/>
      <c r="D1568" s="3" t="n"/>
      <c r="E1568" s="3" t="n"/>
      <c r="F1568" s="3" t="n"/>
      <c r="G1568" s="3" t="n"/>
      <c r="H1568" s="3" t="n"/>
      <c r="I1568" s="3" t="n"/>
      <c r="J1568" s="3" t="n"/>
      <c r="K1568" s="3" t="n"/>
      <c r="L1568" s="3" t="n"/>
      <c r="M1568" s="3" t="n"/>
      <c r="N1568" s="3" t="n"/>
    </row>
    <row r="1569">
      <c r="C1569" s="3" t="n"/>
      <c r="D1569" s="3" t="n"/>
      <c r="E1569" s="3" t="n"/>
      <c r="F1569" s="3" t="n"/>
      <c r="G1569" s="3" t="n"/>
      <c r="H1569" s="3" t="n"/>
      <c r="I1569" s="3" t="n"/>
      <c r="J1569" s="3" t="n"/>
      <c r="K1569" s="3" t="n"/>
      <c r="L1569" s="3" t="n"/>
      <c r="M1569" s="3" t="n"/>
      <c r="N1569" s="3" t="n"/>
    </row>
    <row r="1570">
      <c r="C1570" s="3" t="n"/>
      <c r="D1570" s="3" t="n"/>
      <c r="E1570" s="3" t="n"/>
      <c r="F1570" s="3" t="n"/>
      <c r="G1570" s="3" t="n"/>
      <c r="H1570" s="3" t="n"/>
      <c r="I1570" s="3" t="n"/>
      <c r="J1570" s="3" t="n"/>
      <c r="K1570" s="3" t="n"/>
      <c r="L1570" s="3" t="n"/>
      <c r="M1570" s="3" t="n"/>
      <c r="N1570" s="3" t="n"/>
    </row>
    <row r="1571">
      <c r="C1571" s="3" t="n"/>
      <c r="D1571" s="3" t="n"/>
      <c r="E1571" s="3" t="n"/>
      <c r="F1571" s="3" t="n"/>
      <c r="G1571" s="3" t="n"/>
      <c r="H1571" s="3" t="n"/>
      <c r="I1571" s="3" t="n"/>
      <c r="J1571" s="3" t="n"/>
      <c r="K1571" s="3" t="n"/>
      <c r="L1571" s="3" t="n"/>
      <c r="M1571" s="3" t="n"/>
      <c r="N1571" s="3" t="n"/>
    </row>
    <row r="1572">
      <c r="C1572" s="3" t="n"/>
      <c r="D1572" s="3" t="n"/>
      <c r="E1572" s="3" t="n"/>
      <c r="F1572" s="3" t="n"/>
      <c r="G1572" s="3" t="n"/>
      <c r="H1572" s="3" t="n"/>
      <c r="I1572" s="3" t="n"/>
      <c r="J1572" s="3" t="n"/>
      <c r="K1572" s="3" t="n"/>
      <c r="L1572" s="3" t="n"/>
      <c r="M1572" s="3" t="n"/>
      <c r="N1572" s="3" t="n"/>
    </row>
    <row r="1573">
      <c r="C1573" s="3" t="n"/>
      <c r="D1573" s="3" t="n"/>
      <c r="E1573" s="3" t="n"/>
      <c r="F1573" s="3" t="n"/>
      <c r="G1573" s="3" t="n"/>
      <c r="H1573" s="3" t="n"/>
      <c r="I1573" s="3" t="n"/>
      <c r="J1573" s="3" t="n"/>
      <c r="K1573" s="3" t="n"/>
      <c r="L1573" s="3" t="n"/>
      <c r="M1573" s="3" t="n"/>
      <c r="N1573" s="3" t="n"/>
    </row>
    <row r="1574">
      <c r="C1574" s="3" t="n"/>
      <c r="D1574" s="3" t="n"/>
      <c r="E1574" s="3" t="n"/>
      <c r="F1574" s="3" t="n"/>
      <c r="G1574" s="3" t="n"/>
      <c r="H1574" s="3" t="n"/>
      <c r="I1574" s="3" t="n"/>
      <c r="J1574" s="3" t="n"/>
      <c r="K1574" s="3" t="n"/>
      <c r="L1574" s="3" t="n"/>
      <c r="M1574" s="3" t="n"/>
      <c r="N1574" s="3" t="n"/>
    </row>
    <row r="1575">
      <c r="C1575" s="43">
        <f>"▌ "&amp;IF(LANG="EN","Key gauges","Jauges clés")</f>
        <v/>
      </c>
      <c r="D1575" s="3" t="n"/>
      <c r="E1575" s="3" t="n"/>
      <c r="F1575" s="3" t="n"/>
      <c r="G1575" s="3" t="n"/>
      <c r="H1575" s="3" t="n"/>
      <c r="I1575" s="3" t="n"/>
      <c r="J1575" s="3" t="n"/>
      <c r="K1575" s="3" t="n"/>
      <c r="L1575" s="3" t="n"/>
      <c r="M1575" s="3" t="n"/>
      <c r="N1575" s="3" t="n"/>
    </row>
    <row r="1576">
      <c r="C1576" s="44">
        <f>IFERROR(IF(LANG="EN",INDEX(I18N_EN,MATCH("kpi.fac.prev_corr",I18N_KEY,0)),INDEX(I18N_FR,MATCH("kpi.fac.prev_corr",I18N_KEY,0))),"kpi.fac.prev_corr")</f>
        <v/>
      </c>
      <c r="D1576" s="3" t="n"/>
      <c r="E1576" s="3" t="n"/>
      <c r="F1576" s="3" t="n"/>
      <c r="G1576" s="44">
        <f>IFERROR(IF(LANG="EN",INDEX(I18N_EN,MATCH("kpi.fac.util_cost",I18N_KEY,0)),INDEX(I18N_FR,MATCH("kpi.fac.util_cost",I18N_KEY,0))),"kpi.fac.util_cost")</f>
        <v/>
      </c>
      <c r="H1576" s="3" t="n"/>
      <c r="I1576" s="3" t="n"/>
      <c r="J1576" s="3" t="n"/>
      <c r="K1576" s="44">
        <f>IFERROR(IF(LANG="EN",INDEX(I18N_EN,MATCH("kpi.fac.capex_var",I18N_KEY,0)),INDEX(I18N_FR,MATCH("kpi.fac.capex_var",I18N_KEY,0))),"kpi.fac.capex_var")</f>
        <v/>
      </c>
      <c r="L1576" s="3" t="n"/>
      <c r="M1576" s="3" t="n"/>
      <c r="N1576" s="3" t="n"/>
    </row>
    <row r="1577">
      <c r="C1577" s="3" t="n"/>
      <c r="D1577" s="3" t="n"/>
      <c r="E1577" s="3" t="n"/>
      <c r="F1577" s="3" t="n"/>
      <c r="G1577" s="3" t="n"/>
      <c r="H1577" s="3" t="n"/>
      <c r="I1577" s="3" t="n"/>
      <c r="J1577" s="3" t="n"/>
      <c r="K1577" s="3" t="n"/>
      <c r="L1577" s="3" t="n"/>
      <c r="M1577" s="3" t="n"/>
      <c r="N1577" s="3" t="n"/>
    </row>
    <row r="1578">
      <c r="C1578" s="3" t="n"/>
      <c r="D1578" s="3" t="n"/>
      <c r="E1578" s="3" t="n"/>
      <c r="F1578" s="3" t="n"/>
      <c r="G1578" s="3" t="n"/>
      <c r="H1578" s="3" t="n"/>
      <c r="I1578" s="3" t="n"/>
      <c r="J1578" s="3" t="n"/>
      <c r="K1578" s="3" t="n"/>
      <c r="L1578" s="3" t="n"/>
      <c r="M1578" s="3" t="n"/>
      <c r="N1578" s="3" t="n"/>
    </row>
    <row r="1579">
      <c r="C1579" s="3" t="n"/>
      <c r="D1579" s="3" t="n"/>
      <c r="E1579" s="3" t="n"/>
      <c r="F1579" s="3" t="n"/>
      <c r="G1579" s="3" t="n"/>
      <c r="H1579" s="3" t="n"/>
      <c r="I1579" s="3" t="n"/>
      <c r="J1579" s="3" t="n"/>
      <c r="K1579" s="3" t="n"/>
      <c r="L1579" s="3" t="n"/>
      <c r="M1579" s="3" t="n"/>
      <c r="N1579" s="3" t="n"/>
    </row>
    <row r="1580">
      <c r="C1580" s="3" t="n"/>
      <c r="D1580" s="3" t="n"/>
      <c r="E1580" s="3" t="n"/>
      <c r="F1580" s="3" t="n"/>
      <c r="G1580" s="3" t="n"/>
      <c r="H1580" s="3" t="n"/>
      <c r="I1580" s="3" t="n"/>
      <c r="J1580" s="3" t="n"/>
      <c r="K1580" s="3" t="n"/>
      <c r="L1580" s="3" t="n"/>
      <c r="M1580" s="3" t="n"/>
      <c r="N1580" s="3" t="n"/>
    </row>
    <row r="1581">
      <c r="C1581" s="3" t="n"/>
      <c r="D1581" s="3" t="n"/>
      <c r="E1581" s="3" t="n"/>
      <c r="F1581" s="3" t="n"/>
      <c r="G1581" s="3" t="n"/>
      <c r="H1581" s="3" t="n"/>
      <c r="I1581" s="3" t="n"/>
      <c r="J1581" s="3" t="n"/>
      <c r="K1581" s="3" t="n"/>
      <c r="L1581" s="3" t="n"/>
      <c r="M1581" s="3" t="n"/>
      <c r="N1581" s="3" t="n"/>
    </row>
    <row r="1582">
      <c r="C1582" s="3" t="n"/>
      <c r="D1582" s="3" t="n"/>
      <c r="E1582" s="3" t="n"/>
      <c r="F1582" s="3" t="n"/>
      <c r="G1582" s="3" t="n"/>
      <c r="H1582" s="3" t="n"/>
      <c r="I1582" s="3" t="n"/>
      <c r="J1582" s="3" t="n"/>
      <c r="K1582" s="3" t="n"/>
      <c r="L1582" s="3" t="n"/>
      <c r="M1582" s="3" t="n"/>
      <c r="N1582" s="3" t="n"/>
    </row>
    <row r="1583">
      <c r="C1583" s="3" t="n"/>
      <c r="D1583" s="3" t="n"/>
      <c r="E1583" s="3" t="n"/>
      <c r="F1583" s="3" t="n"/>
      <c r="G1583" s="3" t="n"/>
      <c r="H1583" s="3" t="n"/>
      <c r="I1583" s="3" t="n"/>
      <c r="J1583" s="3" t="n"/>
      <c r="K1583" s="3" t="n"/>
      <c r="L1583" s="3" t="n"/>
      <c r="M1583" s="3" t="n"/>
      <c r="N1583" s="3" t="n"/>
    </row>
    <row r="1584">
      <c r="C1584" s="45">
        <f>IFERROR((AVERAGEIFS('M3 · Base mensuelle'!$D$106:$AM$106,HDR,"&gt;="&amp;P_START,HDR,"&lt;="&amp;P_END)),"")</f>
        <v/>
      </c>
      <c r="D1584" s="3" t="n"/>
      <c r="E1584" s="3" t="n"/>
      <c r="F1584" s="3" t="n"/>
      <c r="G1584" s="45">
        <f>IFERROR((AVERAGEIFS('M3 · Base mensuelle'!$D$114:$AM$114,HDR,"&gt;="&amp;P_START,HDR,"&lt;="&amp;P_END)),"")</f>
        <v/>
      </c>
      <c r="H1584" s="3" t="n"/>
      <c r="I1584" s="3" t="n"/>
      <c r="J1584" s="3" t="n"/>
      <c r="K1584" s="45">
        <f>IFERROR((AVERAGEIFS('M3 · Base mensuelle'!$D$117:$AM$117,HDR,"&gt;="&amp;P_START,HDR,"&lt;="&amp;P_END)),"")</f>
        <v/>
      </c>
      <c r="L1584" s="3" t="n"/>
      <c r="M1584" s="3" t="n"/>
      <c r="N1584" s="3" t="n"/>
    </row>
    <row r="1585">
      <c r="C1585" s="3" t="n"/>
      <c r="D1585" s="3" t="n"/>
      <c r="E1585" s="3" t="n"/>
      <c r="F1585" s="3" t="n"/>
      <c r="G1585" s="3" t="n"/>
      <c r="H1585" s="3" t="n"/>
      <c r="I1585" s="3" t="n"/>
      <c r="J1585" s="3" t="n"/>
      <c r="K1585" s="3" t="n"/>
      <c r="L1585" s="3" t="n"/>
      <c r="M1585" s="3" t="n"/>
      <c r="N1585" s="3" t="n"/>
    </row>
    <row r="1586">
      <c r="C1586" s="3" t="n"/>
      <c r="D1586" s="3" t="n"/>
      <c r="E1586" s="3" t="n"/>
      <c r="F1586" s="3" t="n"/>
      <c r="G1586" s="3" t="n"/>
      <c r="H1586" s="3" t="n"/>
      <c r="I1586" s="3" t="n"/>
      <c r="J1586" s="3" t="n"/>
      <c r="K1586" s="3" t="n"/>
      <c r="L1586" s="3" t="n"/>
      <c r="M1586" s="3" t="n"/>
      <c r="N1586" s="3" t="n"/>
    </row>
    <row r="1587">
      <c r="C1587" s="3" t="n"/>
      <c r="D1587" s="3" t="n"/>
      <c r="E1587" s="3" t="n"/>
      <c r="F1587" s="3" t="n"/>
      <c r="G1587" s="3" t="n"/>
      <c r="H1587" s="3" t="n"/>
      <c r="I1587" s="3" t="n"/>
      <c r="J1587" s="3" t="n"/>
      <c r="K1587" s="3" t="n"/>
      <c r="L1587" s="3" t="n"/>
      <c r="M1587" s="3" t="n"/>
      <c r="N1587" s="3" t="n"/>
    </row>
    <row r="1588" ht="19" customHeight="1">
      <c r="C1588" s="46">
        <f>"▸  9.1  "&amp;IF(LANG="EN","Walkthrough Findings Records","Relevés de rondes (walkthrough)")</f>
        <v/>
      </c>
      <c r="D1588" s="47" t="n"/>
      <c r="E1588" s="47" t="n"/>
      <c r="F1588" s="47" t="n"/>
      <c r="G1588" s="47" t="n"/>
      <c r="H1588" s="47" t="n"/>
      <c r="I1588" s="47" t="n"/>
      <c r="J1588" s="47" t="n"/>
      <c r="K1588" s="47" t="n"/>
      <c r="L1588" s="47" t="n"/>
      <c r="M1588" s="47" t="n"/>
      <c r="N1588" s="48" t="n"/>
      <c r="O1588" s="1" t="n"/>
    </row>
    <row r="1589">
      <c r="C1589" s="80" t="inlineStr">
        <is>
          <t>Réf / Ref</t>
        </is>
      </c>
      <c r="D1589" s="81" t="inlineStr">
        <is>
          <t>Zone</t>
        </is>
      </c>
      <c r="E1589" s="81" t="inlineStr">
        <is>
          <t>Constat / Finding</t>
        </is>
      </c>
      <c r="F1589" s="81" t="inlineStr">
        <is>
          <t>Priorité / Priority</t>
        </is>
      </c>
      <c r="G1589" s="81" t="inlineStr">
        <is>
          <t>Statut / Status</t>
        </is>
      </c>
      <c r="H1589" s="3" t="n"/>
      <c r="I1589" s="3" t="n"/>
      <c r="J1589" s="3" t="n"/>
      <c r="K1589" s="3" t="n"/>
      <c r="L1589" s="3" t="n"/>
      <c r="M1589" s="3" t="n"/>
      <c r="N1589" s="32" t="n"/>
    </row>
    <row r="1590">
      <c r="C1590" s="82" t="inlineStr">
        <is>
          <t>WT-01</t>
        </is>
      </c>
      <c r="D1590" s="84" t="inlineStr">
        <is>
          <t>Toiture / Roof</t>
        </is>
      </c>
      <c r="E1590" s="84" t="inlineStr">
        <is>
          <t>Infiltration / Leak</t>
        </is>
      </c>
      <c r="F1590" s="84" t="inlineStr">
        <is>
          <t>Haute / High</t>
        </is>
      </c>
      <c r="G1590" s="84" t="inlineStr">
        <is>
          <t>En cours / Ongoing</t>
        </is>
      </c>
      <c r="H1590" s="3" t="n"/>
      <c r="I1590" s="3" t="n"/>
      <c r="J1590" s="3" t="n"/>
      <c r="K1590" s="3" t="n"/>
      <c r="L1590" s="3" t="n"/>
      <c r="M1590" s="3" t="n"/>
      <c r="N1590" s="32" t="n"/>
    </row>
    <row r="1591">
      <c r="C1591" s="82" t="inlineStr">
        <is>
          <t>WT-02</t>
        </is>
      </c>
      <c r="D1591" s="84" t="inlineStr">
        <is>
          <t>CVC / HVAC</t>
        </is>
      </c>
      <c r="E1591" s="84" t="inlineStr">
        <is>
          <t>Filtre à changer / Filter due</t>
        </is>
      </c>
      <c r="F1591" s="84" t="inlineStr">
        <is>
          <t>Moyenne / Medium</t>
        </is>
      </c>
      <c r="G1591" s="84" t="inlineStr">
        <is>
          <t>Planifié / Planned</t>
        </is>
      </c>
      <c r="H1591" s="3" t="n"/>
      <c r="I1591" s="3" t="n"/>
      <c r="J1591" s="3" t="n"/>
      <c r="K1591" s="3" t="n"/>
      <c r="L1591" s="3" t="n"/>
      <c r="M1591" s="3" t="n"/>
      <c r="N1591" s="32" t="n"/>
    </row>
    <row r="1592">
      <c r="C1592" s="82" t="inlineStr">
        <is>
          <t>WT-03</t>
        </is>
      </c>
      <c r="D1592" s="84" t="inlineStr">
        <is>
          <t>Sanitaires / Restrooms</t>
        </is>
      </c>
      <c r="E1592" s="84" t="inlineStr">
        <is>
          <t>Robinetterie / Faucet</t>
        </is>
      </c>
      <c r="F1592" s="84" t="inlineStr">
        <is>
          <t>Basse / Low</t>
        </is>
      </c>
      <c r="G1592" s="84" t="inlineStr">
        <is>
          <t>Clôturé / Closed</t>
        </is>
      </c>
      <c r="H1592" s="3" t="n"/>
      <c r="I1592" s="3" t="n"/>
      <c r="J1592" s="3" t="n"/>
      <c r="K1592" s="3" t="n"/>
      <c r="L1592" s="3" t="n"/>
      <c r="M1592" s="3" t="n"/>
      <c r="N1592" s="32" t="n"/>
    </row>
    <row r="1593">
      <c r="C1593" s="82" t="inlineStr">
        <is>
          <t>WT-04</t>
        </is>
      </c>
      <c r="D1593" s="84" t="inlineStr">
        <is>
          <t>Parking</t>
        </is>
      </c>
      <c r="E1593" s="84" t="inlineStr">
        <is>
          <t>Éclairage / Lighting</t>
        </is>
      </c>
      <c r="F1593" s="84" t="inlineStr">
        <is>
          <t>Moyenne / Medium</t>
        </is>
      </c>
      <c r="G1593" s="84" t="inlineStr">
        <is>
          <t>En cours / Ongoing</t>
        </is>
      </c>
      <c r="H1593" s="3" t="n"/>
      <c r="I1593" s="3" t="n"/>
      <c r="J1593" s="3" t="n"/>
      <c r="K1593" s="3" t="n"/>
      <c r="L1593" s="3" t="n"/>
      <c r="M1593" s="3" t="n"/>
      <c r="N1593" s="32" t="n"/>
    </row>
    <row r="1594">
      <c r="C1594" s="50" t="n"/>
      <c r="D1594" s="3" t="n"/>
      <c r="E1594" s="3" t="n"/>
      <c r="F1594" s="3" t="n"/>
      <c r="G1594" s="3" t="n"/>
      <c r="H1594" s="3" t="n"/>
      <c r="I1594" s="3" t="n"/>
      <c r="J1594" s="3" t="n"/>
      <c r="K1594" s="3" t="n"/>
      <c r="L1594" s="3" t="n"/>
      <c r="M1594" s="3" t="n"/>
      <c r="N1594" s="32" t="n"/>
    </row>
    <row r="1595">
      <c r="C1595" s="53">
        <f>"💬 "&amp;IFERROR(IF(LANG="EN",INDEX(I18N_EN,MATCH("col.comment",I18N_KEY,0)),INDEX(I18N_FR,MATCH("col.comment",I18N_KEY,0))),"col.comment")</f>
        <v/>
      </c>
      <c r="D1595" s="5" t="n"/>
      <c r="E1595" s="5" t="n"/>
      <c r="F1595" s="5" t="n"/>
      <c r="G1595" s="5" t="n"/>
      <c r="H1595" s="5" t="n"/>
      <c r="I1595" s="5" t="n"/>
      <c r="J1595" s="5" t="n"/>
      <c r="K1595" s="5" t="n"/>
      <c r="L1595" s="5" t="n"/>
      <c r="M1595" s="5" t="n"/>
      <c r="N1595" s="54" t="n"/>
      <c r="O1595" s="5" t="n"/>
    </row>
    <row r="1596">
      <c r="C1596" s="55">
        <f>IF(LANG="EN","Commentary / data source: management systems (demo).","Commentaire / source : systèmes de gestion (démo).")</f>
        <v/>
      </c>
      <c r="D1596" s="56" t="n"/>
      <c r="E1596" s="56" t="n"/>
      <c r="F1596" s="56" t="n"/>
      <c r="G1596" s="56" t="n"/>
      <c r="H1596" s="56" t="n"/>
      <c r="I1596" s="56" t="n"/>
      <c r="J1596" s="56" t="n"/>
      <c r="K1596" s="56" t="n"/>
      <c r="L1596" s="56" t="n"/>
      <c r="M1596" s="56" t="n"/>
      <c r="N1596" s="56" t="n"/>
      <c r="O1596" s="57" t="n"/>
    </row>
    <row r="1597">
      <c r="C1597" s="50" t="n"/>
      <c r="D1597" s="3" t="n"/>
      <c r="E1597" s="3" t="n"/>
      <c r="F1597" s="3" t="n"/>
      <c r="G1597" s="3" t="n"/>
      <c r="H1597" s="3" t="n"/>
      <c r="I1597" s="3" t="n"/>
      <c r="J1597" s="3" t="n"/>
      <c r="K1597" s="3" t="n"/>
      <c r="L1597" s="3" t="n"/>
      <c r="M1597" s="3" t="n"/>
      <c r="N1597" s="32" t="n"/>
    </row>
    <row r="1598">
      <c r="C1598" s="58" t="n"/>
      <c r="D1598" s="58" t="n"/>
      <c r="E1598" s="58" t="n"/>
      <c r="F1598" s="58" t="n"/>
      <c r="G1598" s="58" t="n"/>
      <c r="H1598" s="58" t="n"/>
      <c r="I1598" s="58" t="n"/>
      <c r="J1598" s="58" t="n"/>
      <c r="K1598" s="58" t="n"/>
      <c r="L1598" s="58" t="n"/>
      <c r="M1598" s="58" t="n"/>
      <c r="N1598" s="58" t="n"/>
      <c r="O1598" s="59" t="n"/>
    </row>
    <row r="1599">
      <c r="C1599" s="60" t="n"/>
      <c r="D1599" s="36" t="n"/>
      <c r="E1599" s="36" t="n"/>
      <c r="F1599" s="36" t="n"/>
      <c r="G1599" s="36" t="n"/>
      <c r="H1599" s="36" t="n"/>
      <c r="I1599" s="36" t="n"/>
      <c r="J1599" s="36" t="n"/>
      <c r="K1599" s="36" t="n"/>
      <c r="L1599" s="36" t="n"/>
      <c r="M1599" s="36" t="n"/>
      <c r="N1599" s="22" t="n"/>
    </row>
    <row r="1600">
      <c r="C1600" s="3" t="n"/>
      <c r="D1600" s="3" t="n"/>
      <c r="E1600" s="3" t="n"/>
      <c r="F1600" s="3" t="n"/>
      <c r="G1600" s="3" t="n"/>
      <c r="H1600" s="3" t="n"/>
      <c r="I1600" s="3" t="n"/>
      <c r="J1600" s="3" t="n"/>
      <c r="K1600" s="3" t="n"/>
      <c r="L1600" s="3" t="n"/>
      <c r="M1600" s="3" t="n"/>
      <c r="N1600" s="3" t="n"/>
    </row>
    <row r="1601" ht="19" customHeight="1">
      <c r="C1601" s="46">
        <f>"▸  9.2  "&amp;IF(LANG="EN","Utilities Management","Gestion des utilities")</f>
        <v/>
      </c>
      <c r="D1601" s="47" t="n"/>
      <c r="E1601" s="47" t="n"/>
      <c r="F1601" s="47" t="n"/>
      <c r="G1601" s="47" t="n"/>
      <c r="H1601" s="47" t="n"/>
      <c r="I1601" s="47" t="n"/>
      <c r="J1601" s="47" t="n"/>
      <c r="K1601" s="47" t="n"/>
      <c r="L1601" s="47" t="n"/>
      <c r="M1601" s="47" t="n"/>
      <c r="N1601" s="48" t="n"/>
      <c r="O1601" s="1" t="n"/>
    </row>
    <row r="1602">
      <c r="C1602" s="53">
        <f>"💬 "&amp;IFERROR(IF(LANG="EN",INDEX(I18N_EN,MATCH("col.comment",I18N_KEY,0)),INDEX(I18N_FR,MATCH("col.comment",I18N_KEY,0))),"col.comment")</f>
        <v/>
      </c>
      <c r="D1602" s="5" t="n"/>
      <c r="E1602" s="5" t="n"/>
      <c r="F1602" s="5" t="n"/>
      <c r="G1602" s="5" t="n"/>
      <c r="H1602" s="5" t="n"/>
      <c r="I1602" s="5" t="n"/>
      <c r="J1602" s="5" t="n"/>
      <c r="K1602" s="5" t="n"/>
      <c r="L1602" s="5" t="n"/>
      <c r="M1602" s="5" t="n"/>
      <c r="N1602" s="54" t="n"/>
      <c r="O1602" s="5" t="n"/>
    </row>
    <row r="1603">
      <c r="C1603" s="55">
        <f>IF(LANG="EN","Commentary.","Commentaire.")</f>
        <v/>
      </c>
      <c r="D1603" s="56" t="n"/>
      <c r="E1603" s="56" t="n"/>
      <c r="F1603" s="56" t="n"/>
      <c r="G1603" s="56" t="n"/>
      <c r="H1603" s="56" t="n"/>
      <c r="I1603" s="56" t="n"/>
      <c r="J1603" s="56" t="n"/>
      <c r="K1603" s="56" t="n"/>
      <c r="L1603" s="56" t="n"/>
      <c r="M1603" s="56" t="n"/>
      <c r="N1603" s="56" t="n"/>
      <c r="O1603" s="57" t="n"/>
    </row>
    <row r="1604">
      <c r="C1604" s="50" t="n"/>
      <c r="D1604" s="3" t="n"/>
      <c r="E1604" s="3" t="n"/>
      <c r="F1604" s="3" t="n"/>
      <c r="G1604" s="3" t="n"/>
      <c r="H1604" s="3" t="n"/>
      <c r="I1604" s="3" t="n"/>
      <c r="J1604" s="3" t="n"/>
      <c r="K1604" s="3" t="n"/>
      <c r="L1604" s="3" t="n"/>
      <c r="M1604" s="3" t="n"/>
      <c r="N1604" s="32" t="n"/>
    </row>
    <row r="1605">
      <c r="C1605" s="58" t="n"/>
      <c r="D1605" s="58" t="n"/>
      <c r="E1605" s="58" t="n"/>
      <c r="F1605" s="58" t="n"/>
      <c r="G1605" s="58" t="n"/>
      <c r="H1605" s="58" t="n"/>
      <c r="I1605" s="58" t="n"/>
      <c r="J1605" s="58" t="n"/>
      <c r="K1605" s="58" t="n"/>
      <c r="L1605" s="58" t="n"/>
      <c r="M1605" s="58" t="n"/>
      <c r="N1605" s="58" t="n"/>
      <c r="O1605" s="59" t="n"/>
    </row>
    <row r="1606">
      <c r="C1606" s="60" t="n"/>
      <c r="D1606" s="36" t="n"/>
      <c r="E1606" s="36" t="n"/>
      <c r="F1606" s="36" t="n"/>
      <c r="G1606" s="36" t="n"/>
      <c r="H1606" s="36" t="n"/>
      <c r="I1606" s="36" t="n"/>
      <c r="J1606" s="36" t="n"/>
      <c r="K1606" s="36" t="n"/>
      <c r="L1606" s="36" t="n"/>
      <c r="M1606" s="36" t="n"/>
      <c r="N1606" s="22" t="n"/>
    </row>
    <row r="1607">
      <c r="C1607" s="3" t="n"/>
      <c r="D1607" s="3" t="n"/>
      <c r="E1607" s="3" t="n"/>
      <c r="F1607" s="3" t="n"/>
      <c r="G1607" s="3" t="n"/>
      <c r="H1607" s="3" t="n"/>
      <c r="I1607" s="3" t="n"/>
      <c r="J1607" s="3" t="n"/>
      <c r="K1607" s="3" t="n"/>
      <c r="L1607" s="3" t="n"/>
      <c r="M1607" s="3" t="n"/>
      <c r="N1607" s="3" t="n"/>
    </row>
    <row r="1608" ht="19" customHeight="1">
      <c r="C1608" s="46">
        <f>"▸  9.2.1  "&amp;IF(LANG="EN","Electricity Consumption Analysis","Analyse conso électricité")</f>
        <v/>
      </c>
      <c r="D1608" s="47" t="n"/>
      <c r="E1608" s="47" t="n"/>
      <c r="F1608" s="47" t="n"/>
      <c r="G1608" s="47" t="n"/>
      <c r="H1608" s="47" t="n"/>
      <c r="I1608" s="47" t="n"/>
      <c r="J1608" s="47" t="n"/>
      <c r="K1608" s="47" t="n"/>
      <c r="L1608" s="47" t="n"/>
      <c r="M1608" s="47" t="n"/>
      <c r="N1608" s="48" t="n"/>
      <c r="O1608" s="1" t="n"/>
    </row>
    <row r="1609">
      <c r="C1609" s="80" t="inlineStr">
        <is>
          <t>Mois / Month</t>
        </is>
      </c>
      <c r="D1609" s="62" t="inlineStr">
        <is>
          <t>Conso (kWh)</t>
        </is>
      </c>
      <c r="E1609" s="62" t="inlineStr">
        <is>
          <t>Coût / Cost</t>
        </is>
      </c>
      <c r="F1609" s="62" t="inlineStr">
        <is>
          <t>vs Budget</t>
        </is>
      </c>
      <c r="G1609" s="3" t="n"/>
      <c r="H1609" s="3" t="n"/>
      <c r="I1609" s="3" t="n"/>
      <c r="J1609" s="3" t="n"/>
      <c r="K1609" s="3" t="n"/>
      <c r="L1609" s="3" t="n"/>
      <c r="M1609" s="3" t="n"/>
      <c r="N1609" s="32" t="n"/>
    </row>
    <row r="1610">
      <c r="C1610" s="82" t="inlineStr">
        <is>
          <t>2026-01</t>
        </is>
      </c>
      <c r="D1610" s="83" t="n">
        <v>178000</v>
      </c>
      <c r="E1610" s="83" t="n">
        <v>23800000</v>
      </c>
      <c r="F1610" s="86" t="n">
        <v>-0.02</v>
      </c>
      <c r="G1610" s="3" t="n"/>
      <c r="H1610" s="3" t="n"/>
      <c r="I1610" s="3" t="n"/>
      <c r="J1610" s="3" t="n"/>
      <c r="K1610" s="3" t="n"/>
      <c r="L1610" s="3" t="n"/>
      <c r="M1610" s="3" t="n"/>
      <c r="N1610" s="32" t="n"/>
    </row>
    <row r="1611">
      <c r="C1611" s="82" t="inlineStr">
        <is>
          <t>2026-02</t>
        </is>
      </c>
      <c r="D1611" s="83" t="n">
        <v>172000</v>
      </c>
      <c r="E1611" s="83" t="n">
        <v>22900000</v>
      </c>
      <c r="F1611" s="86" t="n">
        <v>-0.04</v>
      </c>
      <c r="G1611" s="3" t="n"/>
      <c r="H1611" s="3" t="n"/>
      <c r="I1611" s="3" t="n"/>
      <c r="J1611" s="3" t="n"/>
      <c r="K1611" s="3" t="n"/>
      <c r="L1611" s="3" t="n"/>
      <c r="M1611" s="3" t="n"/>
      <c r="N1611" s="32" t="n"/>
    </row>
    <row r="1612">
      <c r="C1612" s="82" t="inlineStr">
        <is>
          <t>2026-03</t>
        </is>
      </c>
      <c r="D1612" s="83" t="n">
        <v>185000</v>
      </c>
      <c r="E1612" s="83" t="n">
        <v>24700000</v>
      </c>
      <c r="F1612" s="86" t="n">
        <v>0.01</v>
      </c>
      <c r="G1612" s="3" t="n"/>
      <c r="H1612" s="3" t="n"/>
      <c r="I1612" s="3" t="n"/>
      <c r="J1612" s="3" t="n"/>
      <c r="K1612" s="3" t="n"/>
      <c r="L1612" s="3" t="n"/>
      <c r="M1612" s="3" t="n"/>
      <c r="N1612" s="32" t="n"/>
    </row>
    <row r="1613">
      <c r="C1613" s="82" t="inlineStr">
        <is>
          <t>2026-04</t>
        </is>
      </c>
      <c r="D1613" s="83" t="n">
        <v>181000</v>
      </c>
      <c r="E1613" s="83" t="n">
        <v>24100000</v>
      </c>
      <c r="F1613" s="86" t="n">
        <v>-0.01</v>
      </c>
      <c r="G1613" s="3" t="n"/>
      <c r="H1613" s="3" t="n"/>
      <c r="I1613" s="3" t="n"/>
      <c r="J1613" s="3" t="n"/>
      <c r="K1613" s="3" t="n"/>
      <c r="L1613" s="3" t="n"/>
      <c r="M1613" s="3" t="n"/>
      <c r="N1613" s="32" t="n"/>
    </row>
    <row r="1614">
      <c r="C1614" s="82" t="inlineStr">
        <is>
          <t>2026-05</t>
        </is>
      </c>
      <c r="D1614" s="83" t="n">
        <v>190000</v>
      </c>
      <c r="E1614" s="83" t="n">
        <v>25300000</v>
      </c>
      <c r="F1614" s="86" t="n">
        <v>0.03</v>
      </c>
      <c r="G1614" s="3" t="n"/>
      <c r="H1614" s="3" t="n"/>
      <c r="I1614" s="3" t="n"/>
      <c r="J1614" s="3" t="n"/>
      <c r="K1614" s="3" t="n"/>
      <c r="L1614" s="3" t="n"/>
      <c r="M1614" s="3" t="n"/>
      <c r="N1614" s="32" t="n"/>
    </row>
    <row r="1615">
      <c r="C1615" s="82" t="inlineStr">
        <is>
          <t>2026-06</t>
        </is>
      </c>
      <c r="D1615" s="83" t="n">
        <v>186000</v>
      </c>
      <c r="E1615" s="83" t="n">
        <v>24800000</v>
      </c>
      <c r="F1615" s="86" t="n">
        <v>0.02</v>
      </c>
      <c r="G1615" s="3" t="n"/>
      <c r="H1615" s="3" t="n"/>
      <c r="I1615" s="3" t="n"/>
      <c r="J1615" s="3" t="n"/>
      <c r="K1615" s="3" t="n"/>
      <c r="L1615" s="3" t="n"/>
      <c r="M1615" s="3" t="n"/>
      <c r="N1615" s="32" t="n"/>
    </row>
    <row r="1616">
      <c r="C1616" s="50" t="n"/>
      <c r="D1616" s="3" t="n"/>
      <c r="E1616" s="3" t="n"/>
      <c r="F1616" s="3" t="n"/>
      <c r="G1616" s="3" t="n"/>
      <c r="H1616" s="3" t="n"/>
      <c r="I1616" s="3" t="n"/>
      <c r="J1616" s="3" t="n"/>
      <c r="K1616" s="3" t="n"/>
      <c r="L1616" s="3" t="n"/>
      <c r="M1616" s="3" t="n"/>
      <c r="N1616" s="32" t="n"/>
    </row>
    <row r="1617">
      <c r="C1617" s="50" t="n"/>
      <c r="D1617" s="3" t="n"/>
      <c r="E1617" s="3" t="n"/>
      <c r="F1617" s="3" t="n"/>
      <c r="G1617" s="3" t="n"/>
      <c r="H1617" s="3" t="n"/>
      <c r="I1617" s="3" t="n"/>
      <c r="J1617" s="3" t="n"/>
      <c r="K1617" s="3" t="n"/>
      <c r="L1617" s="3" t="n"/>
      <c r="M1617" s="3" t="n"/>
      <c r="N1617" s="32" t="n"/>
    </row>
    <row r="1618">
      <c r="C1618" s="50" t="n"/>
      <c r="D1618" s="3" t="n"/>
      <c r="E1618" s="3" t="n"/>
      <c r="F1618" s="3" t="n"/>
      <c r="G1618" s="3" t="n"/>
      <c r="H1618" s="3" t="n"/>
      <c r="I1618" s="3" t="n"/>
      <c r="J1618" s="3" t="n"/>
      <c r="K1618" s="3" t="n"/>
      <c r="L1618" s="3" t="n"/>
      <c r="M1618" s="3" t="n"/>
      <c r="N1618" s="32" t="n"/>
    </row>
    <row r="1619">
      <c r="C1619" s="50" t="n"/>
      <c r="D1619" s="3" t="n"/>
      <c r="E1619" s="3" t="n"/>
      <c r="F1619" s="3" t="n"/>
      <c r="G1619" s="3" t="n"/>
      <c r="H1619" s="3" t="n"/>
      <c r="I1619" s="3" t="n"/>
      <c r="J1619" s="3" t="n"/>
      <c r="K1619" s="3" t="n"/>
      <c r="L1619" s="3" t="n"/>
      <c r="M1619" s="3" t="n"/>
      <c r="N1619" s="32" t="n"/>
    </row>
    <row r="1620">
      <c r="C1620" s="50" t="n"/>
      <c r="D1620" s="3" t="n"/>
      <c r="E1620" s="3" t="n"/>
      <c r="F1620" s="3" t="n"/>
      <c r="G1620" s="3" t="n"/>
      <c r="H1620" s="3" t="n"/>
      <c r="I1620" s="3" t="n"/>
      <c r="J1620" s="3" t="n"/>
      <c r="K1620" s="3" t="n"/>
      <c r="L1620" s="3" t="n"/>
      <c r="M1620" s="3" t="n"/>
      <c r="N1620" s="32" t="n"/>
    </row>
    <row r="1621">
      <c r="C1621" s="50" t="n"/>
      <c r="D1621" s="3" t="n"/>
      <c r="E1621" s="3" t="n"/>
      <c r="F1621" s="3" t="n"/>
      <c r="G1621" s="3" t="n"/>
      <c r="H1621" s="3" t="n"/>
      <c r="I1621" s="3" t="n"/>
      <c r="J1621" s="3" t="n"/>
      <c r="K1621" s="3" t="n"/>
      <c r="L1621" s="3" t="n"/>
      <c r="M1621" s="3" t="n"/>
      <c r="N1621" s="32" t="n"/>
    </row>
    <row r="1622">
      <c r="C1622" s="50" t="n"/>
      <c r="D1622" s="3" t="n"/>
      <c r="E1622" s="3" t="n"/>
      <c r="F1622" s="3" t="n"/>
      <c r="G1622" s="3" t="n"/>
      <c r="H1622" s="3" t="n"/>
      <c r="I1622" s="3" t="n"/>
      <c r="J1622" s="3" t="n"/>
      <c r="K1622" s="3" t="n"/>
      <c r="L1622" s="3" t="n"/>
      <c r="M1622" s="3" t="n"/>
      <c r="N1622" s="32" t="n"/>
    </row>
    <row r="1623">
      <c r="C1623" s="50" t="n"/>
      <c r="D1623" s="3" t="n"/>
      <c r="E1623" s="3" t="n"/>
      <c r="F1623" s="3" t="n"/>
      <c r="G1623" s="3" t="n"/>
      <c r="H1623" s="3" t="n"/>
      <c r="I1623" s="3" t="n"/>
      <c r="J1623" s="3" t="n"/>
      <c r="K1623" s="3" t="n"/>
      <c r="L1623" s="3" t="n"/>
      <c r="M1623" s="3" t="n"/>
      <c r="N1623" s="32" t="n"/>
    </row>
    <row r="1624">
      <c r="C1624" s="53">
        <f>"💬 "&amp;IFERROR(IF(LANG="EN",INDEX(I18N_EN,MATCH("col.comment",I18N_KEY,0)),INDEX(I18N_FR,MATCH("col.comment",I18N_KEY,0))),"col.comment")</f>
        <v/>
      </c>
      <c r="D1624" s="5" t="n"/>
      <c r="E1624" s="5" t="n"/>
      <c r="F1624" s="5" t="n"/>
      <c r="G1624" s="5" t="n"/>
      <c r="H1624" s="5" t="n"/>
      <c r="I1624" s="5" t="n"/>
      <c r="J1624" s="5" t="n"/>
      <c r="K1624" s="5" t="n"/>
      <c r="L1624" s="5" t="n"/>
      <c r="M1624" s="5" t="n"/>
      <c r="N1624" s="54" t="n"/>
      <c r="O1624" s="5" t="n"/>
    </row>
    <row r="1625">
      <c r="C1625" s="55">
        <f>IF(LANG="EN","Commentary / data source: management systems (demo).","Commentaire / source : systèmes de gestion (démo).")</f>
        <v/>
      </c>
      <c r="D1625" s="56" t="n"/>
      <c r="E1625" s="56" t="n"/>
      <c r="F1625" s="56" t="n"/>
      <c r="G1625" s="56" t="n"/>
      <c r="H1625" s="56" t="n"/>
      <c r="I1625" s="56" t="n"/>
      <c r="J1625" s="56" t="n"/>
      <c r="K1625" s="56" t="n"/>
      <c r="L1625" s="56" t="n"/>
      <c r="M1625" s="56" t="n"/>
      <c r="N1625" s="56" t="n"/>
      <c r="O1625" s="57" t="n"/>
    </row>
    <row r="1626">
      <c r="C1626" s="50" t="n"/>
      <c r="D1626" s="3" t="n"/>
      <c r="E1626" s="3" t="n"/>
      <c r="F1626" s="3" t="n"/>
      <c r="G1626" s="3" t="n"/>
      <c r="H1626" s="3" t="n"/>
      <c r="I1626" s="3" t="n"/>
      <c r="J1626" s="3" t="n"/>
      <c r="K1626" s="3" t="n"/>
      <c r="L1626" s="3" t="n"/>
      <c r="M1626" s="3" t="n"/>
      <c r="N1626" s="32" t="n"/>
    </row>
    <row r="1627">
      <c r="C1627" s="58" t="n"/>
      <c r="D1627" s="58" t="n"/>
      <c r="E1627" s="58" t="n"/>
      <c r="F1627" s="58" t="n"/>
      <c r="G1627" s="58" t="n"/>
      <c r="H1627" s="58" t="n"/>
      <c r="I1627" s="58" t="n"/>
      <c r="J1627" s="58" t="n"/>
      <c r="K1627" s="58" t="n"/>
      <c r="L1627" s="58" t="n"/>
      <c r="M1627" s="58" t="n"/>
      <c r="N1627" s="58" t="n"/>
      <c r="O1627" s="59" t="n"/>
    </row>
    <row r="1628">
      <c r="C1628" s="60" t="n"/>
      <c r="D1628" s="36" t="n"/>
      <c r="E1628" s="36" t="n"/>
      <c r="F1628" s="36" t="n"/>
      <c r="G1628" s="36" t="n"/>
      <c r="H1628" s="36" t="n"/>
      <c r="I1628" s="36" t="n"/>
      <c r="J1628" s="36" t="n"/>
      <c r="K1628" s="36" t="n"/>
      <c r="L1628" s="36" t="n"/>
      <c r="M1628" s="36" t="n"/>
      <c r="N1628" s="22" t="n"/>
    </row>
    <row r="1629">
      <c r="C1629" s="3" t="n"/>
      <c r="D1629" s="3" t="n"/>
      <c r="E1629" s="3" t="n"/>
      <c r="F1629" s="3" t="n"/>
      <c r="G1629" s="3" t="n"/>
      <c r="H1629" s="3" t="n"/>
      <c r="I1629" s="3" t="n"/>
      <c r="J1629" s="3" t="n"/>
      <c r="K1629" s="3" t="n"/>
      <c r="L1629" s="3" t="n"/>
      <c r="M1629" s="3" t="n"/>
      <c r="N1629" s="3" t="n"/>
    </row>
    <row r="1630" ht="19" customHeight="1">
      <c r="C1630" s="46">
        <f>"▸  9.2.2  "&amp;IF(LANG="EN","City Water Consumption Analysis","Analyse conso eau de ville")</f>
        <v/>
      </c>
      <c r="D1630" s="47" t="n"/>
      <c r="E1630" s="47" t="n"/>
      <c r="F1630" s="47" t="n"/>
      <c r="G1630" s="47" t="n"/>
      <c r="H1630" s="47" t="n"/>
      <c r="I1630" s="47" t="n"/>
      <c r="J1630" s="47" t="n"/>
      <c r="K1630" s="47" t="n"/>
      <c r="L1630" s="47" t="n"/>
      <c r="M1630" s="47" t="n"/>
      <c r="N1630" s="48" t="n"/>
      <c r="O1630" s="1" t="n"/>
    </row>
    <row r="1631">
      <c r="C1631" s="80" t="inlineStr">
        <is>
          <t>Mois / Month</t>
        </is>
      </c>
      <c r="D1631" s="62" t="inlineStr">
        <is>
          <t>Conso (m³)</t>
        </is>
      </c>
      <c r="E1631" s="62" t="inlineStr">
        <is>
          <t>Coût / Cost</t>
        </is>
      </c>
      <c r="F1631" s="62" t="inlineStr">
        <is>
          <t>vs Budget</t>
        </is>
      </c>
      <c r="G1631" s="3" t="n"/>
      <c r="H1631" s="3" t="n"/>
      <c r="I1631" s="3" t="n"/>
      <c r="J1631" s="3" t="n"/>
      <c r="K1631" s="3" t="n"/>
      <c r="L1631" s="3" t="n"/>
      <c r="M1631" s="3" t="n"/>
      <c r="N1631" s="32" t="n"/>
    </row>
    <row r="1632">
      <c r="C1632" s="82" t="inlineStr">
        <is>
          <t>2026-01</t>
        </is>
      </c>
      <c r="D1632" s="83" t="n">
        <v>3100</v>
      </c>
      <c r="E1632" s="83" t="n">
        <v>3700000</v>
      </c>
      <c r="F1632" s="86" t="n">
        <v>-0.03</v>
      </c>
      <c r="G1632" s="3" t="n"/>
      <c r="H1632" s="3" t="n"/>
      <c r="I1632" s="3" t="n"/>
      <c r="J1632" s="3" t="n"/>
      <c r="K1632" s="3" t="n"/>
      <c r="L1632" s="3" t="n"/>
      <c r="M1632" s="3" t="n"/>
      <c r="N1632" s="32" t="n"/>
    </row>
    <row r="1633">
      <c r="C1633" s="82" t="inlineStr">
        <is>
          <t>2026-02</t>
        </is>
      </c>
      <c r="D1633" s="83" t="n">
        <v>2950</v>
      </c>
      <c r="E1633" s="83" t="n">
        <v>3520000</v>
      </c>
      <c r="F1633" s="86" t="n">
        <v>-0.06</v>
      </c>
      <c r="G1633" s="3" t="n"/>
      <c r="H1633" s="3" t="n"/>
      <c r="I1633" s="3" t="n"/>
      <c r="J1633" s="3" t="n"/>
      <c r="K1633" s="3" t="n"/>
      <c r="L1633" s="3" t="n"/>
      <c r="M1633" s="3" t="n"/>
      <c r="N1633" s="32" t="n"/>
    </row>
    <row r="1634">
      <c r="C1634" s="82" t="inlineStr">
        <is>
          <t>2026-03</t>
        </is>
      </c>
      <c r="D1634" s="83" t="n">
        <v>3250</v>
      </c>
      <c r="E1634" s="83" t="n">
        <v>3880000</v>
      </c>
      <c r="F1634" s="86" t="n">
        <v>0.02</v>
      </c>
      <c r="G1634" s="3" t="n"/>
      <c r="H1634" s="3" t="n"/>
      <c r="I1634" s="3" t="n"/>
      <c r="J1634" s="3" t="n"/>
      <c r="K1634" s="3" t="n"/>
      <c r="L1634" s="3" t="n"/>
      <c r="M1634" s="3" t="n"/>
      <c r="N1634" s="32" t="n"/>
    </row>
    <row r="1635">
      <c r="C1635" s="82" t="inlineStr">
        <is>
          <t>2026-04</t>
        </is>
      </c>
      <c r="D1635" s="83" t="n">
        <v>3180</v>
      </c>
      <c r="E1635" s="83" t="n">
        <v>3800000</v>
      </c>
      <c r="F1635" s="86" t="n">
        <v>0</v>
      </c>
      <c r="G1635" s="3" t="n"/>
      <c r="H1635" s="3" t="n"/>
      <c r="I1635" s="3" t="n"/>
      <c r="J1635" s="3" t="n"/>
      <c r="K1635" s="3" t="n"/>
      <c r="L1635" s="3" t="n"/>
      <c r="M1635" s="3" t="n"/>
      <c r="N1635" s="32" t="n"/>
    </row>
    <row r="1636">
      <c r="C1636" s="82" t="inlineStr">
        <is>
          <t>2026-05</t>
        </is>
      </c>
      <c r="D1636" s="83" t="n">
        <v>3320</v>
      </c>
      <c r="E1636" s="83" t="n">
        <v>3960000</v>
      </c>
      <c r="F1636" s="86" t="n">
        <v>0.04</v>
      </c>
      <c r="G1636" s="3" t="n"/>
      <c r="H1636" s="3" t="n"/>
      <c r="I1636" s="3" t="n"/>
      <c r="J1636" s="3" t="n"/>
      <c r="K1636" s="3" t="n"/>
      <c r="L1636" s="3" t="n"/>
      <c r="M1636" s="3" t="n"/>
      <c r="N1636" s="32" t="n"/>
    </row>
    <row r="1637">
      <c r="C1637" s="82" t="inlineStr">
        <is>
          <t>2026-06</t>
        </is>
      </c>
      <c r="D1637" s="83" t="n">
        <v>3210</v>
      </c>
      <c r="E1637" s="83" t="n">
        <v>3830000</v>
      </c>
      <c r="F1637" s="86" t="n">
        <v>0.01</v>
      </c>
      <c r="G1637" s="3" t="n"/>
      <c r="H1637" s="3" t="n"/>
      <c r="I1637" s="3" t="n"/>
      <c r="J1637" s="3" t="n"/>
      <c r="K1637" s="3" t="n"/>
      <c r="L1637" s="3" t="n"/>
      <c r="M1637" s="3" t="n"/>
      <c r="N1637" s="32" t="n"/>
    </row>
    <row r="1638">
      <c r="C1638" s="50" t="n"/>
      <c r="D1638" s="3" t="n"/>
      <c r="E1638" s="3" t="n"/>
      <c r="F1638" s="3" t="n"/>
      <c r="G1638" s="3" t="n"/>
      <c r="H1638" s="3" t="n"/>
      <c r="I1638" s="3" t="n"/>
      <c r="J1638" s="3" t="n"/>
      <c r="K1638" s="3" t="n"/>
      <c r="L1638" s="3" t="n"/>
      <c r="M1638" s="3" t="n"/>
      <c r="N1638" s="32" t="n"/>
    </row>
    <row r="1639">
      <c r="C1639" s="50" t="n"/>
      <c r="D1639" s="3" t="n"/>
      <c r="E1639" s="3" t="n"/>
      <c r="F1639" s="3" t="n"/>
      <c r="G1639" s="3" t="n"/>
      <c r="H1639" s="3" t="n"/>
      <c r="I1639" s="3" t="n"/>
      <c r="J1639" s="3" t="n"/>
      <c r="K1639" s="3" t="n"/>
      <c r="L1639" s="3" t="n"/>
      <c r="M1639" s="3" t="n"/>
      <c r="N1639" s="32" t="n"/>
    </row>
    <row r="1640">
      <c r="C1640" s="50" t="n"/>
      <c r="D1640" s="3" t="n"/>
      <c r="E1640" s="3" t="n"/>
      <c r="F1640" s="3" t="n"/>
      <c r="G1640" s="3" t="n"/>
      <c r="H1640" s="3" t="n"/>
      <c r="I1640" s="3" t="n"/>
      <c r="J1640" s="3" t="n"/>
      <c r="K1640" s="3" t="n"/>
      <c r="L1640" s="3" t="n"/>
      <c r="M1640" s="3" t="n"/>
      <c r="N1640" s="32" t="n"/>
    </row>
    <row r="1641">
      <c r="C1641" s="50" t="n"/>
      <c r="D1641" s="3" t="n"/>
      <c r="E1641" s="3" t="n"/>
      <c r="F1641" s="3" t="n"/>
      <c r="G1641" s="3" t="n"/>
      <c r="H1641" s="3" t="n"/>
      <c r="I1641" s="3" t="n"/>
      <c r="J1641" s="3" t="n"/>
      <c r="K1641" s="3" t="n"/>
      <c r="L1641" s="3" t="n"/>
      <c r="M1641" s="3" t="n"/>
      <c r="N1641" s="32" t="n"/>
    </row>
    <row r="1642">
      <c r="C1642" s="50" t="n"/>
      <c r="D1642" s="3" t="n"/>
      <c r="E1642" s="3" t="n"/>
      <c r="F1642" s="3" t="n"/>
      <c r="G1642" s="3" t="n"/>
      <c r="H1642" s="3" t="n"/>
      <c r="I1642" s="3" t="n"/>
      <c r="J1642" s="3" t="n"/>
      <c r="K1642" s="3" t="n"/>
      <c r="L1642" s="3" t="n"/>
      <c r="M1642" s="3" t="n"/>
      <c r="N1642" s="32" t="n"/>
    </row>
    <row r="1643">
      <c r="C1643" s="50" t="n"/>
      <c r="D1643" s="3" t="n"/>
      <c r="E1643" s="3" t="n"/>
      <c r="F1643" s="3" t="n"/>
      <c r="G1643" s="3" t="n"/>
      <c r="H1643" s="3" t="n"/>
      <c r="I1643" s="3" t="n"/>
      <c r="J1643" s="3" t="n"/>
      <c r="K1643" s="3" t="n"/>
      <c r="L1643" s="3" t="n"/>
      <c r="M1643" s="3" t="n"/>
      <c r="N1643" s="32" t="n"/>
    </row>
    <row r="1644">
      <c r="C1644" s="50" t="n"/>
      <c r="D1644" s="3" t="n"/>
      <c r="E1644" s="3" t="n"/>
      <c r="F1644" s="3" t="n"/>
      <c r="G1644" s="3" t="n"/>
      <c r="H1644" s="3" t="n"/>
      <c r="I1644" s="3" t="n"/>
      <c r="J1644" s="3" t="n"/>
      <c r="K1644" s="3" t="n"/>
      <c r="L1644" s="3" t="n"/>
      <c r="M1644" s="3" t="n"/>
      <c r="N1644" s="32" t="n"/>
    </row>
    <row r="1645">
      <c r="C1645" s="50" t="n"/>
      <c r="D1645" s="3" t="n"/>
      <c r="E1645" s="3" t="n"/>
      <c r="F1645" s="3" t="n"/>
      <c r="G1645" s="3" t="n"/>
      <c r="H1645" s="3" t="n"/>
      <c r="I1645" s="3" t="n"/>
      <c r="J1645" s="3" t="n"/>
      <c r="K1645" s="3" t="n"/>
      <c r="L1645" s="3" t="n"/>
      <c r="M1645" s="3" t="n"/>
      <c r="N1645" s="32" t="n"/>
    </row>
    <row r="1646">
      <c r="C1646" s="53">
        <f>"💬 "&amp;IFERROR(IF(LANG="EN",INDEX(I18N_EN,MATCH("col.comment",I18N_KEY,0)),INDEX(I18N_FR,MATCH("col.comment",I18N_KEY,0))),"col.comment")</f>
        <v/>
      </c>
      <c r="D1646" s="5" t="n"/>
      <c r="E1646" s="5" t="n"/>
      <c r="F1646" s="5" t="n"/>
      <c r="G1646" s="5" t="n"/>
      <c r="H1646" s="5" t="n"/>
      <c r="I1646" s="5" t="n"/>
      <c r="J1646" s="5" t="n"/>
      <c r="K1646" s="5" t="n"/>
      <c r="L1646" s="5" t="n"/>
      <c r="M1646" s="5" t="n"/>
      <c r="N1646" s="54" t="n"/>
      <c r="O1646" s="5" t="n"/>
    </row>
    <row r="1647">
      <c r="C1647" s="55">
        <f>IF(LANG="EN","Commentary / data source: management systems (demo).","Commentaire / source : systèmes de gestion (démo).")</f>
        <v/>
      </c>
      <c r="D1647" s="56" t="n"/>
      <c r="E1647" s="56" t="n"/>
      <c r="F1647" s="56" t="n"/>
      <c r="G1647" s="56" t="n"/>
      <c r="H1647" s="56" t="n"/>
      <c r="I1647" s="56" t="n"/>
      <c r="J1647" s="56" t="n"/>
      <c r="K1647" s="56" t="n"/>
      <c r="L1647" s="56" t="n"/>
      <c r="M1647" s="56" t="n"/>
      <c r="N1647" s="56" t="n"/>
      <c r="O1647" s="57" t="n"/>
    </row>
    <row r="1648">
      <c r="C1648" s="50" t="n"/>
      <c r="D1648" s="3" t="n"/>
      <c r="E1648" s="3" t="n"/>
      <c r="F1648" s="3" t="n"/>
      <c r="G1648" s="3" t="n"/>
      <c r="H1648" s="3" t="n"/>
      <c r="I1648" s="3" t="n"/>
      <c r="J1648" s="3" t="n"/>
      <c r="K1648" s="3" t="n"/>
      <c r="L1648" s="3" t="n"/>
      <c r="M1648" s="3" t="n"/>
      <c r="N1648" s="32" t="n"/>
    </row>
    <row r="1649">
      <c r="C1649" s="58" t="n"/>
      <c r="D1649" s="58" t="n"/>
      <c r="E1649" s="58" t="n"/>
      <c r="F1649" s="58" t="n"/>
      <c r="G1649" s="58" t="n"/>
      <c r="H1649" s="58" t="n"/>
      <c r="I1649" s="58" t="n"/>
      <c r="J1649" s="58" t="n"/>
      <c r="K1649" s="58" t="n"/>
      <c r="L1649" s="58" t="n"/>
      <c r="M1649" s="58" t="n"/>
      <c r="N1649" s="58" t="n"/>
      <c r="O1649" s="59" t="n"/>
    </row>
    <row r="1650">
      <c r="C1650" s="60" t="n"/>
      <c r="D1650" s="36" t="n"/>
      <c r="E1650" s="36" t="n"/>
      <c r="F1650" s="36" t="n"/>
      <c r="G1650" s="36" t="n"/>
      <c r="H1650" s="36" t="n"/>
      <c r="I1650" s="36" t="n"/>
      <c r="J1650" s="36" t="n"/>
      <c r="K1650" s="36" t="n"/>
      <c r="L1650" s="36" t="n"/>
      <c r="M1650" s="36" t="n"/>
      <c r="N1650" s="22" t="n"/>
    </row>
    <row r="1651">
      <c r="C1651" s="3" t="n"/>
      <c r="D1651" s="3" t="n"/>
      <c r="E1651" s="3" t="n"/>
      <c r="F1651" s="3" t="n"/>
      <c r="G1651" s="3" t="n"/>
      <c r="H1651" s="3" t="n"/>
      <c r="I1651" s="3" t="n"/>
      <c r="J1651" s="3" t="n"/>
      <c r="K1651" s="3" t="n"/>
      <c r="L1651" s="3" t="n"/>
      <c r="M1651" s="3" t="n"/>
      <c r="N1651" s="3" t="n"/>
    </row>
    <row r="1652" ht="19" customHeight="1">
      <c r="C1652" s="46">
        <f>"▸  9.2.3  "&amp;IF(LANG="EN","Generator Fuel Consumption","Analyse conso carburant (groupe)")</f>
        <v/>
      </c>
      <c r="D1652" s="47" t="n"/>
      <c r="E1652" s="47" t="n"/>
      <c r="F1652" s="47" t="n"/>
      <c r="G1652" s="47" t="n"/>
      <c r="H1652" s="47" t="n"/>
      <c r="I1652" s="47" t="n"/>
      <c r="J1652" s="47" t="n"/>
      <c r="K1652" s="47" t="n"/>
      <c r="L1652" s="47" t="n"/>
      <c r="M1652" s="47" t="n"/>
      <c r="N1652" s="48" t="n"/>
      <c r="O1652" s="1" t="n"/>
    </row>
    <row r="1653">
      <c r="C1653" s="80" t="inlineStr">
        <is>
          <t>Mois / Month</t>
        </is>
      </c>
      <c r="D1653" s="62" t="inlineStr">
        <is>
          <t>Conso (L)</t>
        </is>
      </c>
      <c r="E1653" s="62" t="inlineStr">
        <is>
          <t>Coût / Cost</t>
        </is>
      </c>
      <c r="F1653" s="62" t="inlineStr">
        <is>
          <t>Heures groupe / Genset hrs</t>
        </is>
      </c>
      <c r="G1653" s="3" t="n"/>
      <c r="H1653" s="3" t="n"/>
      <c r="I1653" s="3" t="n"/>
      <c r="J1653" s="3" t="n"/>
      <c r="K1653" s="3" t="n"/>
      <c r="L1653" s="3" t="n"/>
      <c r="M1653" s="3" t="n"/>
      <c r="N1653" s="32" t="n"/>
    </row>
    <row r="1654">
      <c r="C1654" s="82" t="inlineStr">
        <is>
          <t>2026-01</t>
        </is>
      </c>
      <c r="D1654" s="83" t="n">
        <v>4200</v>
      </c>
      <c r="E1654" s="83" t="n">
        <v>5040000</v>
      </c>
      <c r="F1654" s="83" t="n">
        <v>38</v>
      </c>
      <c r="G1654" s="3" t="n"/>
      <c r="H1654" s="3" t="n"/>
      <c r="I1654" s="3" t="n"/>
      <c r="J1654" s="3" t="n"/>
      <c r="K1654" s="3" t="n"/>
      <c r="L1654" s="3" t="n"/>
      <c r="M1654" s="3" t="n"/>
      <c r="N1654" s="32" t="n"/>
    </row>
    <row r="1655">
      <c r="C1655" s="82" t="inlineStr">
        <is>
          <t>2026-02</t>
        </is>
      </c>
      <c r="D1655" s="83" t="n">
        <v>3900</v>
      </c>
      <c r="E1655" s="83" t="n">
        <v>4680000</v>
      </c>
      <c r="F1655" s="83" t="n">
        <v>34</v>
      </c>
      <c r="G1655" s="3" t="n"/>
      <c r="H1655" s="3" t="n"/>
      <c r="I1655" s="3" t="n"/>
      <c r="J1655" s="3" t="n"/>
      <c r="K1655" s="3" t="n"/>
      <c r="L1655" s="3" t="n"/>
      <c r="M1655" s="3" t="n"/>
      <c r="N1655" s="32" t="n"/>
    </row>
    <row r="1656">
      <c r="C1656" s="82" t="inlineStr">
        <is>
          <t>2026-03</t>
        </is>
      </c>
      <c r="D1656" s="83" t="n">
        <v>4800</v>
      </c>
      <c r="E1656" s="83" t="n">
        <v>5760000</v>
      </c>
      <c r="F1656" s="83" t="n">
        <v>46</v>
      </c>
      <c r="G1656" s="3" t="n"/>
      <c r="H1656" s="3" t="n"/>
      <c r="I1656" s="3" t="n"/>
      <c r="J1656" s="3" t="n"/>
      <c r="K1656" s="3" t="n"/>
      <c r="L1656" s="3" t="n"/>
      <c r="M1656" s="3" t="n"/>
      <c r="N1656" s="32" t="n"/>
    </row>
    <row r="1657">
      <c r="C1657" s="82" t="inlineStr">
        <is>
          <t>2026-04</t>
        </is>
      </c>
      <c r="D1657" s="83" t="n">
        <v>4500</v>
      </c>
      <c r="E1657" s="83" t="n">
        <v>5400000</v>
      </c>
      <c r="F1657" s="83" t="n">
        <v>41</v>
      </c>
      <c r="G1657" s="3" t="n"/>
      <c r="H1657" s="3" t="n"/>
      <c r="I1657" s="3" t="n"/>
      <c r="J1657" s="3" t="n"/>
      <c r="K1657" s="3" t="n"/>
      <c r="L1657" s="3" t="n"/>
      <c r="M1657" s="3" t="n"/>
      <c r="N1657" s="32" t="n"/>
    </row>
    <row r="1658">
      <c r="C1658" s="82" t="inlineStr">
        <is>
          <t>2026-05</t>
        </is>
      </c>
      <c r="D1658" s="83" t="n">
        <v>5200</v>
      </c>
      <c r="E1658" s="83" t="n">
        <v>6240000</v>
      </c>
      <c r="F1658" s="83" t="n">
        <v>52</v>
      </c>
      <c r="G1658" s="3" t="n"/>
      <c r="H1658" s="3" t="n"/>
      <c r="I1658" s="3" t="n"/>
      <c r="J1658" s="3" t="n"/>
      <c r="K1658" s="3" t="n"/>
      <c r="L1658" s="3" t="n"/>
      <c r="M1658" s="3" t="n"/>
      <c r="N1658" s="32" t="n"/>
    </row>
    <row r="1659">
      <c r="C1659" s="82" t="inlineStr">
        <is>
          <t>2026-06</t>
        </is>
      </c>
      <c r="D1659" s="83" t="n">
        <v>4600</v>
      </c>
      <c r="E1659" s="83" t="n">
        <v>5520000</v>
      </c>
      <c r="F1659" s="83" t="n">
        <v>44</v>
      </c>
      <c r="G1659" s="3" t="n"/>
      <c r="H1659" s="3" t="n"/>
      <c r="I1659" s="3" t="n"/>
      <c r="J1659" s="3" t="n"/>
      <c r="K1659" s="3" t="n"/>
      <c r="L1659" s="3" t="n"/>
      <c r="M1659" s="3" t="n"/>
      <c r="N1659" s="32" t="n"/>
    </row>
    <row r="1660">
      <c r="C1660" s="50" t="n"/>
      <c r="D1660" s="3" t="n"/>
      <c r="E1660" s="3" t="n"/>
      <c r="F1660" s="3" t="n"/>
      <c r="G1660" s="3" t="n"/>
      <c r="H1660" s="3" t="n"/>
      <c r="I1660" s="3" t="n"/>
      <c r="J1660" s="3" t="n"/>
      <c r="K1660" s="3" t="n"/>
      <c r="L1660" s="3" t="n"/>
      <c r="M1660" s="3" t="n"/>
      <c r="N1660" s="32" t="n"/>
    </row>
    <row r="1661">
      <c r="C1661" s="50" t="n"/>
      <c r="D1661" s="3" t="n"/>
      <c r="E1661" s="3" t="n"/>
      <c r="F1661" s="3" t="n"/>
      <c r="G1661" s="3" t="n"/>
      <c r="H1661" s="3" t="n"/>
      <c r="I1661" s="3" t="n"/>
      <c r="J1661" s="3" t="n"/>
      <c r="K1661" s="3" t="n"/>
      <c r="L1661" s="3" t="n"/>
      <c r="M1661" s="3" t="n"/>
      <c r="N1661" s="32" t="n"/>
    </row>
    <row r="1662">
      <c r="C1662" s="50" t="n"/>
      <c r="D1662" s="3" t="n"/>
      <c r="E1662" s="3" t="n"/>
      <c r="F1662" s="3" t="n"/>
      <c r="G1662" s="3" t="n"/>
      <c r="H1662" s="3" t="n"/>
      <c r="I1662" s="3" t="n"/>
      <c r="J1662" s="3" t="n"/>
      <c r="K1662" s="3" t="n"/>
      <c r="L1662" s="3" t="n"/>
      <c r="M1662" s="3" t="n"/>
      <c r="N1662" s="32" t="n"/>
    </row>
    <row r="1663">
      <c r="C1663" s="50" t="n"/>
      <c r="D1663" s="3" t="n"/>
      <c r="E1663" s="3" t="n"/>
      <c r="F1663" s="3" t="n"/>
      <c r="G1663" s="3" t="n"/>
      <c r="H1663" s="3" t="n"/>
      <c r="I1663" s="3" t="n"/>
      <c r="J1663" s="3" t="n"/>
      <c r="K1663" s="3" t="n"/>
      <c r="L1663" s="3" t="n"/>
      <c r="M1663" s="3" t="n"/>
      <c r="N1663" s="32" t="n"/>
    </row>
    <row r="1664">
      <c r="C1664" s="50" t="n"/>
      <c r="D1664" s="3" t="n"/>
      <c r="E1664" s="3" t="n"/>
      <c r="F1664" s="3" t="n"/>
      <c r="G1664" s="3" t="n"/>
      <c r="H1664" s="3" t="n"/>
      <c r="I1664" s="3" t="n"/>
      <c r="J1664" s="3" t="n"/>
      <c r="K1664" s="3" t="n"/>
      <c r="L1664" s="3" t="n"/>
      <c r="M1664" s="3" t="n"/>
      <c r="N1664" s="32" t="n"/>
    </row>
    <row r="1665">
      <c r="C1665" s="50" t="n"/>
      <c r="D1665" s="3" t="n"/>
      <c r="E1665" s="3" t="n"/>
      <c r="F1665" s="3" t="n"/>
      <c r="G1665" s="3" t="n"/>
      <c r="H1665" s="3" t="n"/>
      <c r="I1665" s="3" t="n"/>
      <c r="J1665" s="3" t="n"/>
      <c r="K1665" s="3" t="n"/>
      <c r="L1665" s="3" t="n"/>
      <c r="M1665" s="3" t="n"/>
      <c r="N1665" s="32" t="n"/>
    </row>
    <row r="1666">
      <c r="C1666" s="50" t="n"/>
      <c r="D1666" s="3" t="n"/>
      <c r="E1666" s="3" t="n"/>
      <c r="F1666" s="3" t="n"/>
      <c r="G1666" s="3" t="n"/>
      <c r="H1666" s="3" t="n"/>
      <c r="I1666" s="3" t="n"/>
      <c r="J1666" s="3" t="n"/>
      <c r="K1666" s="3" t="n"/>
      <c r="L1666" s="3" t="n"/>
      <c r="M1666" s="3" t="n"/>
      <c r="N1666" s="32" t="n"/>
    </row>
    <row r="1667">
      <c r="C1667" s="50" t="n"/>
      <c r="D1667" s="3" t="n"/>
      <c r="E1667" s="3" t="n"/>
      <c r="F1667" s="3" t="n"/>
      <c r="G1667" s="3" t="n"/>
      <c r="H1667" s="3" t="n"/>
      <c r="I1667" s="3" t="n"/>
      <c r="J1667" s="3" t="n"/>
      <c r="K1667" s="3" t="n"/>
      <c r="L1667" s="3" t="n"/>
      <c r="M1667" s="3" t="n"/>
      <c r="N1667" s="32" t="n"/>
    </row>
    <row r="1668">
      <c r="C1668" s="53">
        <f>"💬 "&amp;IFERROR(IF(LANG="EN",INDEX(I18N_EN,MATCH("col.comment",I18N_KEY,0)),INDEX(I18N_FR,MATCH("col.comment",I18N_KEY,0))),"col.comment")</f>
        <v/>
      </c>
      <c r="D1668" s="5" t="n"/>
      <c r="E1668" s="5" t="n"/>
      <c r="F1668" s="5" t="n"/>
      <c r="G1668" s="5" t="n"/>
      <c r="H1668" s="5" t="n"/>
      <c r="I1668" s="5" t="n"/>
      <c r="J1668" s="5" t="n"/>
      <c r="K1668" s="5" t="n"/>
      <c r="L1668" s="5" t="n"/>
      <c r="M1668" s="5" t="n"/>
      <c r="N1668" s="54" t="n"/>
      <c r="O1668" s="5" t="n"/>
    </row>
    <row r="1669">
      <c r="C1669" s="55">
        <f>IF(LANG="EN","Commentary / data source: management systems (demo).","Commentaire / source : systèmes de gestion (démo).")</f>
        <v/>
      </c>
      <c r="D1669" s="56" t="n"/>
      <c r="E1669" s="56" t="n"/>
      <c r="F1669" s="56" t="n"/>
      <c r="G1669" s="56" t="n"/>
      <c r="H1669" s="56" t="n"/>
      <c r="I1669" s="56" t="n"/>
      <c r="J1669" s="56" t="n"/>
      <c r="K1669" s="56" t="n"/>
      <c r="L1669" s="56" t="n"/>
      <c r="M1669" s="56" t="n"/>
      <c r="N1669" s="56" t="n"/>
      <c r="O1669" s="57" t="n"/>
    </row>
    <row r="1670">
      <c r="C1670" s="50" t="n"/>
      <c r="D1670" s="3" t="n"/>
      <c r="E1670" s="3" t="n"/>
      <c r="F1670" s="3" t="n"/>
      <c r="G1670" s="3" t="n"/>
      <c r="H1670" s="3" t="n"/>
      <c r="I1670" s="3" t="n"/>
      <c r="J1670" s="3" t="n"/>
      <c r="K1670" s="3" t="n"/>
      <c r="L1670" s="3" t="n"/>
      <c r="M1670" s="3" t="n"/>
      <c r="N1670" s="32" t="n"/>
    </row>
    <row r="1671">
      <c r="C1671" s="58" t="n"/>
      <c r="D1671" s="58" t="n"/>
      <c r="E1671" s="58" t="n"/>
      <c r="F1671" s="58" t="n"/>
      <c r="G1671" s="58" t="n"/>
      <c r="H1671" s="58" t="n"/>
      <c r="I1671" s="58" t="n"/>
      <c r="J1671" s="58" t="n"/>
      <c r="K1671" s="58" t="n"/>
      <c r="L1671" s="58" t="n"/>
      <c r="M1671" s="58" t="n"/>
      <c r="N1671" s="58" t="n"/>
      <c r="O1671" s="59" t="n"/>
    </row>
    <row r="1672">
      <c r="C1672" s="60" t="n"/>
      <c r="D1672" s="36" t="n"/>
      <c r="E1672" s="36" t="n"/>
      <c r="F1672" s="36" t="n"/>
      <c r="G1672" s="36" t="n"/>
      <c r="H1672" s="36" t="n"/>
      <c r="I1672" s="36" t="n"/>
      <c r="J1672" s="36" t="n"/>
      <c r="K1672" s="36" t="n"/>
      <c r="L1672" s="36" t="n"/>
      <c r="M1672" s="36" t="n"/>
      <c r="N1672" s="22" t="n"/>
    </row>
    <row r="1673">
      <c r="C1673" s="3" t="n"/>
      <c r="D1673" s="3" t="n"/>
      <c r="E1673" s="3" t="n"/>
      <c r="F1673" s="3" t="n"/>
      <c r="G1673" s="3" t="n"/>
      <c r="H1673" s="3" t="n"/>
      <c r="I1673" s="3" t="n"/>
      <c r="J1673" s="3" t="n"/>
      <c r="K1673" s="3" t="n"/>
      <c r="L1673" s="3" t="n"/>
      <c r="M1673" s="3" t="n"/>
      <c r="N1673" s="3" t="n"/>
    </row>
    <row r="1674" ht="19" customHeight="1">
      <c r="C1674" s="46">
        <f>"▸  9.2.4  "&amp;IF(LANG="EN","Preventive Maintenance Schedule","Plan de maintenance préventive")</f>
        <v/>
      </c>
      <c r="D1674" s="47" t="n"/>
      <c r="E1674" s="47" t="n"/>
      <c r="F1674" s="47" t="n"/>
      <c r="G1674" s="47" t="n"/>
      <c r="H1674" s="47" t="n"/>
      <c r="I1674" s="47" t="n"/>
      <c r="J1674" s="47" t="n"/>
      <c r="K1674" s="47" t="n"/>
      <c r="L1674" s="47" t="n"/>
      <c r="M1674" s="47" t="n"/>
      <c r="N1674" s="48" t="n"/>
      <c r="O1674" s="1" t="n"/>
    </row>
    <row r="1675">
      <c r="C1675" s="80" t="inlineStr">
        <is>
          <t>Équipement / Equipment</t>
        </is>
      </c>
      <c r="D1675" s="81" t="inlineStr">
        <is>
          <t>Fréquence / Frequency</t>
        </is>
      </c>
      <c r="E1675" s="81" t="inlineStr">
        <is>
          <t>Prochaine / Next</t>
        </is>
      </c>
      <c r="F1675" s="81" t="inlineStr">
        <is>
          <t>Statut / Status</t>
        </is>
      </c>
      <c r="G1675" s="3" t="n"/>
      <c r="H1675" s="3" t="n"/>
      <c r="I1675" s="3" t="n"/>
      <c r="J1675" s="3" t="n"/>
      <c r="K1675" s="3" t="n"/>
      <c r="L1675" s="3" t="n"/>
      <c r="M1675" s="3" t="n"/>
      <c r="N1675" s="32" t="n"/>
    </row>
    <row r="1676">
      <c r="C1676" s="82" t="inlineStr">
        <is>
          <t>CVC / HVAC</t>
        </is>
      </c>
      <c r="D1676" s="84" t="inlineStr">
        <is>
          <t>Mensuelle / Monthly</t>
        </is>
      </c>
      <c r="E1676" s="84" t="inlineStr">
        <is>
          <t>2026-07-05</t>
        </is>
      </c>
      <c r="F1676" s="84" t="inlineStr">
        <is>
          <t>À jour / Up to date</t>
        </is>
      </c>
      <c r="G1676" s="3" t="n"/>
      <c r="H1676" s="3" t="n"/>
      <c r="I1676" s="3" t="n"/>
      <c r="J1676" s="3" t="n"/>
      <c r="K1676" s="3" t="n"/>
      <c r="L1676" s="3" t="n"/>
      <c r="M1676" s="3" t="n"/>
      <c r="N1676" s="32" t="n"/>
    </row>
    <row r="1677">
      <c r="C1677" s="82" t="inlineStr">
        <is>
          <t>Ascenseurs / Lifts</t>
        </is>
      </c>
      <c r="D1677" s="84" t="inlineStr">
        <is>
          <t>Mensuelle / Monthly</t>
        </is>
      </c>
      <c r="E1677" s="84" t="inlineStr">
        <is>
          <t>2026-07-08</t>
        </is>
      </c>
      <c r="F1677" s="84" t="inlineStr">
        <is>
          <t>À jour / Up to date</t>
        </is>
      </c>
      <c r="G1677" s="3" t="n"/>
      <c r="H1677" s="3" t="n"/>
      <c r="I1677" s="3" t="n"/>
      <c r="J1677" s="3" t="n"/>
      <c r="K1677" s="3" t="n"/>
      <c r="L1677" s="3" t="n"/>
      <c r="M1677" s="3" t="n"/>
      <c r="N1677" s="32" t="n"/>
    </row>
    <row r="1678">
      <c r="C1678" s="82" t="inlineStr">
        <is>
          <t>Groupe électrogène / Genset</t>
        </is>
      </c>
      <c r="D1678" s="84" t="inlineStr">
        <is>
          <t>Trimestrielle / Quarterly</t>
        </is>
      </c>
      <c r="E1678" s="84" t="inlineStr">
        <is>
          <t>2026-09-01</t>
        </is>
      </c>
      <c r="F1678" s="84" t="inlineStr">
        <is>
          <t>Planifié / Planned</t>
        </is>
      </c>
      <c r="G1678" s="3" t="n"/>
      <c r="H1678" s="3" t="n"/>
      <c r="I1678" s="3" t="n"/>
      <c r="J1678" s="3" t="n"/>
      <c r="K1678" s="3" t="n"/>
      <c r="L1678" s="3" t="n"/>
      <c r="M1678" s="3" t="n"/>
      <c r="N1678" s="32" t="n"/>
    </row>
    <row r="1679">
      <c r="C1679" s="82" t="inlineStr">
        <is>
          <t>Incendie / Fire system</t>
        </is>
      </c>
      <c r="D1679" s="84" t="inlineStr">
        <is>
          <t>Trimestrielle / Quarterly</t>
        </is>
      </c>
      <c r="E1679" s="84" t="inlineStr">
        <is>
          <t>2026-08-15</t>
        </is>
      </c>
      <c r="F1679" s="84" t="inlineStr">
        <is>
          <t>Planifié / Planned</t>
        </is>
      </c>
      <c r="G1679" s="3" t="n"/>
      <c r="H1679" s="3" t="n"/>
      <c r="I1679" s="3" t="n"/>
      <c r="J1679" s="3" t="n"/>
      <c r="K1679" s="3" t="n"/>
      <c r="L1679" s="3" t="n"/>
      <c r="M1679" s="3" t="n"/>
      <c r="N1679" s="32" t="n"/>
    </row>
    <row r="1680">
      <c r="C1680" s="50" t="n"/>
      <c r="D1680" s="3" t="n"/>
      <c r="E1680" s="3" t="n"/>
      <c r="F1680" s="3" t="n"/>
      <c r="G1680" s="3" t="n"/>
      <c r="H1680" s="3" t="n"/>
      <c r="I1680" s="3" t="n"/>
      <c r="J1680" s="3" t="n"/>
      <c r="K1680" s="3" t="n"/>
      <c r="L1680" s="3" t="n"/>
      <c r="M1680" s="3" t="n"/>
      <c r="N1680" s="32" t="n"/>
    </row>
    <row r="1681">
      <c r="C1681" s="53">
        <f>"💬 "&amp;IFERROR(IF(LANG="EN",INDEX(I18N_EN,MATCH("col.comment",I18N_KEY,0)),INDEX(I18N_FR,MATCH("col.comment",I18N_KEY,0))),"col.comment")</f>
        <v/>
      </c>
      <c r="D1681" s="5" t="n"/>
      <c r="E1681" s="5" t="n"/>
      <c r="F1681" s="5" t="n"/>
      <c r="G1681" s="5" t="n"/>
      <c r="H1681" s="5" t="n"/>
      <c r="I1681" s="5" t="n"/>
      <c r="J1681" s="5" t="n"/>
      <c r="K1681" s="5" t="n"/>
      <c r="L1681" s="5" t="n"/>
      <c r="M1681" s="5" t="n"/>
      <c r="N1681" s="54" t="n"/>
      <c r="O1681" s="5" t="n"/>
    </row>
    <row r="1682">
      <c r="C1682" s="55">
        <f>IF(LANG="EN","Commentary / data source: management systems (demo).","Commentaire / source : systèmes de gestion (démo).")</f>
        <v/>
      </c>
      <c r="D1682" s="56" t="n"/>
      <c r="E1682" s="56" t="n"/>
      <c r="F1682" s="56" t="n"/>
      <c r="G1682" s="56" t="n"/>
      <c r="H1682" s="56" t="n"/>
      <c r="I1682" s="56" t="n"/>
      <c r="J1682" s="56" t="n"/>
      <c r="K1682" s="56" t="n"/>
      <c r="L1682" s="56" t="n"/>
      <c r="M1682" s="56" t="n"/>
      <c r="N1682" s="56" t="n"/>
      <c r="O1682" s="57" t="n"/>
    </row>
    <row r="1683">
      <c r="C1683" s="50" t="n"/>
      <c r="D1683" s="3" t="n"/>
      <c r="E1683" s="3" t="n"/>
      <c r="F1683" s="3" t="n"/>
      <c r="G1683" s="3" t="n"/>
      <c r="H1683" s="3" t="n"/>
      <c r="I1683" s="3" t="n"/>
      <c r="J1683" s="3" t="n"/>
      <c r="K1683" s="3" t="n"/>
      <c r="L1683" s="3" t="n"/>
      <c r="M1683" s="3" t="n"/>
      <c r="N1683" s="32" t="n"/>
    </row>
    <row r="1684">
      <c r="C1684" s="58" t="n"/>
      <c r="D1684" s="58" t="n"/>
      <c r="E1684" s="58" t="n"/>
      <c r="F1684" s="58" t="n"/>
      <c r="G1684" s="58" t="n"/>
      <c r="H1684" s="58" t="n"/>
      <c r="I1684" s="58" t="n"/>
      <c r="J1684" s="58" t="n"/>
      <c r="K1684" s="58" t="n"/>
      <c r="L1684" s="58" t="n"/>
      <c r="M1684" s="58" t="n"/>
      <c r="N1684" s="58" t="n"/>
      <c r="O1684" s="59" t="n"/>
    </row>
    <row r="1685">
      <c r="C1685" s="60" t="n"/>
      <c r="D1685" s="36" t="n"/>
      <c r="E1685" s="36" t="n"/>
      <c r="F1685" s="36" t="n"/>
      <c r="G1685" s="36" t="n"/>
      <c r="H1685" s="36" t="n"/>
      <c r="I1685" s="36" t="n"/>
      <c r="J1685" s="36" t="n"/>
      <c r="K1685" s="36" t="n"/>
      <c r="L1685" s="36" t="n"/>
      <c r="M1685" s="36" t="n"/>
      <c r="N1685" s="22" t="n"/>
    </row>
    <row r="1686">
      <c r="C1686" s="3" t="n"/>
      <c r="D1686" s="3" t="n"/>
      <c r="E1686" s="3" t="n"/>
      <c r="F1686" s="3" t="n"/>
      <c r="G1686" s="3" t="n"/>
      <c r="H1686" s="3" t="n"/>
      <c r="I1686" s="3" t="n"/>
      <c r="J1686" s="3" t="n"/>
      <c r="K1686" s="3" t="n"/>
      <c r="L1686" s="3" t="n"/>
      <c r="M1686" s="3" t="n"/>
      <c r="N1686" s="3" t="n"/>
    </row>
    <row r="1687" ht="19" customHeight="1">
      <c r="C1687" s="46">
        <f>"▸  9.2.5  "&amp;IF(LANG="EN","Maintenance History","Historique de maintenance")</f>
        <v/>
      </c>
      <c r="D1687" s="47" t="n"/>
      <c r="E1687" s="47" t="n"/>
      <c r="F1687" s="47" t="n"/>
      <c r="G1687" s="47" t="n"/>
      <c r="H1687" s="47" t="n"/>
      <c r="I1687" s="47" t="n"/>
      <c r="J1687" s="47" t="n"/>
      <c r="K1687" s="47" t="n"/>
      <c r="L1687" s="47" t="n"/>
      <c r="M1687" s="47" t="n"/>
      <c r="N1687" s="48" t="n"/>
      <c r="O1687" s="1" t="n"/>
    </row>
    <row r="1688">
      <c r="C1688" s="80" t="inlineStr">
        <is>
          <t>Date</t>
        </is>
      </c>
      <c r="D1688" s="81" t="inlineStr">
        <is>
          <t>Équipement / Equipment</t>
        </is>
      </c>
      <c r="E1688" s="81" t="inlineStr">
        <is>
          <t>Intervention</t>
        </is>
      </c>
      <c r="F1688" s="62" t="inlineStr">
        <is>
          <t>Coût / Cost</t>
        </is>
      </c>
      <c r="G1688" s="3" t="n"/>
      <c r="H1688" s="3" t="n"/>
      <c r="I1688" s="3" t="n"/>
      <c r="J1688" s="3" t="n"/>
      <c r="K1688" s="3" t="n"/>
      <c r="L1688" s="3" t="n"/>
      <c r="M1688" s="3" t="n"/>
      <c r="N1688" s="32" t="n"/>
    </row>
    <row r="1689">
      <c r="C1689" s="82" t="inlineStr">
        <is>
          <t>2026-06-04</t>
        </is>
      </c>
      <c r="D1689" s="84" t="inlineStr">
        <is>
          <t>CVC / HVAC</t>
        </is>
      </c>
      <c r="E1689" s="84" t="inlineStr">
        <is>
          <t>Remplacement filtre / Filter</t>
        </is>
      </c>
      <c r="F1689" s="83" t="n">
        <v>850000</v>
      </c>
      <c r="G1689" s="3" t="n"/>
      <c r="H1689" s="3" t="n"/>
      <c r="I1689" s="3" t="n"/>
      <c r="J1689" s="3" t="n"/>
      <c r="K1689" s="3" t="n"/>
      <c r="L1689" s="3" t="n"/>
      <c r="M1689" s="3" t="n"/>
      <c r="N1689" s="32" t="n"/>
    </row>
    <row r="1690">
      <c r="C1690" s="82" t="inlineStr">
        <is>
          <t>2026-06-11</t>
        </is>
      </c>
      <c r="D1690" s="84" t="inlineStr">
        <is>
          <t>Ascenseur 2 / Lift 2</t>
        </is>
      </c>
      <c r="E1690" s="84" t="inlineStr">
        <is>
          <t>Réparation porte / Door</t>
        </is>
      </c>
      <c r="F1690" s="83" t="n">
        <v>1200000</v>
      </c>
      <c r="G1690" s="3" t="n"/>
      <c r="H1690" s="3" t="n"/>
      <c r="I1690" s="3" t="n"/>
      <c r="J1690" s="3" t="n"/>
      <c r="K1690" s="3" t="n"/>
      <c r="L1690" s="3" t="n"/>
      <c r="M1690" s="3" t="n"/>
      <c r="N1690" s="32" t="n"/>
    </row>
    <row r="1691">
      <c r="C1691" s="82" t="inlineStr">
        <is>
          <t>2026-06-19</t>
        </is>
      </c>
      <c r="D1691" s="84" t="inlineStr">
        <is>
          <t>Plomberie / Plumbing</t>
        </is>
      </c>
      <c r="E1691" s="84" t="inlineStr">
        <is>
          <t>Fuite RDC / Leak</t>
        </is>
      </c>
      <c r="F1691" s="83" t="n">
        <v>420000</v>
      </c>
      <c r="G1691" s="3" t="n"/>
      <c r="H1691" s="3" t="n"/>
      <c r="I1691" s="3" t="n"/>
      <c r="J1691" s="3" t="n"/>
      <c r="K1691" s="3" t="n"/>
      <c r="L1691" s="3" t="n"/>
      <c r="M1691" s="3" t="n"/>
      <c r="N1691" s="32" t="n"/>
    </row>
    <row r="1692">
      <c r="C1692" s="82" t="inlineStr">
        <is>
          <t>2026-06-27</t>
        </is>
      </c>
      <c r="D1692" s="84" t="inlineStr">
        <is>
          <t>Électricité / Electrical</t>
        </is>
      </c>
      <c r="E1692" s="84" t="inlineStr">
        <is>
          <t>Tableau / Switchboard</t>
        </is>
      </c>
      <c r="F1692" s="83" t="n">
        <v>680000</v>
      </c>
      <c r="G1692" s="3" t="n"/>
      <c r="H1692" s="3" t="n"/>
      <c r="I1692" s="3" t="n"/>
      <c r="J1692" s="3" t="n"/>
      <c r="K1692" s="3" t="n"/>
      <c r="L1692" s="3" t="n"/>
      <c r="M1692" s="3" t="n"/>
      <c r="N1692" s="32" t="n"/>
    </row>
    <row r="1693">
      <c r="C1693" s="50" t="n"/>
      <c r="D1693" s="3" t="n"/>
      <c r="E1693" s="3" t="n"/>
      <c r="F1693" s="3" t="n"/>
      <c r="G1693" s="3" t="n"/>
      <c r="H1693" s="3" t="n"/>
      <c r="I1693" s="3" t="n"/>
      <c r="J1693" s="3" t="n"/>
      <c r="K1693" s="3" t="n"/>
      <c r="L1693" s="3" t="n"/>
      <c r="M1693" s="3" t="n"/>
      <c r="N1693" s="32" t="n"/>
    </row>
    <row r="1694">
      <c r="C1694" s="50" t="n"/>
      <c r="D1694" s="3" t="n"/>
      <c r="E1694" s="3" t="n"/>
      <c r="F1694" s="3" t="n"/>
      <c r="G1694" s="3" t="n"/>
      <c r="H1694" s="3" t="n"/>
      <c r="I1694" s="3" t="n"/>
      <c r="J1694" s="3" t="n"/>
      <c r="K1694" s="3" t="n"/>
      <c r="L1694" s="3" t="n"/>
      <c r="M1694" s="3" t="n"/>
      <c r="N1694" s="32" t="n"/>
    </row>
    <row r="1695">
      <c r="C1695" s="50" t="n"/>
      <c r="D1695" s="3" t="n"/>
      <c r="E1695" s="3" t="n"/>
      <c r="F1695" s="3" t="n"/>
      <c r="G1695" s="3" t="n"/>
      <c r="H1695" s="3" t="n"/>
      <c r="I1695" s="3" t="n"/>
      <c r="J1695" s="3" t="n"/>
      <c r="K1695" s="3" t="n"/>
      <c r="L1695" s="3" t="n"/>
      <c r="M1695" s="3" t="n"/>
      <c r="N1695" s="32" t="n"/>
    </row>
    <row r="1696">
      <c r="C1696" s="50" t="n"/>
      <c r="D1696" s="3" t="n"/>
      <c r="E1696" s="3" t="n"/>
      <c r="F1696" s="3" t="n"/>
      <c r="G1696" s="3" t="n"/>
      <c r="H1696" s="3" t="n"/>
      <c r="I1696" s="3" t="n"/>
      <c r="J1696" s="3" t="n"/>
      <c r="K1696" s="3" t="n"/>
      <c r="L1696" s="3" t="n"/>
      <c r="M1696" s="3" t="n"/>
      <c r="N1696" s="32" t="n"/>
    </row>
    <row r="1697">
      <c r="C1697" s="50" t="n"/>
      <c r="D1697" s="3" t="n"/>
      <c r="E1697" s="3" t="n"/>
      <c r="F1697" s="3" t="n"/>
      <c r="G1697" s="3" t="n"/>
      <c r="H1697" s="3" t="n"/>
      <c r="I1697" s="3" t="n"/>
      <c r="J1697" s="3" t="n"/>
      <c r="K1697" s="3" t="n"/>
      <c r="L1697" s="3" t="n"/>
      <c r="M1697" s="3" t="n"/>
      <c r="N1697" s="32" t="n"/>
    </row>
    <row r="1698">
      <c r="C1698" s="50" t="n"/>
      <c r="D1698" s="3" t="n"/>
      <c r="E1698" s="3" t="n"/>
      <c r="F1698" s="3" t="n"/>
      <c r="G1698" s="3" t="n"/>
      <c r="H1698" s="3" t="n"/>
      <c r="I1698" s="3" t="n"/>
      <c r="J1698" s="3" t="n"/>
      <c r="K1698" s="3" t="n"/>
      <c r="L1698" s="3" t="n"/>
      <c r="M1698" s="3" t="n"/>
      <c r="N1698" s="32" t="n"/>
    </row>
    <row r="1699">
      <c r="C1699" s="50" t="n"/>
      <c r="D1699" s="3" t="n"/>
      <c r="E1699" s="3" t="n"/>
      <c r="F1699" s="3" t="n"/>
      <c r="G1699" s="3" t="n"/>
      <c r="H1699" s="3" t="n"/>
      <c r="I1699" s="3" t="n"/>
      <c r="J1699" s="3" t="n"/>
      <c r="K1699" s="3" t="n"/>
      <c r="L1699" s="3" t="n"/>
      <c r="M1699" s="3" t="n"/>
      <c r="N1699" s="32" t="n"/>
    </row>
    <row r="1700">
      <c r="C1700" s="50" t="n"/>
      <c r="D1700" s="3" t="n"/>
      <c r="E1700" s="3" t="n"/>
      <c r="F1700" s="3" t="n"/>
      <c r="G1700" s="3" t="n"/>
      <c r="H1700" s="3" t="n"/>
      <c r="I1700" s="3" t="n"/>
      <c r="J1700" s="3" t="n"/>
      <c r="K1700" s="3" t="n"/>
      <c r="L1700" s="3" t="n"/>
      <c r="M1700" s="3" t="n"/>
      <c r="N1700" s="32" t="n"/>
    </row>
    <row r="1701">
      <c r="C1701" s="53">
        <f>"💬 "&amp;IFERROR(IF(LANG="EN",INDEX(I18N_EN,MATCH("col.comment",I18N_KEY,0)),INDEX(I18N_FR,MATCH("col.comment",I18N_KEY,0))),"col.comment")</f>
        <v/>
      </c>
      <c r="D1701" s="5" t="n"/>
      <c r="E1701" s="5" t="n"/>
      <c r="F1701" s="5" t="n"/>
      <c r="G1701" s="5" t="n"/>
      <c r="H1701" s="5" t="n"/>
      <c r="I1701" s="5" t="n"/>
      <c r="J1701" s="5" t="n"/>
      <c r="K1701" s="5" t="n"/>
      <c r="L1701" s="5" t="n"/>
      <c r="M1701" s="5" t="n"/>
      <c r="N1701" s="54" t="n"/>
      <c r="O1701" s="5" t="n"/>
    </row>
    <row r="1702">
      <c r="C1702" s="55">
        <f>IF(LANG="EN","Commentary / data source: management systems (demo).","Commentaire / source : systèmes de gestion (démo).")</f>
        <v/>
      </c>
      <c r="D1702" s="56" t="n"/>
      <c r="E1702" s="56" t="n"/>
      <c r="F1702" s="56" t="n"/>
      <c r="G1702" s="56" t="n"/>
      <c r="H1702" s="56" t="n"/>
      <c r="I1702" s="56" t="n"/>
      <c r="J1702" s="56" t="n"/>
      <c r="K1702" s="56" t="n"/>
      <c r="L1702" s="56" t="n"/>
      <c r="M1702" s="56" t="n"/>
      <c r="N1702" s="56" t="n"/>
      <c r="O1702" s="57" t="n"/>
    </row>
    <row r="1703">
      <c r="C1703" s="50" t="n"/>
      <c r="D1703" s="3" t="n"/>
      <c r="E1703" s="3" t="n"/>
      <c r="F1703" s="3" t="n"/>
      <c r="G1703" s="3" t="n"/>
      <c r="H1703" s="3" t="n"/>
      <c r="I1703" s="3" t="n"/>
      <c r="J1703" s="3" t="n"/>
      <c r="K1703" s="3" t="n"/>
      <c r="L1703" s="3" t="n"/>
      <c r="M1703" s="3" t="n"/>
      <c r="N1703" s="32" t="n"/>
    </row>
    <row r="1704">
      <c r="C1704" s="58" t="n"/>
      <c r="D1704" s="58" t="n"/>
      <c r="E1704" s="58" t="n"/>
      <c r="F1704" s="58" t="n"/>
      <c r="G1704" s="58" t="n"/>
      <c r="H1704" s="58" t="n"/>
      <c r="I1704" s="58" t="n"/>
      <c r="J1704" s="58" t="n"/>
      <c r="K1704" s="58" t="n"/>
      <c r="L1704" s="58" t="n"/>
      <c r="M1704" s="58" t="n"/>
      <c r="N1704" s="58" t="n"/>
      <c r="O1704" s="59" t="n"/>
    </row>
    <row r="1705">
      <c r="C1705" s="60" t="n"/>
      <c r="D1705" s="36" t="n"/>
      <c r="E1705" s="36" t="n"/>
      <c r="F1705" s="36" t="n"/>
      <c r="G1705" s="36" t="n"/>
      <c r="H1705" s="36" t="n"/>
      <c r="I1705" s="36" t="n"/>
      <c r="J1705" s="36" t="n"/>
      <c r="K1705" s="36" t="n"/>
      <c r="L1705" s="36" t="n"/>
      <c r="M1705" s="36" t="n"/>
      <c r="N1705" s="22" t="n"/>
    </row>
    <row r="1706">
      <c r="C1706" s="3" t="n"/>
      <c r="D1706" s="3" t="n"/>
      <c r="E1706" s="3" t="n"/>
      <c r="F1706" s="3" t="n"/>
      <c r="G1706" s="3" t="n"/>
      <c r="H1706" s="3" t="n"/>
      <c r="I1706" s="3" t="n"/>
      <c r="J1706" s="3" t="n"/>
      <c r="K1706" s="3" t="n"/>
      <c r="L1706" s="3" t="n"/>
      <c r="M1706" s="3" t="n"/>
      <c r="N1706" s="3" t="n"/>
    </row>
    <row r="1707" ht="19" customHeight="1">
      <c r="C1707" s="46">
        <f>"▸  9.2.6  "&amp;IF(LANG="EN","Maintenance &amp; Energy KPI","Indicateurs maintenance &amp; énergie")</f>
        <v/>
      </c>
      <c r="D1707" s="47" t="n"/>
      <c r="E1707" s="47" t="n"/>
      <c r="F1707" s="47" t="n"/>
      <c r="G1707" s="47" t="n"/>
      <c r="H1707" s="47" t="n"/>
      <c r="I1707" s="47" t="n"/>
      <c r="J1707" s="47" t="n"/>
      <c r="K1707" s="47" t="n"/>
      <c r="L1707" s="47" t="n"/>
      <c r="M1707" s="47" t="n"/>
      <c r="N1707" s="48" t="n"/>
      <c r="O1707" s="1" t="n"/>
    </row>
    <row r="1708">
      <c r="C1708" s="61">
        <f>IFERROR(IF(LANG="EN",INDEX(I18N_EN,MATCH("col.kpi",I18N_KEY,0)),INDEX(I18N_FR,MATCH("col.kpi",I18N_KEY,0))),"col.kpi")</f>
        <v/>
      </c>
      <c r="D1708" s="62">
        <f>IFERROR(IF(LANG="EN",INDEX(I18N_EN,MATCH("col.unit",I18N_KEY,0)),INDEX(I18N_FR,MATCH("col.unit",I18N_KEY,0))),"col.unit")</f>
        <v/>
      </c>
      <c r="E1708" s="62">
        <f>IFERROR(IF(LANG="EN",INDEX(I18N_EN,MATCH("col.current",I18N_KEY,0)),INDEX(I18N_FR,MATCH("col.current",I18N_KEY,0))),"col.current")</f>
        <v/>
      </c>
      <c r="F1708" s="62">
        <f>IFERROR(IF(LANG="EN",INDEX(I18N_EN,MATCH("col.prev",I18N_KEY,0)),INDEX(I18N_FR,MATCH("col.prev",I18N_KEY,0))),"col.prev")</f>
        <v/>
      </c>
      <c r="G1708" s="62">
        <f>IFERROR(IF(LANG="EN",INDEX(I18N_EN,MATCH("col.delta_prev",I18N_KEY,0)),INDEX(I18N_FR,MATCH("col.delta_prev",I18N_KEY,0))),"col.delta_prev")</f>
        <v/>
      </c>
      <c r="H1708" s="62">
        <f>IFERROR(IF(LANG="EN",INDEX(I18N_EN,MATCH("col.py",I18N_KEY,0)),INDEX(I18N_FR,MATCH("col.py",I18N_KEY,0))),"col.py")</f>
        <v/>
      </c>
      <c r="I1708" s="62">
        <f>IFERROR(IF(LANG="EN",INDEX(I18N_EN,MATCH("col.delta_py",I18N_KEY,0)),INDEX(I18N_FR,MATCH("col.delta_py",I18N_KEY,0))),"col.delta_py")</f>
        <v/>
      </c>
      <c r="J1708" s="62">
        <f>IFERROR(IF(LANG="EN",INDEX(I18N_EN,MATCH("col.budget",I18N_KEY,0)),INDEX(I18N_FR,MATCH("col.budget",I18N_KEY,0))),"col.budget")</f>
        <v/>
      </c>
      <c r="K1708" s="62">
        <f>IFERROR(IF(LANG="EN",INDEX(I18N_EN,MATCH("col.var",I18N_KEY,0)),INDEX(I18N_FR,MATCH("col.var",I18N_KEY,0))),"col.var")</f>
        <v/>
      </c>
      <c r="L1708" s="62">
        <f>IFERROR(IF(LANG="EN",INDEX(I18N_EN,MATCH("col.rag",I18N_KEY,0)),INDEX(I18N_FR,MATCH("col.rag",I18N_KEY,0))),"col.rag")</f>
        <v/>
      </c>
      <c r="M1708" s="3" t="n"/>
      <c r="N1708" s="32" t="n"/>
    </row>
    <row r="1709">
      <c r="C1709" s="63">
        <f>IFERROR(IF(LANG="EN",INDEX(I18N_EN,MATCH("kpi.fac.prev_corr",I18N_KEY,0)),INDEX(I18N_FR,MATCH("kpi.fac.prev_corr",I18N_KEY,0))),"kpi.fac.prev_corr")</f>
        <v/>
      </c>
      <c r="D1709" s="64" t="inlineStr">
        <is>
          <t>%</t>
        </is>
      </c>
      <c r="E1709" s="71">
        <f>IFERROR((AVERAGEIFS('M3 · Base mensuelle'!$D$106:$AM$106,HDR,"&gt;="&amp;P_START,HDR,"&lt;="&amp;P_END)),"")</f>
        <v/>
      </c>
      <c r="F1709" s="71">
        <f>IFERROR((AVERAGEIFS('M3 · Base mensuelle'!$D$106:$AM$106,HDR,"&gt;="&amp;PP_START,HDR,"&lt;="&amp;PP_END)),"")</f>
        <v/>
      </c>
      <c r="G1709" s="66">
        <f>IFERROR((E1709)/(F1709)-1,"")</f>
        <v/>
      </c>
      <c r="H1709" s="71">
        <f>IFERROR((AVERAGEIFS('M3 · Base mensuelle'!$D$106:$AM$106,HDR,"&gt;="&amp;PY_START,HDR,"&lt;="&amp;PY_END)),"")</f>
        <v/>
      </c>
      <c r="I1709" s="66">
        <f>IFERROR((E1709)/(H1709)-1,"")</f>
        <v/>
      </c>
      <c r="J1709" s="67" t="n"/>
      <c r="K1709" s="66">
        <f>IFERROR((E1709)/(J1709)-1,"")</f>
        <v/>
      </c>
      <c r="L1709" s="68">
        <f>IF(O1709="","",IF(O1709="green",IFERROR(IF(LANG="EN",INDEX(I18N_EN,MATCH("rag.green",I18N_KEY,0)),INDEX(I18N_FR,MATCH("rag.green",I18N_KEY,0))),"rag.green"),IF(O1709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09" s="3" t="n"/>
      <c r="N1709" s="32" t="n"/>
      <c r="O1709" s="69">
        <f>IFERROR(IF(IF(N(J1709)&gt;0,J1709,H1709)=0,"",IF(INDEX(RAG_SENS,MATCH("kpi.fac.prev_corr",RAG_KEY,0))="UP",IF((E1709/IF(N(J1709)&gt;0,J1709,H1709))&gt;=INDEX(RAG_SV,MATCH("kpi.fac.prev_corr",RAG_KEY,0)),"green",IF((E1709/IF(N(J1709)&gt;0,J1709,H1709))&gt;=INDEX(RAG_SA,MATCH("kpi.fac.prev_corr",RAG_KEY,0)),"amber","red")),IF((E1709/IF(N(J1709)&gt;0,J1709,H1709))&lt;=INDEX(RAG_SV,MATCH("kpi.fac.prev_corr",RAG_KEY,0)),"green",IF((E1709/IF(N(J1709)&gt;0,J1709,H1709))&lt;=INDEX(RAG_SA,MATCH("kpi.fac.prev_corr",RAG_KEY,0)),"amber","red")))),"")</f>
        <v/>
      </c>
    </row>
    <row r="1710">
      <c r="C1710" s="63">
        <f>IFERROR(IF(LANG="EN",INDEX(I18N_EN,MATCH("kpi.fac.wo_prev",I18N_KEY,0)),INDEX(I18N_FR,MATCH("kpi.fac.wo_prev",I18N_KEY,0))),"kpi.fac.wo_prev")</f>
        <v/>
      </c>
      <c r="D1710" s="64" t="inlineStr">
        <is>
          <t>nb</t>
        </is>
      </c>
      <c r="E1710" s="65">
        <f>IFERROR((SUMIFS('M3 · Base mensuelle'!$D$107:$AM$107,HDR,"&gt;="&amp;P_START,HDR,"&lt;="&amp;P_END)),"")</f>
        <v/>
      </c>
      <c r="F1710" s="65">
        <f>IFERROR((SUMIFS('M3 · Base mensuelle'!$D$107:$AM$107,HDR,"&gt;="&amp;PP_START,HDR,"&lt;="&amp;PP_END)),"")</f>
        <v/>
      </c>
      <c r="G1710" s="66">
        <f>IFERROR((E1710)/(F1710)-1,"")</f>
        <v/>
      </c>
      <c r="H1710" s="65">
        <f>IFERROR((SUMIFS('M3 · Base mensuelle'!$D$107:$AM$107,HDR,"&gt;="&amp;PY_START,HDR,"&lt;="&amp;PY_END)),"")</f>
        <v/>
      </c>
      <c r="I1710" s="66">
        <f>IFERROR((E1710)/(H1710)-1,"")</f>
        <v/>
      </c>
      <c r="J1710" s="67" t="n"/>
      <c r="K1710" s="66">
        <f>IFERROR((E1710)/(J1710)-1,"")</f>
        <v/>
      </c>
      <c r="L1710" s="68">
        <f>IF(O1710="","",IF(O1710="green",IFERROR(IF(LANG="EN",INDEX(I18N_EN,MATCH("rag.green",I18N_KEY,0)),INDEX(I18N_FR,MATCH("rag.green",I18N_KEY,0))),"rag.green"),IF(O1710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0" s="3" t="n"/>
      <c r="N1710" s="32" t="n"/>
      <c r="O1710" s="69">
        <f>IFERROR(IF(IF(N(J1710)&gt;0,J1710,H1710)=0,"",IF(INDEX(RAG_SENS,MATCH("kpi.fac.wo_prev",RAG_KEY,0))="UP",IF((E1710/IF(N(J1710)&gt;0,J1710,H1710))&gt;=INDEX(RAG_SV,MATCH("kpi.fac.wo_prev",RAG_KEY,0)),"green",IF((E1710/IF(N(J1710)&gt;0,J1710,H1710))&gt;=INDEX(RAG_SA,MATCH("kpi.fac.wo_prev",RAG_KEY,0)),"amber","red")),IF((E1710/IF(N(J1710)&gt;0,J1710,H1710))&lt;=INDEX(RAG_SV,MATCH("kpi.fac.wo_prev",RAG_KEY,0)),"green",IF((E1710/IF(N(J1710)&gt;0,J1710,H1710))&lt;=INDEX(RAG_SA,MATCH("kpi.fac.wo_prev",RAG_KEY,0)),"amber","red")))),"")</f>
        <v/>
      </c>
    </row>
    <row r="1711">
      <c r="C1711" s="63">
        <f>IFERROR(IF(LANG="EN",INDEX(I18N_EN,MATCH("kpi.fac.wo_corr",I18N_KEY,0)),INDEX(I18N_FR,MATCH("kpi.fac.wo_corr",I18N_KEY,0))),"kpi.fac.wo_corr")</f>
        <v/>
      </c>
      <c r="D1711" s="64" t="inlineStr">
        <is>
          <t>nb</t>
        </is>
      </c>
      <c r="E1711" s="65">
        <f>IFERROR((SUMIFS('M3 · Base mensuelle'!$D$108:$AM$108,HDR,"&gt;="&amp;P_START,HDR,"&lt;="&amp;P_END)),"")</f>
        <v/>
      </c>
      <c r="F1711" s="65">
        <f>IFERROR((SUMIFS('M3 · Base mensuelle'!$D$108:$AM$108,HDR,"&gt;="&amp;PP_START,HDR,"&lt;="&amp;PP_END)),"")</f>
        <v/>
      </c>
      <c r="G1711" s="66">
        <f>IFERROR((E1711)/(F1711)-1,"")</f>
        <v/>
      </c>
      <c r="H1711" s="65">
        <f>IFERROR((SUMIFS('M3 · Base mensuelle'!$D$108:$AM$108,HDR,"&gt;="&amp;PY_START,HDR,"&lt;="&amp;PY_END)),"")</f>
        <v/>
      </c>
      <c r="I1711" s="66">
        <f>IFERROR((E1711)/(H1711)-1,"")</f>
        <v/>
      </c>
      <c r="J1711" s="67" t="n"/>
      <c r="K1711" s="66">
        <f>IFERROR((E1711)/(J1711)-1,"")</f>
        <v/>
      </c>
      <c r="L1711" s="68">
        <f>IF(O1711="","",IF(O1711="green",IFERROR(IF(LANG="EN",INDEX(I18N_EN,MATCH("rag.green",I18N_KEY,0)),INDEX(I18N_FR,MATCH("rag.green",I18N_KEY,0))),"rag.green"),IF(O1711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1" s="3" t="n"/>
      <c r="N1711" s="32" t="n"/>
      <c r="O1711" s="69">
        <f>IFERROR(IF(IF(N(J1711)&gt;0,J1711,H1711)=0,"",IF(INDEX(RAG_SENS,MATCH("kpi.fac.wo_corr",RAG_KEY,0))="UP",IF((E1711/IF(N(J1711)&gt;0,J1711,H1711))&gt;=INDEX(RAG_SV,MATCH("kpi.fac.wo_corr",RAG_KEY,0)),"green",IF((E1711/IF(N(J1711)&gt;0,J1711,H1711))&gt;=INDEX(RAG_SA,MATCH("kpi.fac.wo_corr",RAG_KEY,0)),"amber","red")),IF((E1711/IF(N(J1711)&gt;0,J1711,H1711))&lt;=INDEX(RAG_SV,MATCH("kpi.fac.wo_corr",RAG_KEY,0)),"green",IF((E1711/IF(N(J1711)&gt;0,J1711,H1711))&lt;=INDEX(RAG_SA,MATCH("kpi.fac.wo_corr",RAG_KEY,0)),"amber","red")))),"")</f>
        <v/>
      </c>
    </row>
    <row r="1712">
      <c r="C1712" s="63">
        <f>IFERROR(IF(LANG="EN",INDEX(I18N_EN,MATCH("kpi.fac.ot_backlog",I18N_KEY,0)),INDEX(I18N_FR,MATCH("kpi.fac.ot_backlog",I18N_KEY,0))),"kpi.fac.ot_backlog")</f>
        <v/>
      </c>
      <c r="D1712" s="64" t="inlineStr">
        <is>
          <t>nb</t>
        </is>
      </c>
      <c r="E1712" s="65">
        <f>IFERROR((INDEX('M3 · Base mensuelle'!$D$109:$AM$109,MATCH(P_END,HDR,0))),"")</f>
        <v/>
      </c>
      <c r="F1712" s="65">
        <f>IFERROR((INDEX('M3 · Base mensuelle'!$D$109:$AM$109,MATCH(PP_END,HDR,0))),"")</f>
        <v/>
      </c>
      <c r="G1712" s="66">
        <f>IFERROR((E1712)/(F1712)-1,"")</f>
        <v/>
      </c>
      <c r="H1712" s="65">
        <f>IFERROR((INDEX('M3 · Base mensuelle'!$D$109:$AM$109,MATCH(PY_END,HDR,0))),"")</f>
        <v/>
      </c>
      <c r="I1712" s="66">
        <f>IFERROR((E1712)/(H1712)-1,"")</f>
        <v/>
      </c>
      <c r="J1712" s="67" t="n"/>
      <c r="K1712" s="66">
        <f>IFERROR((E1712)/(J1712)-1,"")</f>
        <v/>
      </c>
      <c r="L1712" s="68">
        <f>IF(O1712="","",IF(O1712="green",IFERROR(IF(LANG="EN",INDEX(I18N_EN,MATCH("rag.green",I18N_KEY,0)),INDEX(I18N_FR,MATCH("rag.green",I18N_KEY,0))),"rag.green"),IF(O1712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2" s="3" t="n"/>
      <c r="N1712" s="32" t="n"/>
      <c r="O1712" s="69">
        <f>IFERROR(IF(IF(N(J1712)&gt;0,J1712,H1712)=0,"",IF(INDEX(RAG_SENS,MATCH("kpi.fac.ot_backlog",RAG_KEY,0))="UP",IF((E1712/IF(N(J1712)&gt;0,J1712,H1712))&gt;=INDEX(RAG_SV,MATCH("kpi.fac.ot_backlog",RAG_KEY,0)),"green",IF((E1712/IF(N(J1712)&gt;0,J1712,H1712))&gt;=INDEX(RAG_SA,MATCH("kpi.fac.ot_backlog",RAG_KEY,0)),"amber","red")),IF((E1712/IF(N(J1712)&gt;0,J1712,H1712))&lt;=INDEX(RAG_SV,MATCH("kpi.fac.ot_backlog",RAG_KEY,0)),"green",IF((E1712/IF(N(J1712)&gt;0,J1712,H1712))&lt;=INDEX(RAG_SA,MATCH("kpi.fac.ot_backlog",RAG_KEY,0)),"amber","red")))),"")</f>
        <v/>
      </c>
    </row>
    <row r="1713">
      <c r="C1713" s="63">
        <f>IFERROR(IF(LANG="EN",INDEX(I18N_EN,MATCH("kpi.fac.mttr",I18N_KEY,0)),INDEX(I18N_FR,MATCH("kpi.fac.mttr",I18N_KEY,0))),"kpi.fac.mttr")</f>
        <v/>
      </c>
      <c r="D1713" s="64" t="inlineStr">
        <is>
          <t>h</t>
        </is>
      </c>
      <c r="E1713" s="65">
        <f>IFERROR((AVERAGEIFS('M3 · Base mensuelle'!$D$110:$AM$110,HDR,"&gt;="&amp;P_START,HDR,"&lt;="&amp;P_END)),"")</f>
        <v/>
      </c>
      <c r="F1713" s="65">
        <f>IFERROR((AVERAGEIFS('M3 · Base mensuelle'!$D$110:$AM$110,HDR,"&gt;="&amp;PP_START,HDR,"&lt;="&amp;PP_END)),"")</f>
        <v/>
      </c>
      <c r="G1713" s="66">
        <f>IFERROR((E1713)/(F1713)-1,"")</f>
        <v/>
      </c>
      <c r="H1713" s="65">
        <f>IFERROR((AVERAGEIFS('M3 · Base mensuelle'!$D$110:$AM$110,HDR,"&gt;="&amp;PY_START,HDR,"&lt;="&amp;PY_END)),"")</f>
        <v/>
      </c>
      <c r="I1713" s="66">
        <f>IFERROR((E1713)/(H1713)-1,"")</f>
        <v/>
      </c>
      <c r="J1713" s="67" t="n"/>
      <c r="K1713" s="66">
        <f>IFERROR((E1713)/(J1713)-1,"")</f>
        <v/>
      </c>
      <c r="L1713" s="68">
        <f>IF(O1713="","",IF(O1713="green",IFERROR(IF(LANG="EN",INDEX(I18N_EN,MATCH("rag.green",I18N_KEY,0)),INDEX(I18N_FR,MATCH("rag.green",I18N_KEY,0))),"rag.green"),IF(O1713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3" s="3" t="n"/>
      <c r="N1713" s="32" t="n"/>
      <c r="O1713" s="69">
        <f>IFERROR(IF(IF(N(J1713)&gt;0,J1713,H1713)=0,"",IF(INDEX(RAG_SENS,MATCH("kpi.fac.mttr",RAG_KEY,0))="UP",IF((E1713/IF(N(J1713)&gt;0,J1713,H1713))&gt;=INDEX(RAG_SV,MATCH("kpi.fac.mttr",RAG_KEY,0)),"green",IF((E1713/IF(N(J1713)&gt;0,J1713,H1713))&gt;=INDEX(RAG_SA,MATCH("kpi.fac.mttr",RAG_KEY,0)),"amber","red")),IF((E1713/IF(N(J1713)&gt;0,J1713,H1713))&lt;=INDEX(RAG_SV,MATCH("kpi.fac.mttr",RAG_KEY,0)),"green",IF((E1713/IF(N(J1713)&gt;0,J1713,H1713))&lt;=INDEX(RAG_SA,MATCH("kpi.fac.mttr",RAG_KEY,0)),"amber","red")))),"")</f>
        <v/>
      </c>
    </row>
    <row r="1714">
      <c r="C1714" s="63">
        <f>IFERROR(IF(LANG="EN",INDEX(I18N_EN,MATCH("kpi.fac.ot_opened",I18N_KEY,0)),INDEX(I18N_FR,MATCH("kpi.fac.ot_opened",I18N_KEY,0))),"kpi.fac.ot_opened")</f>
        <v/>
      </c>
      <c r="D1714" s="64" t="inlineStr">
        <is>
          <t>nb</t>
        </is>
      </c>
      <c r="E1714" s="65">
        <f>IFERROR((SUMIFS('M3 · Base mensuelle'!$D$111:$AM$111,HDR,"&gt;="&amp;P_START,HDR,"&lt;="&amp;P_END)),"")</f>
        <v/>
      </c>
      <c r="F1714" s="65">
        <f>IFERROR((SUMIFS('M3 · Base mensuelle'!$D$111:$AM$111,HDR,"&gt;="&amp;PP_START,HDR,"&lt;="&amp;PP_END)),"")</f>
        <v/>
      </c>
      <c r="G1714" s="66">
        <f>IFERROR((E1714)/(F1714)-1,"")</f>
        <v/>
      </c>
      <c r="H1714" s="65">
        <f>IFERROR((SUMIFS('M3 · Base mensuelle'!$D$111:$AM$111,HDR,"&gt;="&amp;PY_START,HDR,"&lt;="&amp;PY_END)),"")</f>
        <v/>
      </c>
      <c r="I1714" s="66">
        <f>IFERROR((E1714)/(H1714)-1,"")</f>
        <v/>
      </c>
      <c r="J1714" s="67" t="n"/>
      <c r="K1714" s="66">
        <f>IFERROR((E1714)/(J1714)-1,"")</f>
        <v/>
      </c>
      <c r="L1714" s="68">
        <f>IF(O1714="","",IF(O1714="green",IFERROR(IF(LANG="EN",INDEX(I18N_EN,MATCH("rag.green",I18N_KEY,0)),INDEX(I18N_FR,MATCH("rag.green",I18N_KEY,0))),"rag.green"),IF(O1714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4" s="3" t="n"/>
      <c r="N1714" s="32" t="n"/>
      <c r="O1714" s="69">
        <f>IFERROR(IF(IF(N(J1714)&gt;0,J1714,H1714)=0,"",IF(INDEX(RAG_SENS,MATCH("kpi.fac.ot_opened",RAG_KEY,0))="UP",IF((E1714/IF(N(J1714)&gt;0,J1714,H1714))&gt;=INDEX(RAG_SV,MATCH("kpi.fac.ot_opened",RAG_KEY,0)),"green",IF((E1714/IF(N(J1714)&gt;0,J1714,H1714))&gt;=INDEX(RAG_SA,MATCH("kpi.fac.ot_opened",RAG_KEY,0)),"amber","red")),IF((E1714/IF(N(J1714)&gt;0,J1714,H1714))&lt;=INDEX(RAG_SV,MATCH("kpi.fac.ot_opened",RAG_KEY,0)),"green",IF((E1714/IF(N(J1714)&gt;0,J1714,H1714))&lt;=INDEX(RAG_SA,MATCH("kpi.fac.ot_opened",RAG_KEY,0)),"amber","red")))),"")</f>
        <v/>
      </c>
    </row>
    <row r="1715">
      <c r="C1715" s="63">
        <f>IFERROR(IF(LANG="EN",INDEX(I18N_EN,MATCH("kpi.fac.ot_closed",I18N_KEY,0)),INDEX(I18N_FR,MATCH("kpi.fac.ot_closed",I18N_KEY,0))),"kpi.fac.ot_closed")</f>
        <v/>
      </c>
      <c r="D1715" s="64" t="inlineStr">
        <is>
          <t>nb</t>
        </is>
      </c>
      <c r="E1715" s="65">
        <f>IFERROR((SUMIFS('M3 · Base mensuelle'!$D$112:$AM$112,HDR,"&gt;="&amp;P_START,HDR,"&lt;="&amp;P_END)),"")</f>
        <v/>
      </c>
      <c r="F1715" s="65">
        <f>IFERROR((SUMIFS('M3 · Base mensuelle'!$D$112:$AM$112,HDR,"&gt;="&amp;PP_START,HDR,"&lt;="&amp;PP_END)),"")</f>
        <v/>
      </c>
      <c r="G1715" s="66">
        <f>IFERROR((E1715)/(F1715)-1,"")</f>
        <v/>
      </c>
      <c r="H1715" s="65">
        <f>IFERROR((SUMIFS('M3 · Base mensuelle'!$D$112:$AM$112,HDR,"&gt;="&amp;PY_START,HDR,"&lt;="&amp;PY_END)),"")</f>
        <v/>
      </c>
      <c r="I1715" s="66">
        <f>IFERROR((E1715)/(H1715)-1,"")</f>
        <v/>
      </c>
      <c r="J1715" s="67" t="n"/>
      <c r="K1715" s="66">
        <f>IFERROR((E1715)/(J1715)-1,"")</f>
        <v/>
      </c>
      <c r="L1715" s="68">
        <f>IF(O1715="","",IF(O1715="green",IFERROR(IF(LANG="EN",INDEX(I18N_EN,MATCH("rag.green",I18N_KEY,0)),INDEX(I18N_FR,MATCH("rag.green",I18N_KEY,0))),"rag.green"),IF(O1715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5" s="3" t="n"/>
      <c r="N1715" s="32" t="n"/>
      <c r="O1715" s="69">
        <f>IFERROR(IF(IF(N(J1715)&gt;0,J1715,H1715)=0,"",IF(INDEX(RAG_SENS,MATCH("kpi.fac.ot_closed",RAG_KEY,0))="UP",IF((E1715/IF(N(J1715)&gt;0,J1715,H1715))&gt;=INDEX(RAG_SV,MATCH("kpi.fac.ot_closed",RAG_KEY,0)),"green",IF((E1715/IF(N(J1715)&gt;0,J1715,H1715))&gt;=INDEX(RAG_SA,MATCH("kpi.fac.ot_closed",RAG_KEY,0)),"amber","red")),IF((E1715/IF(N(J1715)&gt;0,J1715,H1715))&lt;=INDEX(RAG_SV,MATCH("kpi.fac.ot_closed",RAG_KEY,0)),"green",IF((E1715/IF(N(J1715)&gt;0,J1715,H1715))&lt;=INDEX(RAG_SA,MATCH("kpi.fac.ot_closed",RAG_KEY,0)),"amber","red")))),"")</f>
        <v/>
      </c>
    </row>
    <row r="1716">
      <c r="C1716" s="63">
        <f>IFERROR(IF(LANG="EN",INDEX(I18N_EN,MATCH("kpi.fac.energy_int",I18N_KEY,0)),INDEX(I18N_FR,MATCH("kpi.fac.energy_int",I18N_KEY,0))),"kpi.fac.energy_int")</f>
        <v/>
      </c>
      <c r="D1716" s="64" t="inlineStr">
        <is>
          <t>kWh/m²</t>
        </is>
      </c>
      <c r="E1716" s="65">
        <f>IFERROR((AVERAGEIFS('M3 · Base mensuelle'!$D$113:$AM$113,HDR,"&gt;="&amp;P_START,HDR,"&lt;="&amp;P_END)),"")</f>
        <v/>
      </c>
      <c r="F1716" s="65">
        <f>IFERROR((AVERAGEIFS('M3 · Base mensuelle'!$D$113:$AM$113,HDR,"&gt;="&amp;PP_START,HDR,"&lt;="&amp;PP_END)),"")</f>
        <v/>
      </c>
      <c r="G1716" s="66">
        <f>IFERROR((E1716)/(F1716)-1,"")</f>
        <v/>
      </c>
      <c r="H1716" s="65">
        <f>IFERROR((AVERAGEIFS('M3 · Base mensuelle'!$D$113:$AM$113,HDR,"&gt;="&amp;PY_START,HDR,"&lt;="&amp;PY_END)),"")</f>
        <v/>
      </c>
      <c r="I1716" s="66">
        <f>IFERROR((E1716)/(H1716)-1,"")</f>
        <v/>
      </c>
      <c r="J1716" s="65">
        <f>IFERROR((SUMPRODUCT((BUD_MONTHS&gt;=MONTH(P_START))*(BUD_MONTHS&lt;=MONTH(P_END))*'M1 · Paramètres'!$H$114:$S$114)/SUMPRODUCT((BUD_MONTHS&gt;=MONTH(P_START))*(BUD_MONTHS&lt;=MONTH(P_END))*1)),"")</f>
        <v/>
      </c>
      <c r="K1716" s="66">
        <f>IFERROR((E1716)/(J1716)-1,"")</f>
        <v/>
      </c>
      <c r="L1716" s="68">
        <f>IF(O1716="","",IF(O1716="green",IFERROR(IF(LANG="EN",INDEX(I18N_EN,MATCH("rag.green",I18N_KEY,0)),INDEX(I18N_FR,MATCH("rag.green",I18N_KEY,0))),"rag.green"),IF(O1716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6" s="3" t="n"/>
      <c r="N1716" s="32" t="n"/>
      <c r="O1716" s="69">
        <f>IFERROR(IF(IF(N(J1716)&gt;0,J1716,H1716)=0,"",IF(INDEX(RAG_SENS,MATCH("kpi.fac.energy_int",RAG_KEY,0))="UP",IF((E1716/IF(N(J1716)&gt;0,J1716,H1716))&gt;=INDEX(RAG_SV,MATCH("kpi.fac.energy_int",RAG_KEY,0)),"green",IF((E1716/IF(N(J1716)&gt;0,J1716,H1716))&gt;=INDEX(RAG_SA,MATCH("kpi.fac.energy_int",RAG_KEY,0)),"amber","red")),IF((E1716/IF(N(J1716)&gt;0,J1716,H1716))&lt;=INDEX(RAG_SV,MATCH("kpi.fac.energy_int",RAG_KEY,0)),"green",IF((E1716/IF(N(J1716)&gt;0,J1716,H1716))&lt;=INDEX(RAG_SA,MATCH("kpi.fac.energy_int",RAG_KEY,0)),"amber","red")))),"")</f>
        <v/>
      </c>
    </row>
    <row r="1717">
      <c r="C1717" s="63">
        <f>IFERROR(IF(LANG="EN",INDEX(I18N_EN,MATCH("kpi.fac.util_cost",I18N_KEY,0)),INDEX(I18N_FR,MATCH("kpi.fac.util_cost",I18N_KEY,0))),"kpi.fac.util_cost")</f>
        <v/>
      </c>
      <c r="D1717" s="64" t="inlineStr">
        <is>
          <t>%</t>
        </is>
      </c>
      <c r="E1717" s="71">
        <f>IFERROR((AVERAGEIFS('M3 · Base mensuelle'!$D$114:$AM$114,HDR,"&gt;="&amp;P_START,HDR,"&lt;="&amp;P_END)),"")</f>
        <v/>
      </c>
      <c r="F1717" s="71">
        <f>IFERROR((AVERAGEIFS('M3 · Base mensuelle'!$D$114:$AM$114,HDR,"&gt;="&amp;PP_START,HDR,"&lt;="&amp;PP_END)),"")</f>
        <v/>
      </c>
      <c r="G1717" s="66">
        <f>IFERROR((E1717)/(F1717)-1,"")</f>
        <v/>
      </c>
      <c r="H1717" s="71">
        <f>IFERROR((AVERAGEIFS('M3 · Base mensuelle'!$D$114:$AM$114,HDR,"&gt;="&amp;PY_START,HDR,"&lt;="&amp;PY_END)),"")</f>
        <v/>
      </c>
      <c r="I1717" s="66">
        <f>IFERROR((E1717)/(H1717)-1,"")</f>
        <v/>
      </c>
      <c r="J1717" s="67" t="n"/>
      <c r="K1717" s="66">
        <f>IFERROR((E1717)/(J1717)-1,"")</f>
        <v/>
      </c>
      <c r="L1717" s="68">
        <f>IF(O1717="","",IF(O1717="green",IFERROR(IF(LANG="EN",INDEX(I18N_EN,MATCH("rag.green",I18N_KEY,0)),INDEX(I18N_FR,MATCH("rag.green",I18N_KEY,0))),"rag.green"),IF(O1717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7" s="3" t="n"/>
      <c r="N1717" s="32" t="n"/>
      <c r="O1717" s="69">
        <f>IFERROR(IF(IF(N(J1717)&gt;0,J1717,H1717)=0,"",IF(INDEX(RAG_SENS,MATCH("kpi.fac.util_cost",RAG_KEY,0))="UP",IF((E1717/IF(N(J1717)&gt;0,J1717,H1717))&gt;=INDEX(RAG_SV,MATCH("kpi.fac.util_cost",RAG_KEY,0)),"green",IF((E1717/IF(N(J1717)&gt;0,J1717,H1717))&gt;=INDEX(RAG_SA,MATCH("kpi.fac.util_cost",RAG_KEY,0)),"amber","red")),IF((E1717/IF(N(J1717)&gt;0,J1717,H1717))&lt;=INDEX(RAG_SV,MATCH("kpi.fac.util_cost",RAG_KEY,0)),"green",IF((E1717/IF(N(J1717)&gt;0,J1717,H1717))&lt;=INDEX(RAG_SA,MATCH("kpi.fac.util_cost",RAG_KEY,0)),"amber","red")))),"")</f>
        <v/>
      </c>
    </row>
    <row r="1718">
      <c r="C1718" s="63">
        <f>IFERROR(IF(LANG="EN",INDEX(I18N_EN,MATCH("kpi.fac.consumption",I18N_KEY,0)),INDEX(I18N_FR,MATCH("kpi.fac.consumption",I18N_KEY,0))),"kpi.fac.consumption")</f>
        <v/>
      </c>
      <c r="D1718" s="64" t="inlineStr">
        <is>
          <t>unité</t>
        </is>
      </c>
      <c r="E1718" s="65">
        <f>IFERROR((SUMIFS('M3 · Base mensuelle'!$D$115:$AM$115,HDR,"&gt;="&amp;P_START,HDR,"&lt;="&amp;P_END)),"")</f>
        <v/>
      </c>
      <c r="F1718" s="65">
        <f>IFERROR((SUMIFS('M3 · Base mensuelle'!$D$115:$AM$115,HDR,"&gt;="&amp;PP_START,HDR,"&lt;="&amp;PP_END)),"")</f>
        <v/>
      </c>
      <c r="G1718" s="66">
        <f>IFERROR((E1718)/(F1718)-1,"")</f>
        <v/>
      </c>
      <c r="H1718" s="65">
        <f>IFERROR((SUMIFS('M3 · Base mensuelle'!$D$115:$AM$115,HDR,"&gt;="&amp;PY_START,HDR,"&lt;="&amp;PY_END)),"")</f>
        <v/>
      </c>
      <c r="I1718" s="66">
        <f>IFERROR((E1718)/(H1718)-1,"")</f>
        <v/>
      </c>
      <c r="J1718" s="65">
        <f>IFERROR((SUMPRODUCT((BUD_MONTHS&gt;=MONTH(P_START))*(BUD_MONTHS&lt;=MONTH(P_END))*'M1 · Paramètres'!$H$116:$S$116)),"")</f>
        <v/>
      </c>
      <c r="K1718" s="66">
        <f>IFERROR((E1718)/(J1718)-1,"")</f>
        <v/>
      </c>
      <c r="L1718" s="68">
        <f>IF(O1718="","",IF(O1718="green",IFERROR(IF(LANG="EN",INDEX(I18N_EN,MATCH("rag.green",I18N_KEY,0)),INDEX(I18N_FR,MATCH("rag.green",I18N_KEY,0))),"rag.green"),IF(O1718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18" s="3" t="n"/>
      <c r="N1718" s="32" t="n"/>
      <c r="O1718" s="69">
        <f>IFERROR(IF(IF(N(J1718)&gt;0,J1718,H1718)=0,"",IF(INDEX(RAG_SENS,MATCH("kpi.fac.consumption",RAG_KEY,0))="UP",IF((E1718/IF(N(J1718)&gt;0,J1718,H1718))&gt;=INDEX(RAG_SV,MATCH("kpi.fac.consumption",RAG_KEY,0)),"green",IF((E1718/IF(N(J1718)&gt;0,J1718,H1718))&gt;=INDEX(RAG_SA,MATCH("kpi.fac.consumption",RAG_KEY,0)),"amber","red")),IF((E1718/IF(N(J1718)&gt;0,J1718,H1718))&lt;=INDEX(RAG_SV,MATCH("kpi.fac.consumption",RAG_KEY,0)),"green",IF((E1718/IF(N(J1718)&gt;0,J1718,H1718))&lt;=INDEX(RAG_SA,MATCH("kpi.fac.consumption",RAG_KEY,0)),"amber","red")))),"")</f>
        <v/>
      </c>
    </row>
    <row r="1719">
      <c r="C1719" s="72">
        <f>"◆ "&amp;IFERROR(IF(LANG="EN",INDEX(I18N_EN,MATCH("msg.highlights",I18N_KEY,0)),INDEX(I18N_FR,MATCH("msg.highlights",I18N_KEY,0))),"msg.highlights")</f>
        <v/>
      </c>
      <c r="D1719" s="3" t="n"/>
      <c r="E1719" s="3" t="n"/>
      <c r="F1719" s="3" t="n"/>
      <c r="G1719" s="3" t="n"/>
      <c r="H1719" s="3" t="n"/>
      <c r="I1719" s="3" t="n"/>
      <c r="J1719" s="3" t="n"/>
      <c r="K1719" s="3" t="n"/>
      <c r="L1719" s="3" t="n"/>
      <c r="M1719" s="3" t="n"/>
      <c r="N1719" s="32" t="n"/>
    </row>
    <row r="1720">
      <c r="C1720" s="73">
        <f>IFERROR("▲ "&amp;INDEX(C1709:C1718,MATCH(MAX(G1709:G1718),G1709:G1718,0))&amp;"   "&amp;TEXT(MAX(G1709:G1718),"+0.0%;-0.0%"),"")</f>
        <v/>
      </c>
      <c r="D1720" s="3" t="n"/>
      <c r="E1720" s="3" t="n"/>
      <c r="F1720" s="3" t="n"/>
      <c r="G1720" s="3" t="n"/>
      <c r="H1720" s="3" t="n"/>
      <c r="I1720" s="74">
        <f>IFERROR("▼ "&amp;INDEX(C1709:C1718,MATCH(MIN(G1709:G1718),G1709:G1718,0))&amp;"   "&amp;TEXT(MIN(G1709:G1718),"+0.0%;-0.0%"),"")</f>
        <v/>
      </c>
      <c r="J1720" s="3" t="n"/>
      <c r="K1720" s="3" t="n"/>
      <c r="L1720" s="3" t="n"/>
      <c r="M1720" s="3" t="n"/>
      <c r="N1720" s="32" t="n"/>
    </row>
    <row r="1721">
      <c r="C1721" s="53">
        <f>"💬 "&amp;IFERROR(IF(LANG="EN",INDEX(I18N_EN,MATCH("col.comment",I18N_KEY,0)),INDEX(I18N_FR,MATCH("col.comment",I18N_KEY,0))),"col.comment")</f>
        <v/>
      </c>
      <c r="D1721" s="5" t="n"/>
      <c r="E1721" s="5" t="n"/>
      <c r="F1721" s="5" t="n"/>
      <c r="G1721" s="5" t="n"/>
      <c r="H1721" s="5" t="n"/>
      <c r="I1721" s="5" t="n"/>
      <c r="J1721" s="5" t="n"/>
      <c r="K1721" s="5" t="n"/>
      <c r="L1721" s="5" t="n"/>
      <c r="M1721" s="5" t="n"/>
      <c r="N1721" s="54" t="n"/>
      <c r="O1721" s="5" t="n"/>
    </row>
    <row r="1722">
      <c r="C1722" s="75">
        <f>IF('C8 · Facility'!$D$30&lt;&gt;"",'C8 · Facility'!$D$30,IFERROR(SUBSTITUTE(SUBSTITUTE(IF(G1709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fac.prev_corr",I18N_KEY,0)),INDEX(I18N_FR,MATCH("kpi.fac.prev_corr",I18N_KEY,0))),"kpi.fac.prev_corr")),"{delta}",TEXT(ABS(G1709),"0.0%")),""))</f>
        <v/>
      </c>
      <c r="D1722" s="56" t="n"/>
      <c r="E1722" s="56" t="n"/>
      <c r="F1722" s="56" t="n"/>
      <c r="G1722" s="56" t="n"/>
      <c r="H1722" s="56" t="n"/>
      <c r="I1722" s="56" t="n"/>
      <c r="J1722" s="56" t="n"/>
      <c r="K1722" s="56" t="n"/>
      <c r="L1722" s="56" t="n"/>
      <c r="M1722" s="56" t="n"/>
      <c r="N1722" s="56" t="n"/>
      <c r="O1722" s="57" t="n"/>
    </row>
    <row r="1723">
      <c r="C1723" s="50" t="n"/>
      <c r="D1723" s="3" t="n"/>
      <c r="E1723" s="3" t="n"/>
      <c r="F1723" s="3" t="n"/>
      <c r="G1723" s="3" t="n"/>
      <c r="H1723" s="3" t="n"/>
      <c r="I1723" s="3" t="n"/>
      <c r="J1723" s="3" t="n"/>
      <c r="K1723" s="3" t="n"/>
      <c r="L1723" s="3" t="n"/>
      <c r="M1723" s="3" t="n"/>
      <c r="N1723" s="32" t="n"/>
    </row>
    <row r="1724">
      <c r="C1724" s="58" t="n"/>
      <c r="D1724" s="58" t="n"/>
      <c r="E1724" s="58" t="n"/>
      <c r="F1724" s="58" t="n"/>
      <c r="G1724" s="58" t="n"/>
      <c r="H1724" s="58" t="n"/>
      <c r="I1724" s="58" t="n"/>
      <c r="J1724" s="58" t="n"/>
      <c r="K1724" s="58" t="n"/>
      <c r="L1724" s="58" t="n"/>
      <c r="M1724" s="58" t="n"/>
      <c r="N1724" s="58" t="n"/>
      <c r="O1724" s="59" t="n"/>
    </row>
    <row r="1725">
      <c r="C1725" s="60" t="n"/>
      <c r="D1725" s="36" t="n"/>
      <c r="E1725" s="36" t="n"/>
      <c r="F1725" s="36" t="n"/>
      <c r="G1725" s="36" t="n"/>
      <c r="H1725" s="36" t="n"/>
      <c r="I1725" s="36" t="n"/>
      <c r="J1725" s="36" t="n"/>
      <c r="K1725" s="36" t="n"/>
      <c r="L1725" s="36" t="n"/>
      <c r="M1725" s="36" t="n"/>
      <c r="N1725" s="22" t="n"/>
    </row>
    <row r="1726">
      <c r="C1726" s="3" t="n"/>
      <c r="D1726" s="3" t="n"/>
      <c r="E1726" s="3" t="n"/>
      <c r="F1726" s="3" t="n"/>
      <c r="G1726" s="3" t="n"/>
      <c r="H1726" s="3" t="n"/>
      <c r="I1726" s="3" t="n"/>
      <c r="J1726" s="3" t="n"/>
      <c r="K1726" s="3" t="n"/>
      <c r="L1726" s="3" t="n"/>
      <c r="M1726" s="3" t="n"/>
      <c r="N1726" s="3" t="n"/>
    </row>
    <row r="1727" ht="19" customHeight="1">
      <c r="C1727" s="46">
        <f>"▸  9.3  "&amp;IF(LANG="EN","Waste Management","Gestion des déchets")</f>
        <v/>
      </c>
      <c r="D1727" s="47" t="n"/>
      <c r="E1727" s="47" t="n"/>
      <c r="F1727" s="47" t="n"/>
      <c r="G1727" s="47" t="n"/>
      <c r="H1727" s="47" t="n"/>
      <c r="I1727" s="47" t="n"/>
      <c r="J1727" s="47" t="n"/>
      <c r="K1727" s="47" t="n"/>
      <c r="L1727" s="47" t="n"/>
      <c r="M1727" s="47" t="n"/>
      <c r="N1727" s="48" t="n"/>
      <c r="O1727" s="1" t="n"/>
    </row>
    <row r="1728">
      <c r="C1728" s="80" t="inlineStr">
        <is>
          <t>Mois / Month</t>
        </is>
      </c>
      <c r="D1728" s="62" t="inlineStr">
        <is>
          <t>Déchets (t) / Waste</t>
        </is>
      </c>
      <c r="E1728" s="62" t="inlineStr">
        <is>
          <t>Recyclé / Recycled</t>
        </is>
      </c>
      <c r="F1728" s="62" t="inlineStr">
        <is>
          <t>Coût / Cost</t>
        </is>
      </c>
      <c r="G1728" s="3" t="n"/>
      <c r="H1728" s="3" t="n"/>
      <c r="I1728" s="3" t="n"/>
      <c r="J1728" s="3" t="n"/>
      <c r="K1728" s="3" t="n"/>
      <c r="L1728" s="3" t="n"/>
      <c r="M1728" s="3" t="n"/>
      <c r="N1728" s="32" t="n"/>
    </row>
    <row r="1729">
      <c r="C1729" s="82" t="inlineStr">
        <is>
          <t>2026-01</t>
        </is>
      </c>
      <c r="D1729" s="83" t="n">
        <v>40</v>
      </c>
      <c r="E1729" s="86" t="n">
        <v>0.31</v>
      </c>
      <c r="F1729" s="83" t="n">
        <v>2500000</v>
      </c>
      <c r="G1729" s="3" t="n"/>
      <c r="H1729" s="3" t="n"/>
      <c r="I1729" s="3" t="n"/>
      <c r="J1729" s="3" t="n"/>
      <c r="K1729" s="3" t="n"/>
      <c r="L1729" s="3" t="n"/>
      <c r="M1729" s="3" t="n"/>
      <c r="N1729" s="32" t="n"/>
    </row>
    <row r="1730">
      <c r="C1730" s="82" t="inlineStr">
        <is>
          <t>2026-02</t>
        </is>
      </c>
      <c r="D1730" s="83" t="n">
        <v>38</v>
      </c>
      <c r="E1730" s="86" t="n">
        <v>0.33</v>
      </c>
      <c r="F1730" s="83" t="n">
        <v>2400000</v>
      </c>
      <c r="G1730" s="3" t="n"/>
      <c r="H1730" s="3" t="n"/>
      <c r="I1730" s="3" t="n"/>
      <c r="J1730" s="3" t="n"/>
      <c r="K1730" s="3" t="n"/>
      <c r="L1730" s="3" t="n"/>
      <c r="M1730" s="3" t="n"/>
      <c r="N1730" s="32" t="n"/>
    </row>
    <row r="1731">
      <c r="C1731" s="82" t="inlineStr">
        <is>
          <t>2026-03</t>
        </is>
      </c>
      <c r="D1731" s="83" t="n">
        <v>44</v>
      </c>
      <c r="E1731" s="86" t="n">
        <v>0.35</v>
      </c>
      <c r="F1731" s="83" t="n">
        <v>2700000</v>
      </c>
      <c r="G1731" s="3" t="n"/>
      <c r="H1731" s="3" t="n"/>
      <c r="I1731" s="3" t="n"/>
      <c r="J1731" s="3" t="n"/>
      <c r="K1731" s="3" t="n"/>
      <c r="L1731" s="3" t="n"/>
      <c r="M1731" s="3" t="n"/>
      <c r="N1731" s="32" t="n"/>
    </row>
    <row r="1732">
      <c r="C1732" s="82" t="inlineStr">
        <is>
          <t>2026-04</t>
        </is>
      </c>
      <c r="D1732" s="83" t="n">
        <v>41</v>
      </c>
      <c r="E1732" s="86" t="n">
        <v>0.34</v>
      </c>
      <c r="F1732" s="83" t="n">
        <v>2550000</v>
      </c>
      <c r="G1732" s="3" t="n"/>
      <c r="H1732" s="3" t="n"/>
      <c r="I1732" s="3" t="n"/>
      <c r="J1732" s="3" t="n"/>
      <c r="K1732" s="3" t="n"/>
      <c r="L1732" s="3" t="n"/>
      <c r="M1732" s="3" t="n"/>
      <c r="N1732" s="32" t="n"/>
    </row>
    <row r="1733">
      <c r="C1733" s="82" t="inlineStr">
        <is>
          <t>2026-05</t>
        </is>
      </c>
      <c r="D1733" s="83" t="n">
        <v>46</v>
      </c>
      <c r="E1733" s="86" t="n">
        <v>0.37</v>
      </c>
      <c r="F1733" s="83" t="n">
        <v>2800000</v>
      </c>
      <c r="G1733" s="3" t="n"/>
      <c r="H1733" s="3" t="n"/>
      <c r="I1733" s="3" t="n"/>
      <c r="J1733" s="3" t="n"/>
      <c r="K1733" s="3" t="n"/>
      <c r="L1733" s="3" t="n"/>
      <c r="M1733" s="3" t="n"/>
      <c r="N1733" s="32" t="n"/>
    </row>
    <row r="1734">
      <c r="C1734" s="82" t="inlineStr">
        <is>
          <t>2026-06</t>
        </is>
      </c>
      <c r="D1734" s="83" t="n">
        <v>42</v>
      </c>
      <c r="E1734" s="86" t="n">
        <v>0.36</v>
      </c>
      <c r="F1734" s="83" t="n">
        <v>2600000</v>
      </c>
      <c r="G1734" s="3" t="n"/>
      <c r="H1734" s="3" t="n"/>
      <c r="I1734" s="3" t="n"/>
      <c r="J1734" s="3" t="n"/>
      <c r="K1734" s="3" t="n"/>
      <c r="L1734" s="3" t="n"/>
      <c r="M1734" s="3" t="n"/>
      <c r="N1734" s="32" t="n"/>
    </row>
    <row r="1735">
      <c r="C1735" s="50" t="n"/>
      <c r="D1735" s="3" t="n"/>
      <c r="E1735" s="3" t="n"/>
      <c r="F1735" s="3" t="n"/>
      <c r="G1735" s="3" t="n"/>
      <c r="H1735" s="3" t="n"/>
      <c r="I1735" s="3" t="n"/>
      <c r="J1735" s="3" t="n"/>
      <c r="K1735" s="3" t="n"/>
      <c r="L1735" s="3" t="n"/>
      <c r="M1735" s="3" t="n"/>
      <c r="N1735" s="32" t="n"/>
    </row>
    <row r="1736">
      <c r="C1736" s="50" t="n"/>
      <c r="D1736" s="3" t="n"/>
      <c r="E1736" s="3" t="n"/>
      <c r="F1736" s="3" t="n"/>
      <c r="G1736" s="3" t="n"/>
      <c r="H1736" s="3" t="n"/>
      <c r="I1736" s="3" t="n"/>
      <c r="J1736" s="3" t="n"/>
      <c r="K1736" s="3" t="n"/>
      <c r="L1736" s="3" t="n"/>
      <c r="M1736" s="3" t="n"/>
      <c r="N1736" s="32" t="n"/>
    </row>
    <row r="1737">
      <c r="C1737" s="50" t="n"/>
      <c r="D1737" s="3" t="n"/>
      <c r="E1737" s="3" t="n"/>
      <c r="F1737" s="3" t="n"/>
      <c r="G1737" s="3" t="n"/>
      <c r="H1737" s="3" t="n"/>
      <c r="I1737" s="3" t="n"/>
      <c r="J1737" s="3" t="n"/>
      <c r="K1737" s="3" t="n"/>
      <c r="L1737" s="3" t="n"/>
      <c r="M1737" s="3" t="n"/>
      <c r="N1737" s="32" t="n"/>
    </row>
    <row r="1738">
      <c r="C1738" s="50" t="n"/>
      <c r="D1738" s="3" t="n"/>
      <c r="E1738" s="3" t="n"/>
      <c r="F1738" s="3" t="n"/>
      <c r="G1738" s="3" t="n"/>
      <c r="H1738" s="3" t="n"/>
      <c r="I1738" s="3" t="n"/>
      <c r="J1738" s="3" t="n"/>
      <c r="K1738" s="3" t="n"/>
      <c r="L1738" s="3" t="n"/>
      <c r="M1738" s="3" t="n"/>
      <c r="N1738" s="32" t="n"/>
    </row>
    <row r="1739">
      <c r="C1739" s="50" t="n"/>
      <c r="D1739" s="3" t="n"/>
      <c r="E1739" s="3" t="n"/>
      <c r="F1739" s="3" t="n"/>
      <c r="G1739" s="3" t="n"/>
      <c r="H1739" s="3" t="n"/>
      <c r="I1739" s="3" t="n"/>
      <c r="J1739" s="3" t="n"/>
      <c r="K1739" s="3" t="n"/>
      <c r="L1739" s="3" t="n"/>
      <c r="M1739" s="3" t="n"/>
      <c r="N1739" s="32" t="n"/>
    </row>
    <row r="1740">
      <c r="C1740" s="50" t="n"/>
      <c r="D1740" s="3" t="n"/>
      <c r="E1740" s="3" t="n"/>
      <c r="F1740" s="3" t="n"/>
      <c r="G1740" s="3" t="n"/>
      <c r="H1740" s="3" t="n"/>
      <c r="I1740" s="3" t="n"/>
      <c r="J1740" s="3" t="n"/>
      <c r="K1740" s="3" t="n"/>
      <c r="L1740" s="3" t="n"/>
      <c r="M1740" s="3" t="n"/>
      <c r="N1740" s="32" t="n"/>
    </row>
    <row r="1741">
      <c r="C1741" s="50" t="n"/>
      <c r="D1741" s="3" t="n"/>
      <c r="E1741" s="3" t="n"/>
      <c r="F1741" s="3" t="n"/>
      <c r="G1741" s="3" t="n"/>
      <c r="H1741" s="3" t="n"/>
      <c r="I1741" s="3" t="n"/>
      <c r="J1741" s="3" t="n"/>
      <c r="K1741" s="3" t="n"/>
      <c r="L1741" s="3" t="n"/>
      <c r="M1741" s="3" t="n"/>
      <c r="N1741" s="32" t="n"/>
    </row>
    <row r="1742">
      <c r="C1742" s="50" t="n"/>
      <c r="D1742" s="3" t="n"/>
      <c r="E1742" s="3" t="n"/>
      <c r="F1742" s="3" t="n"/>
      <c r="G1742" s="3" t="n"/>
      <c r="H1742" s="3" t="n"/>
      <c r="I1742" s="3" t="n"/>
      <c r="J1742" s="3" t="n"/>
      <c r="K1742" s="3" t="n"/>
      <c r="L1742" s="3" t="n"/>
      <c r="M1742" s="3" t="n"/>
      <c r="N1742" s="32" t="n"/>
    </row>
    <row r="1743">
      <c r="C1743" s="53">
        <f>"💬 "&amp;IFERROR(IF(LANG="EN",INDEX(I18N_EN,MATCH("col.comment",I18N_KEY,0)),INDEX(I18N_FR,MATCH("col.comment",I18N_KEY,0))),"col.comment")</f>
        <v/>
      </c>
      <c r="D1743" s="5" t="n"/>
      <c r="E1743" s="5" t="n"/>
      <c r="F1743" s="5" t="n"/>
      <c r="G1743" s="5" t="n"/>
      <c r="H1743" s="5" t="n"/>
      <c r="I1743" s="5" t="n"/>
      <c r="J1743" s="5" t="n"/>
      <c r="K1743" s="5" t="n"/>
      <c r="L1743" s="5" t="n"/>
      <c r="M1743" s="5" t="n"/>
      <c r="N1743" s="54" t="n"/>
      <c r="O1743" s="5" t="n"/>
    </row>
    <row r="1744">
      <c r="C1744" s="55">
        <f>IF(LANG="EN","Commentary / data source: management systems (demo).","Commentaire / source : systèmes de gestion (démo).")</f>
        <v/>
      </c>
      <c r="D1744" s="56" t="n"/>
      <c r="E1744" s="56" t="n"/>
      <c r="F1744" s="56" t="n"/>
      <c r="G1744" s="56" t="n"/>
      <c r="H1744" s="56" t="n"/>
      <c r="I1744" s="56" t="n"/>
      <c r="J1744" s="56" t="n"/>
      <c r="K1744" s="56" t="n"/>
      <c r="L1744" s="56" t="n"/>
      <c r="M1744" s="56" t="n"/>
      <c r="N1744" s="56" t="n"/>
      <c r="O1744" s="57" t="n"/>
    </row>
    <row r="1745">
      <c r="C1745" s="50" t="n"/>
      <c r="D1745" s="3" t="n"/>
      <c r="E1745" s="3" t="n"/>
      <c r="F1745" s="3" t="n"/>
      <c r="G1745" s="3" t="n"/>
      <c r="H1745" s="3" t="n"/>
      <c r="I1745" s="3" t="n"/>
      <c r="J1745" s="3" t="n"/>
      <c r="K1745" s="3" t="n"/>
      <c r="L1745" s="3" t="n"/>
      <c r="M1745" s="3" t="n"/>
      <c r="N1745" s="32" t="n"/>
    </row>
    <row r="1746">
      <c r="C1746" s="58" t="n"/>
      <c r="D1746" s="58" t="n"/>
      <c r="E1746" s="58" t="n"/>
      <c r="F1746" s="58" t="n"/>
      <c r="G1746" s="58" t="n"/>
      <c r="H1746" s="58" t="n"/>
      <c r="I1746" s="58" t="n"/>
      <c r="J1746" s="58" t="n"/>
      <c r="K1746" s="58" t="n"/>
      <c r="L1746" s="58" t="n"/>
      <c r="M1746" s="58" t="n"/>
      <c r="N1746" s="58" t="n"/>
      <c r="O1746" s="59" t="n"/>
    </row>
    <row r="1747">
      <c r="C1747" s="60" t="n"/>
      <c r="D1747" s="36" t="n"/>
      <c r="E1747" s="36" t="n"/>
      <c r="F1747" s="36" t="n"/>
      <c r="G1747" s="36" t="n"/>
      <c r="H1747" s="36" t="n"/>
      <c r="I1747" s="36" t="n"/>
      <c r="J1747" s="36" t="n"/>
      <c r="K1747" s="36" t="n"/>
      <c r="L1747" s="36" t="n"/>
      <c r="M1747" s="36" t="n"/>
      <c r="N1747" s="22" t="n"/>
    </row>
    <row r="1748">
      <c r="C1748" s="3" t="n"/>
      <c r="D1748" s="3" t="n"/>
      <c r="E1748" s="3" t="n"/>
      <c r="F1748" s="3" t="n"/>
      <c r="G1748" s="3" t="n"/>
      <c r="H1748" s="3" t="n"/>
      <c r="I1748" s="3" t="n"/>
      <c r="J1748" s="3" t="n"/>
      <c r="K1748" s="3" t="n"/>
      <c r="L1748" s="3" t="n"/>
      <c r="M1748" s="3" t="n"/>
      <c r="N1748" s="3" t="n"/>
    </row>
    <row r="1749" ht="19" customHeight="1">
      <c r="C1749" s="46">
        <f>"▸  9.4  "&amp;IF(LANG="EN","Facility Action Items","Actions facility")</f>
        <v/>
      </c>
      <c r="D1749" s="47" t="n"/>
      <c r="E1749" s="47" t="n"/>
      <c r="F1749" s="47" t="n"/>
      <c r="G1749" s="47" t="n"/>
      <c r="H1749" s="47" t="n"/>
      <c r="I1749" s="47" t="n"/>
      <c r="J1749" s="47" t="n"/>
      <c r="K1749" s="47" t="n"/>
      <c r="L1749" s="47" t="n"/>
      <c r="M1749" s="47" t="n"/>
      <c r="N1749" s="48" t="n"/>
      <c r="O1749" s="1" t="n"/>
    </row>
    <row r="1750">
      <c r="C1750" s="80" t="inlineStr">
        <is>
          <t>Réf / Ref</t>
        </is>
      </c>
      <c r="D1750" s="81" t="inlineStr">
        <is>
          <t>Action</t>
        </is>
      </c>
      <c r="E1750" s="81" t="inlineStr">
        <is>
          <t>Responsable / Owner</t>
        </is>
      </c>
      <c r="F1750" s="81" t="inlineStr">
        <is>
          <t>Échéance / Due</t>
        </is>
      </c>
      <c r="G1750" s="81" t="inlineStr">
        <is>
          <t>Statut / Status</t>
        </is>
      </c>
      <c r="H1750" s="3" t="n"/>
      <c r="I1750" s="3" t="n"/>
      <c r="J1750" s="3" t="n"/>
      <c r="K1750" s="3" t="n"/>
      <c r="L1750" s="3" t="n"/>
      <c r="M1750" s="3" t="n"/>
      <c r="N1750" s="32" t="n"/>
    </row>
    <row r="1751">
      <c r="C1751" s="82" t="inlineStr">
        <is>
          <t>FA-01</t>
        </is>
      </c>
      <c r="D1751" s="84" t="inlineStr">
        <is>
          <t>Étanchéité toiture / Roof sealing</t>
        </is>
      </c>
      <c r="E1751" s="84" t="inlineStr">
        <is>
          <t>Facility</t>
        </is>
      </c>
      <c r="F1751" s="84" t="inlineStr">
        <is>
          <t>2026-07-30</t>
        </is>
      </c>
      <c r="G1751" s="84" t="inlineStr">
        <is>
          <t>En cours / Ongoing</t>
        </is>
      </c>
      <c r="H1751" s="3" t="n"/>
      <c r="I1751" s="3" t="n"/>
      <c r="J1751" s="3" t="n"/>
      <c r="K1751" s="3" t="n"/>
      <c r="L1751" s="3" t="n"/>
      <c r="M1751" s="3" t="n"/>
      <c r="N1751" s="32" t="n"/>
    </row>
    <row r="1752">
      <c r="C1752" s="82" t="inlineStr">
        <is>
          <t>FA-02</t>
        </is>
      </c>
      <c r="D1752" s="84" t="inlineStr">
        <is>
          <t>Relamping LED parking</t>
        </is>
      </c>
      <c r="E1752" s="84" t="inlineStr">
        <is>
          <t>Facility</t>
        </is>
      </c>
      <c r="F1752" s="84" t="inlineStr">
        <is>
          <t>2026-08-05</t>
        </is>
      </c>
      <c r="G1752" s="84" t="inlineStr">
        <is>
          <t>Planifié / Planned</t>
        </is>
      </c>
      <c r="H1752" s="3" t="n"/>
      <c r="I1752" s="3" t="n"/>
      <c r="J1752" s="3" t="n"/>
      <c r="K1752" s="3" t="n"/>
      <c r="L1752" s="3" t="n"/>
      <c r="M1752" s="3" t="n"/>
      <c r="N1752" s="32" t="n"/>
    </row>
    <row r="1753">
      <c r="C1753" s="82" t="inlineStr">
        <is>
          <t>FA-03</t>
        </is>
      </c>
      <c r="D1753" s="84" t="inlineStr">
        <is>
          <t>Contrat nettoyage / Cleaning contract</t>
        </is>
      </c>
      <c r="E1753" s="84" t="inlineStr">
        <is>
          <t>Achats / Procurement</t>
        </is>
      </c>
      <c r="F1753" s="84" t="inlineStr">
        <is>
          <t>2026-07-12</t>
        </is>
      </c>
      <c r="G1753" s="84" t="inlineStr">
        <is>
          <t>En cours / Ongoing</t>
        </is>
      </c>
      <c r="H1753" s="3" t="n"/>
      <c r="I1753" s="3" t="n"/>
      <c r="J1753" s="3" t="n"/>
      <c r="K1753" s="3" t="n"/>
      <c r="L1753" s="3" t="n"/>
      <c r="M1753" s="3" t="n"/>
      <c r="N1753" s="32" t="n"/>
    </row>
    <row r="1754">
      <c r="C1754" s="50" t="n"/>
      <c r="D1754" s="3" t="n"/>
      <c r="E1754" s="3" t="n"/>
      <c r="F1754" s="3" t="n"/>
      <c r="G1754" s="3" t="n"/>
      <c r="H1754" s="3" t="n"/>
      <c r="I1754" s="3" t="n"/>
      <c r="J1754" s="3" t="n"/>
      <c r="K1754" s="3" t="n"/>
      <c r="L1754" s="3" t="n"/>
      <c r="M1754" s="3" t="n"/>
      <c r="N1754" s="32" t="n"/>
    </row>
    <row r="1755">
      <c r="C1755" s="53">
        <f>"💬 "&amp;IFERROR(IF(LANG="EN",INDEX(I18N_EN,MATCH("col.comment",I18N_KEY,0)),INDEX(I18N_FR,MATCH("col.comment",I18N_KEY,0))),"col.comment")</f>
        <v/>
      </c>
      <c r="D1755" s="5" t="n"/>
      <c r="E1755" s="5" t="n"/>
      <c r="F1755" s="5" t="n"/>
      <c r="G1755" s="5" t="n"/>
      <c r="H1755" s="5" t="n"/>
      <c r="I1755" s="5" t="n"/>
      <c r="J1755" s="5" t="n"/>
      <c r="K1755" s="5" t="n"/>
      <c r="L1755" s="5" t="n"/>
      <c r="M1755" s="5" t="n"/>
      <c r="N1755" s="54" t="n"/>
      <c r="O1755" s="5" t="n"/>
    </row>
    <row r="1756">
      <c r="C1756" s="55">
        <f>IF(LANG="EN","Commentary / data source: management systems (demo).","Commentaire / source : systèmes de gestion (démo).")</f>
        <v/>
      </c>
      <c r="D1756" s="56" t="n"/>
      <c r="E1756" s="56" t="n"/>
      <c r="F1756" s="56" t="n"/>
      <c r="G1756" s="56" t="n"/>
      <c r="H1756" s="56" t="n"/>
      <c r="I1756" s="56" t="n"/>
      <c r="J1756" s="56" t="n"/>
      <c r="K1756" s="56" t="n"/>
      <c r="L1756" s="56" t="n"/>
      <c r="M1756" s="56" t="n"/>
      <c r="N1756" s="56" t="n"/>
      <c r="O1756" s="57" t="n"/>
    </row>
    <row r="1757">
      <c r="C1757" s="50" t="n"/>
      <c r="D1757" s="3" t="n"/>
      <c r="E1757" s="3" t="n"/>
      <c r="F1757" s="3" t="n"/>
      <c r="G1757" s="3" t="n"/>
      <c r="H1757" s="3" t="n"/>
      <c r="I1757" s="3" t="n"/>
      <c r="J1757" s="3" t="n"/>
      <c r="K1757" s="3" t="n"/>
      <c r="L1757" s="3" t="n"/>
      <c r="M1757" s="3" t="n"/>
      <c r="N1757" s="32" t="n"/>
    </row>
    <row r="1758">
      <c r="C1758" s="58" t="n"/>
      <c r="D1758" s="58" t="n"/>
      <c r="E1758" s="58" t="n"/>
      <c r="F1758" s="58" t="n"/>
      <c r="G1758" s="58" t="n"/>
      <c r="H1758" s="58" t="n"/>
      <c r="I1758" s="58" t="n"/>
      <c r="J1758" s="58" t="n"/>
      <c r="K1758" s="58" t="n"/>
      <c r="L1758" s="58" t="n"/>
      <c r="M1758" s="58" t="n"/>
      <c r="N1758" s="58" t="n"/>
      <c r="O1758" s="59" t="n"/>
    </row>
    <row r="1759">
      <c r="C1759" s="60" t="n"/>
      <c r="D1759" s="36" t="n"/>
      <c r="E1759" s="36" t="n"/>
      <c r="F1759" s="36" t="n"/>
      <c r="G1759" s="36" t="n"/>
      <c r="H1759" s="36" t="n"/>
      <c r="I1759" s="36" t="n"/>
      <c r="J1759" s="36" t="n"/>
      <c r="K1759" s="36" t="n"/>
      <c r="L1759" s="36" t="n"/>
      <c r="M1759" s="36" t="n"/>
      <c r="N1759" s="22" t="n"/>
    </row>
    <row r="1760">
      <c r="C1760" s="3" t="n"/>
      <c r="D1760" s="3" t="n"/>
      <c r="E1760" s="3" t="n"/>
      <c r="F1760" s="3" t="n"/>
      <c r="G1760" s="3" t="n"/>
      <c r="H1760" s="3" t="n"/>
      <c r="I1760" s="3" t="n"/>
      <c r="J1760" s="3" t="n"/>
      <c r="K1760" s="3" t="n"/>
      <c r="L1760" s="3" t="n"/>
      <c r="M1760" s="3" t="n"/>
      <c r="N1760" s="3" t="n"/>
    </row>
    <row r="1761" ht="19" customHeight="1">
      <c r="C1761" s="46">
        <f>"▸  9.5  "&amp;IF(LANG="EN","Vendors Assessment","Évaluation prestataires")</f>
        <v/>
      </c>
      <c r="D1761" s="47" t="n"/>
      <c r="E1761" s="47" t="n"/>
      <c r="F1761" s="47" t="n"/>
      <c r="G1761" s="47" t="n"/>
      <c r="H1761" s="47" t="n"/>
      <c r="I1761" s="47" t="n"/>
      <c r="J1761" s="47" t="n"/>
      <c r="K1761" s="47" t="n"/>
      <c r="L1761" s="47" t="n"/>
      <c r="M1761" s="47" t="n"/>
      <c r="N1761" s="48" t="n"/>
      <c r="O1761" s="1" t="n"/>
    </row>
    <row r="1762">
      <c r="C1762" s="80" t="inlineStr">
        <is>
          <t>Prestataire / Vendor</t>
        </is>
      </c>
      <c r="D1762" s="81" t="inlineStr">
        <is>
          <t>Service</t>
        </is>
      </c>
      <c r="E1762" s="62" t="inlineStr">
        <is>
          <t>SLA</t>
        </is>
      </c>
      <c r="F1762" s="62" t="inlineStr">
        <is>
          <t>Score /10</t>
        </is>
      </c>
      <c r="G1762" s="81" t="inlineStr">
        <is>
          <t>Statut / Status</t>
        </is>
      </c>
      <c r="H1762" s="3" t="n"/>
      <c r="I1762" s="3" t="n"/>
      <c r="J1762" s="3" t="n"/>
      <c r="K1762" s="3" t="n"/>
      <c r="L1762" s="3" t="n"/>
      <c r="M1762" s="3" t="n"/>
      <c r="N1762" s="32" t="n"/>
    </row>
    <row r="1763">
      <c r="C1763" s="82" t="inlineStr">
        <is>
          <t>CleanPro</t>
        </is>
      </c>
      <c r="D1763" s="84" t="inlineStr">
        <is>
          <t>Nettoyage / Cleaning</t>
        </is>
      </c>
      <c r="E1763" s="86" t="n">
        <v>0.93</v>
      </c>
      <c r="F1763" s="83" t="n">
        <v>8</v>
      </c>
      <c r="G1763" s="84" t="inlineStr">
        <is>
          <t>Conforme / OK</t>
        </is>
      </c>
      <c r="H1763" s="3" t="n"/>
      <c r="I1763" s="3" t="n"/>
      <c r="J1763" s="3" t="n"/>
      <c r="K1763" s="3" t="n"/>
      <c r="L1763" s="3" t="n"/>
      <c r="M1763" s="3" t="n"/>
      <c r="N1763" s="32" t="n"/>
    </row>
    <row r="1764">
      <c r="C1764" s="82" t="inlineStr">
        <is>
          <t>CoolTech</t>
        </is>
      </c>
      <c r="D1764" s="84" t="inlineStr">
        <is>
          <t>CVC / HVAC</t>
        </is>
      </c>
      <c r="E1764" s="86" t="n">
        <v>0.95</v>
      </c>
      <c r="F1764" s="83" t="n">
        <v>9</v>
      </c>
      <c r="G1764" s="84" t="inlineStr">
        <is>
          <t>Conforme / OK</t>
        </is>
      </c>
      <c r="H1764" s="3" t="n"/>
      <c r="I1764" s="3" t="n"/>
      <c r="J1764" s="3" t="n"/>
      <c r="K1764" s="3" t="n"/>
      <c r="L1764" s="3" t="n"/>
      <c r="M1764" s="3" t="n"/>
      <c r="N1764" s="32" t="n"/>
    </row>
    <row r="1765">
      <c r="C1765" s="82" t="inlineStr">
        <is>
          <t>LiftCare</t>
        </is>
      </c>
      <c r="D1765" s="84" t="inlineStr">
        <is>
          <t>Ascenseurs / Lifts</t>
        </is>
      </c>
      <c r="E1765" s="86" t="n">
        <v>0.91</v>
      </c>
      <c r="F1765" s="83" t="n">
        <v>7</v>
      </c>
      <c r="G1765" s="84" t="inlineStr">
        <is>
          <t>Vigilance / Watch</t>
        </is>
      </c>
      <c r="H1765" s="3" t="n"/>
      <c r="I1765" s="3" t="n"/>
      <c r="J1765" s="3" t="n"/>
      <c r="K1765" s="3" t="n"/>
      <c r="L1765" s="3" t="n"/>
      <c r="M1765" s="3" t="n"/>
      <c r="N1765" s="32" t="n"/>
    </row>
    <row r="1766">
      <c r="C1766" s="82" t="inlineStr">
        <is>
          <t>EcoWaste</t>
        </is>
      </c>
      <c r="D1766" s="84" t="inlineStr">
        <is>
          <t>Déchets / Waste</t>
        </is>
      </c>
      <c r="E1766" s="86" t="n">
        <v>0.88</v>
      </c>
      <c r="F1766" s="83" t="n">
        <v>6</v>
      </c>
      <c r="G1766" s="84" t="inlineStr">
        <is>
          <t>Vigilance / Watch</t>
        </is>
      </c>
      <c r="H1766" s="3" t="n"/>
      <c r="I1766" s="3" t="n"/>
      <c r="J1766" s="3" t="n"/>
      <c r="K1766" s="3" t="n"/>
      <c r="L1766" s="3" t="n"/>
      <c r="M1766" s="3" t="n"/>
      <c r="N1766" s="32" t="n"/>
    </row>
    <row r="1767">
      <c r="C1767" s="50" t="n"/>
      <c r="D1767" s="3" t="n"/>
      <c r="E1767" s="3" t="n"/>
      <c r="F1767" s="3" t="n"/>
      <c r="G1767" s="3" t="n"/>
      <c r="H1767" s="3" t="n"/>
      <c r="I1767" s="3" t="n"/>
      <c r="J1767" s="3" t="n"/>
      <c r="K1767" s="3" t="n"/>
      <c r="L1767" s="3" t="n"/>
      <c r="M1767" s="3" t="n"/>
      <c r="N1767" s="32" t="n"/>
    </row>
    <row r="1768">
      <c r="C1768" s="50" t="n"/>
      <c r="D1768" s="3" t="n"/>
      <c r="E1768" s="3" t="n"/>
      <c r="F1768" s="3" t="n"/>
      <c r="G1768" s="3" t="n"/>
      <c r="H1768" s="3" t="n"/>
      <c r="I1768" s="3" t="n"/>
      <c r="J1768" s="3" t="n"/>
      <c r="K1768" s="3" t="n"/>
      <c r="L1768" s="3" t="n"/>
      <c r="M1768" s="3" t="n"/>
      <c r="N1768" s="32" t="n"/>
    </row>
    <row r="1769">
      <c r="C1769" s="50" t="n"/>
      <c r="D1769" s="3" t="n"/>
      <c r="E1769" s="3" t="n"/>
      <c r="F1769" s="3" t="n"/>
      <c r="G1769" s="3" t="n"/>
      <c r="H1769" s="3" t="n"/>
      <c r="I1769" s="3" t="n"/>
      <c r="J1769" s="3" t="n"/>
      <c r="K1769" s="3" t="n"/>
      <c r="L1769" s="3" t="n"/>
      <c r="M1769" s="3" t="n"/>
      <c r="N1769" s="32" t="n"/>
    </row>
    <row r="1770">
      <c r="C1770" s="50" t="n"/>
      <c r="D1770" s="3" t="n"/>
      <c r="E1770" s="3" t="n"/>
      <c r="F1770" s="3" t="n"/>
      <c r="G1770" s="3" t="n"/>
      <c r="H1770" s="3" t="n"/>
      <c r="I1770" s="3" t="n"/>
      <c r="J1770" s="3" t="n"/>
      <c r="K1770" s="3" t="n"/>
      <c r="L1770" s="3" t="n"/>
      <c r="M1770" s="3" t="n"/>
      <c r="N1770" s="32" t="n"/>
    </row>
    <row r="1771">
      <c r="C1771" s="50" t="n"/>
      <c r="D1771" s="3" t="n"/>
      <c r="E1771" s="3" t="n"/>
      <c r="F1771" s="3" t="n"/>
      <c r="G1771" s="3" t="n"/>
      <c r="H1771" s="3" t="n"/>
      <c r="I1771" s="3" t="n"/>
      <c r="J1771" s="3" t="n"/>
      <c r="K1771" s="3" t="n"/>
      <c r="L1771" s="3" t="n"/>
      <c r="M1771" s="3" t="n"/>
      <c r="N1771" s="32" t="n"/>
    </row>
    <row r="1772">
      <c r="C1772" s="50" t="n"/>
      <c r="D1772" s="3" t="n"/>
      <c r="E1772" s="3" t="n"/>
      <c r="F1772" s="3" t="n"/>
      <c r="G1772" s="3" t="n"/>
      <c r="H1772" s="3" t="n"/>
      <c r="I1772" s="3" t="n"/>
      <c r="J1772" s="3" t="n"/>
      <c r="K1772" s="3" t="n"/>
      <c r="L1772" s="3" t="n"/>
      <c r="M1772" s="3" t="n"/>
      <c r="N1772" s="32" t="n"/>
    </row>
    <row r="1773">
      <c r="C1773" s="50" t="n"/>
      <c r="D1773" s="3" t="n"/>
      <c r="E1773" s="3" t="n"/>
      <c r="F1773" s="3" t="n"/>
      <c r="G1773" s="3" t="n"/>
      <c r="H1773" s="3" t="n"/>
      <c r="I1773" s="3" t="n"/>
      <c r="J1773" s="3" t="n"/>
      <c r="K1773" s="3" t="n"/>
      <c r="L1773" s="3" t="n"/>
      <c r="M1773" s="3" t="n"/>
      <c r="N1773" s="32" t="n"/>
    </row>
    <row r="1774">
      <c r="C1774" s="50" t="n"/>
      <c r="D1774" s="3" t="n"/>
      <c r="E1774" s="3" t="n"/>
      <c r="F1774" s="3" t="n"/>
      <c r="G1774" s="3" t="n"/>
      <c r="H1774" s="3" t="n"/>
      <c r="I1774" s="3" t="n"/>
      <c r="J1774" s="3" t="n"/>
      <c r="K1774" s="3" t="n"/>
      <c r="L1774" s="3" t="n"/>
      <c r="M1774" s="3" t="n"/>
      <c r="N1774" s="32" t="n"/>
    </row>
    <row r="1775">
      <c r="C1775" s="53">
        <f>"💬 "&amp;IFERROR(IF(LANG="EN",INDEX(I18N_EN,MATCH("col.comment",I18N_KEY,0)),INDEX(I18N_FR,MATCH("col.comment",I18N_KEY,0))),"col.comment")</f>
        <v/>
      </c>
      <c r="D1775" s="5" t="n"/>
      <c r="E1775" s="5" t="n"/>
      <c r="F1775" s="5" t="n"/>
      <c r="G1775" s="5" t="n"/>
      <c r="H1775" s="5" t="n"/>
      <c r="I1775" s="5" t="n"/>
      <c r="J1775" s="5" t="n"/>
      <c r="K1775" s="5" t="n"/>
      <c r="L1775" s="5" t="n"/>
      <c r="M1775" s="5" t="n"/>
      <c r="N1775" s="54" t="n"/>
      <c r="O1775" s="5" t="n"/>
    </row>
    <row r="1776">
      <c r="C1776" s="55">
        <f>IF(LANG="EN","Commentary / data source: management systems (demo).","Commentaire / source : systèmes de gestion (démo).")</f>
        <v/>
      </c>
      <c r="D1776" s="56" t="n"/>
      <c r="E1776" s="56" t="n"/>
      <c r="F1776" s="56" t="n"/>
      <c r="G1776" s="56" t="n"/>
      <c r="H1776" s="56" t="n"/>
      <c r="I1776" s="56" t="n"/>
      <c r="J1776" s="56" t="n"/>
      <c r="K1776" s="56" t="n"/>
      <c r="L1776" s="56" t="n"/>
      <c r="M1776" s="56" t="n"/>
      <c r="N1776" s="56" t="n"/>
      <c r="O1776" s="57" t="n"/>
    </row>
    <row r="1777">
      <c r="C1777" s="50" t="n"/>
      <c r="D1777" s="3" t="n"/>
      <c r="E1777" s="3" t="n"/>
      <c r="F1777" s="3" t="n"/>
      <c r="G1777" s="3" t="n"/>
      <c r="H1777" s="3" t="n"/>
      <c r="I1777" s="3" t="n"/>
      <c r="J1777" s="3" t="n"/>
      <c r="K1777" s="3" t="n"/>
      <c r="L1777" s="3" t="n"/>
      <c r="M1777" s="3" t="n"/>
      <c r="N1777" s="32" t="n"/>
    </row>
    <row r="1778">
      <c r="C1778" s="58" t="n"/>
      <c r="D1778" s="58" t="n"/>
      <c r="E1778" s="58" t="n"/>
      <c r="F1778" s="58" t="n"/>
      <c r="G1778" s="58" t="n"/>
      <c r="H1778" s="58" t="n"/>
      <c r="I1778" s="58" t="n"/>
      <c r="J1778" s="58" t="n"/>
      <c r="K1778" s="58" t="n"/>
      <c r="L1778" s="58" t="n"/>
      <c r="M1778" s="58" t="n"/>
      <c r="N1778" s="58" t="n"/>
      <c r="O1778" s="59" t="n"/>
    </row>
    <row r="1779">
      <c r="C1779" s="60" t="n"/>
      <c r="D1779" s="36" t="n"/>
      <c r="E1779" s="36" t="n"/>
      <c r="F1779" s="36" t="n"/>
      <c r="G1779" s="36" t="n"/>
      <c r="H1779" s="36" t="n"/>
      <c r="I1779" s="36" t="n"/>
      <c r="J1779" s="36" t="n"/>
      <c r="K1779" s="36" t="n"/>
      <c r="L1779" s="36" t="n"/>
      <c r="M1779" s="36" t="n"/>
      <c r="N1779" s="22" t="n"/>
    </row>
    <row r="1780">
      <c r="C1780" s="3" t="n"/>
      <c r="D1780" s="3" t="n"/>
      <c r="E1780" s="3" t="n"/>
      <c r="F1780" s="3" t="n"/>
      <c r="G1780" s="3" t="n"/>
      <c r="H1780" s="3" t="n"/>
      <c r="I1780" s="3" t="n"/>
      <c r="J1780" s="3" t="n"/>
      <c r="K1780" s="3" t="n"/>
      <c r="L1780" s="3" t="n"/>
      <c r="M1780" s="3" t="n"/>
      <c r="N1780" s="3" t="n"/>
    </row>
    <row r="1781" ht="19" customHeight="1">
      <c r="C1781" s="46">
        <f>"▸  9.6  "&amp;IF(LANG="EN","Budget Tracking","Suivi budgétaire")</f>
        <v/>
      </c>
      <c r="D1781" s="47" t="n"/>
      <c r="E1781" s="47" t="n"/>
      <c r="F1781" s="47" t="n"/>
      <c r="G1781" s="47" t="n"/>
      <c r="H1781" s="47" t="n"/>
      <c r="I1781" s="47" t="n"/>
      <c r="J1781" s="47" t="n"/>
      <c r="K1781" s="47" t="n"/>
      <c r="L1781" s="47" t="n"/>
      <c r="M1781" s="47" t="n"/>
      <c r="N1781" s="48" t="n"/>
      <c r="O1781" s="1" t="n"/>
    </row>
    <row r="1782">
      <c r="C1782" s="61">
        <f>IFERROR(IF(LANG="EN",INDEX(I18N_EN,MATCH("col.kpi",I18N_KEY,0)),INDEX(I18N_FR,MATCH("col.kpi",I18N_KEY,0))),"col.kpi")</f>
        <v/>
      </c>
      <c r="D1782" s="62">
        <f>IFERROR(IF(LANG="EN",INDEX(I18N_EN,MATCH("col.unit",I18N_KEY,0)),INDEX(I18N_FR,MATCH("col.unit",I18N_KEY,0))),"col.unit")</f>
        <v/>
      </c>
      <c r="E1782" s="62">
        <f>IFERROR(IF(LANG="EN",INDEX(I18N_EN,MATCH("col.current",I18N_KEY,0)),INDEX(I18N_FR,MATCH("col.current",I18N_KEY,0))),"col.current")</f>
        <v/>
      </c>
      <c r="F1782" s="62">
        <f>IFERROR(IF(LANG="EN",INDEX(I18N_EN,MATCH("col.prev",I18N_KEY,0)),INDEX(I18N_FR,MATCH("col.prev",I18N_KEY,0))),"col.prev")</f>
        <v/>
      </c>
      <c r="G1782" s="62">
        <f>IFERROR(IF(LANG="EN",INDEX(I18N_EN,MATCH("col.delta_prev",I18N_KEY,0)),INDEX(I18N_FR,MATCH("col.delta_prev",I18N_KEY,0))),"col.delta_prev")</f>
        <v/>
      </c>
      <c r="H1782" s="62">
        <f>IFERROR(IF(LANG="EN",INDEX(I18N_EN,MATCH("col.py",I18N_KEY,0)),INDEX(I18N_FR,MATCH("col.py",I18N_KEY,0))),"col.py")</f>
        <v/>
      </c>
      <c r="I1782" s="62">
        <f>IFERROR(IF(LANG="EN",INDEX(I18N_EN,MATCH("col.delta_py",I18N_KEY,0)),INDEX(I18N_FR,MATCH("col.delta_py",I18N_KEY,0))),"col.delta_py")</f>
        <v/>
      </c>
      <c r="J1782" s="62">
        <f>IFERROR(IF(LANG="EN",INDEX(I18N_EN,MATCH("col.budget",I18N_KEY,0)),INDEX(I18N_FR,MATCH("col.budget",I18N_KEY,0))),"col.budget")</f>
        <v/>
      </c>
      <c r="K1782" s="62">
        <f>IFERROR(IF(LANG="EN",INDEX(I18N_EN,MATCH("col.var",I18N_KEY,0)),INDEX(I18N_FR,MATCH("col.var",I18N_KEY,0))),"col.var")</f>
        <v/>
      </c>
      <c r="L1782" s="62">
        <f>IFERROR(IF(LANG="EN",INDEX(I18N_EN,MATCH("col.rag",I18N_KEY,0)),INDEX(I18N_FR,MATCH("col.rag",I18N_KEY,0))),"col.rag")</f>
        <v/>
      </c>
      <c r="M1782" s="3" t="n"/>
      <c r="N1782" s="32" t="n"/>
    </row>
    <row r="1783">
      <c r="C1783" s="63">
        <f>IFERROR(IF(LANG="EN",INDEX(I18N_EN,MATCH("kpi.fac.capex",I18N_KEY,0)),INDEX(I18N_FR,MATCH("kpi.fac.capex",I18N_KEY,0))),"kpi.fac.capex")</f>
        <v/>
      </c>
      <c r="D1783" s="64" t="inlineStr">
        <is>
          <t>FCFA</t>
        </is>
      </c>
      <c r="E1783" s="70">
        <f>IFERROR((SUMIFS('M3 · Base mensuelle'!$D$116:$AM$116,HDR,"&gt;="&amp;P_START,HDR,"&lt;="&amp;P_END))/1000000,"")</f>
        <v/>
      </c>
      <c r="F1783" s="70">
        <f>IFERROR((SUMIFS('M3 · Base mensuelle'!$D$116:$AM$116,HDR,"&gt;="&amp;PP_START,HDR,"&lt;="&amp;PP_END))/1000000,"")</f>
        <v/>
      </c>
      <c r="G1783" s="66">
        <f>IFERROR((E1783)/(F1783)-1,"")</f>
        <v/>
      </c>
      <c r="H1783" s="70">
        <f>IFERROR((SUMIFS('M3 · Base mensuelle'!$D$116:$AM$116,HDR,"&gt;="&amp;PY_START,HDR,"&lt;="&amp;PY_END))/1000000,"")</f>
        <v/>
      </c>
      <c r="I1783" s="66">
        <f>IFERROR((E1783)/(H1783)-1,"")</f>
        <v/>
      </c>
      <c r="J1783" s="70">
        <f>IFERROR((SUMPRODUCT((BUD_MONTHS&gt;=MONTH(P_START))*(BUD_MONTHS&lt;=MONTH(P_END))*'M1 · Paramètres'!$H$117:$S$117))/1000000,"")</f>
        <v/>
      </c>
      <c r="K1783" s="66">
        <f>IFERROR((E1783)/(J1783)-1,"")</f>
        <v/>
      </c>
      <c r="L1783" s="68">
        <f>IF(O1783="","",IF(O1783="green",IFERROR(IF(LANG="EN",INDEX(I18N_EN,MATCH("rag.green",I18N_KEY,0)),INDEX(I18N_FR,MATCH("rag.green",I18N_KEY,0))),"rag.green"),IF(O1783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3" s="3" t="n"/>
      <c r="N1783" s="32" t="n"/>
      <c r="O1783" s="69">
        <f>IFERROR(IF(IF(N(J1783)&gt;0,J1783,H1783)=0,"",IF(INDEX(RAG_SENS,MATCH("kpi.fac.capex",RAG_KEY,0))="UP",IF((E1783/IF(N(J1783)&gt;0,J1783,H1783))&gt;=INDEX(RAG_SV,MATCH("kpi.fac.capex",RAG_KEY,0)),"green",IF((E1783/IF(N(J1783)&gt;0,J1783,H1783))&gt;=INDEX(RAG_SA,MATCH("kpi.fac.capex",RAG_KEY,0)),"amber","red")),IF((E1783/IF(N(J1783)&gt;0,J1783,H1783))&lt;=INDEX(RAG_SV,MATCH("kpi.fac.capex",RAG_KEY,0)),"green",IF((E1783/IF(N(J1783)&gt;0,J1783,H1783))&lt;=INDEX(RAG_SA,MATCH("kpi.fac.capex",RAG_KEY,0)),"amber","red")))),"")</f>
        <v/>
      </c>
    </row>
    <row r="1784">
      <c r="C1784" s="63">
        <f>IFERROR(IF(LANG="EN",INDEX(I18N_EN,MATCH("kpi.fac.capex_var",I18N_KEY,0)),INDEX(I18N_FR,MATCH("kpi.fac.capex_var",I18N_KEY,0))),"kpi.fac.capex_var")</f>
        <v/>
      </c>
      <c r="D1784" s="64" t="inlineStr">
        <is>
          <t>%</t>
        </is>
      </c>
      <c r="E1784" s="71">
        <f>IFERROR((AVERAGEIFS('M3 · Base mensuelle'!$D$117:$AM$117,HDR,"&gt;="&amp;P_START,HDR,"&lt;="&amp;P_END)),"")</f>
        <v/>
      </c>
      <c r="F1784" s="71">
        <f>IFERROR((AVERAGEIFS('M3 · Base mensuelle'!$D$117:$AM$117,HDR,"&gt;="&amp;PP_START,HDR,"&lt;="&amp;PP_END)),"")</f>
        <v/>
      </c>
      <c r="G1784" s="66">
        <f>IFERROR((E1784)/(F1784)-1,"")</f>
        <v/>
      </c>
      <c r="H1784" s="71">
        <f>IFERROR((AVERAGEIFS('M3 · Base mensuelle'!$D$117:$AM$117,HDR,"&gt;="&amp;PY_START,HDR,"&lt;="&amp;PY_END)),"")</f>
        <v/>
      </c>
      <c r="I1784" s="66">
        <f>IFERROR((E1784)/(H1784)-1,"")</f>
        <v/>
      </c>
      <c r="J1784" s="67" t="n"/>
      <c r="K1784" s="66">
        <f>IFERROR((E1784)/(J1784)-1,"")</f>
        <v/>
      </c>
      <c r="L1784" s="68">
        <f>IF(O1784="","",IF(O1784="green",IFERROR(IF(LANG="EN",INDEX(I18N_EN,MATCH("rag.green",I18N_KEY,0)),INDEX(I18N_FR,MATCH("rag.green",I18N_KEY,0))),"rag.green"),IF(O1784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4" s="3" t="n"/>
      <c r="N1784" s="32" t="n"/>
      <c r="O1784" s="69">
        <f>IFERROR(IF(IF(N(J1784)&gt;0,J1784,H1784)=0,"",IF(INDEX(RAG_SENS,MATCH("kpi.fac.capex_var",RAG_KEY,0))="UP",IF((E1784/IF(N(J1784)&gt;0,J1784,H1784))&gt;=INDEX(RAG_SV,MATCH("kpi.fac.capex_var",RAG_KEY,0)),"green",IF((E1784/IF(N(J1784)&gt;0,J1784,H1784))&gt;=INDEX(RAG_SA,MATCH("kpi.fac.capex_var",RAG_KEY,0)),"amber","red")),IF((E1784/IF(N(J1784)&gt;0,J1784,H1784))&lt;=INDEX(RAG_SV,MATCH("kpi.fac.capex_var",RAG_KEY,0)),"green",IF((E1784/IF(N(J1784)&gt;0,J1784,H1784))&lt;=INDEX(RAG_SA,MATCH("kpi.fac.capex_var",RAG_KEY,0)),"amber","red")))),"")</f>
        <v/>
      </c>
    </row>
    <row r="1785">
      <c r="C1785" s="63">
        <f>IFERROR(IF(LANG="EN",INDEX(I18N_EN,MATCH("kpi.fac.capex_proj",I18N_KEY,0)),INDEX(I18N_FR,MATCH("kpi.fac.capex_proj",I18N_KEY,0))),"kpi.fac.capex_proj")</f>
        <v/>
      </c>
      <c r="D1785" s="64" t="inlineStr">
        <is>
          <t>nb</t>
        </is>
      </c>
      <c r="E1785" s="65">
        <f>IFERROR((INDEX('M3 · Base mensuelle'!$D$118:$AM$118,MATCH(P_END,HDR,0))),"")</f>
        <v/>
      </c>
      <c r="F1785" s="65">
        <f>IFERROR((INDEX('M3 · Base mensuelle'!$D$118:$AM$118,MATCH(PP_END,HDR,0))),"")</f>
        <v/>
      </c>
      <c r="G1785" s="66">
        <f>IFERROR((E1785)/(F1785)-1,"")</f>
        <v/>
      </c>
      <c r="H1785" s="65">
        <f>IFERROR((INDEX('M3 · Base mensuelle'!$D$118:$AM$118,MATCH(PY_END,HDR,0))),"")</f>
        <v/>
      </c>
      <c r="I1785" s="66">
        <f>IFERROR((E1785)/(H1785)-1,"")</f>
        <v/>
      </c>
      <c r="J1785" s="67" t="n"/>
      <c r="K1785" s="66">
        <f>IFERROR((E1785)/(J1785)-1,"")</f>
        <v/>
      </c>
      <c r="L1785" s="68">
        <f>IF(O1785="","",IF(O1785="green",IFERROR(IF(LANG="EN",INDEX(I18N_EN,MATCH("rag.green",I18N_KEY,0)),INDEX(I18N_FR,MATCH("rag.green",I18N_KEY,0))),"rag.green"),IF(O1785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5" s="3" t="n"/>
      <c r="N1785" s="32" t="n"/>
      <c r="O1785" s="69">
        <f>IFERROR(IF(IF(N(J1785)&gt;0,J1785,H1785)=0,"",IF(INDEX(RAG_SENS,MATCH("kpi.fac.capex_proj",RAG_KEY,0))="UP",IF((E1785/IF(N(J1785)&gt;0,J1785,H1785))&gt;=INDEX(RAG_SV,MATCH("kpi.fac.capex_proj",RAG_KEY,0)),"green",IF((E1785/IF(N(J1785)&gt;0,J1785,H1785))&gt;=INDEX(RAG_SA,MATCH("kpi.fac.capex_proj",RAG_KEY,0)),"amber","red")),IF((E1785/IF(N(J1785)&gt;0,J1785,H1785))&lt;=INDEX(RAG_SV,MATCH("kpi.fac.capex_proj",RAG_KEY,0)),"green",IF((E1785/IF(N(J1785)&gt;0,J1785,H1785))&lt;=INDEX(RAG_SA,MATCH("kpi.fac.capex_proj",RAG_KEY,0)),"amber","red")))),"")</f>
        <v/>
      </c>
    </row>
    <row r="1786">
      <c r="C1786" s="63">
        <f>IFERROR(IF(LANG="EN",INDEX(I18N_EN,MATCH("kpi.fac.inspections",I18N_KEY,0)),INDEX(I18N_FR,MATCH("kpi.fac.inspections",I18N_KEY,0))),"kpi.fac.inspections")</f>
        <v/>
      </c>
      <c r="D1786" s="64" t="inlineStr">
        <is>
          <t>nb</t>
        </is>
      </c>
      <c r="E1786" s="65">
        <f>IFERROR((SUMIFS('M3 · Base mensuelle'!$D$119:$AM$119,HDR,"&gt;="&amp;P_START,HDR,"&lt;="&amp;P_END)),"")</f>
        <v/>
      </c>
      <c r="F1786" s="65">
        <f>IFERROR((SUMIFS('M3 · Base mensuelle'!$D$119:$AM$119,HDR,"&gt;="&amp;PP_START,HDR,"&lt;="&amp;PP_END)),"")</f>
        <v/>
      </c>
      <c r="G1786" s="66">
        <f>IFERROR((E1786)/(F1786)-1,"")</f>
        <v/>
      </c>
      <c r="H1786" s="65">
        <f>IFERROR((SUMIFS('M3 · Base mensuelle'!$D$119:$AM$119,HDR,"&gt;="&amp;PY_START,HDR,"&lt;="&amp;PY_END)),"")</f>
        <v/>
      </c>
      <c r="I1786" s="66">
        <f>IFERROR((E1786)/(H1786)-1,"")</f>
        <v/>
      </c>
      <c r="J1786" s="67" t="n"/>
      <c r="K1786" s="66">
        <f>IFERROR((E1786)/(J1786)-1,"")</f>
        <v/>
      </c>
      <c r="L1786" s="68">
        <f>IF(O1786="","",IF(O1786="green",IFERROR(IF(LANG="EN",INDEX(I18N_EN,MATCH("rag.green",I18N_KEY,0)),INDEX(I18N_FR,MATCH("rag.green",I18N_KEY,0))),"rag.green"),IF(O1786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6" s="3" t="n"/>
      <c r="N1786" s="32" t="n"/>
      <c r="O1786" s="69">
        <f>IFERROR(IF(IF(N(J1786)&gt;0,J1786,H1786)=0,"",IF(INDEX(RAG_SENS,MATCH("kpi.fac.inspections",RAG_KEY,0))="UP",IF((E1786/IF(N(J1786)&gt;0,J1786,H1786))&gt;=INDEX(RAG_SV,MATCH("kpi.fac.inspections",RAG_KEY,0)),"green",IF((E1786/IF(N(J1786)&gt;0,J1786,H1786))&gt;=INDEX(RAG_SA,MATCH("kpi.fac.inspections",RAG_KEY,0)),"amber","red")),IF((E1786/IF(N(J1786)&gt;0,J1786,H1786))&lt;=INDEX(RAG_SV,MATCH("kpi.fac.inspections",RAG_KEY,0)),"green",IF((E1786/IF(N(J1786)&gt;0,J1786,H1786))&lt;=INDEX(RAG_SA,MATCH("kpi.fac.inspections",RAG_KEY,0)),"amber","red")))),"")</f>
        <v/>
      </c>
    </row>
    <row r="1787">
      <c r="C1787" s="63">
        <f>IFERROR(IF(LANG="EN",INDEX(I18N_EN,MATCH("kpi.fac.insp_conform",I18N_KEY,0)),INDEX(I18N_FR,MATCH("kpi.fac.insp_conform",I18N_KEY,0))),"kpi.fac.insp_conform")</f>
        <v/>
      </c>
      <c r="D1787" s="64" t="inlineStr">
        <is>
          <t>%</t>
        </is>
      </c>
      <c r="E1787" s="71">
        <f>IFERROR((AVERAGEIFS('M3 · Base mensuelle'!$D$120:$AM$120,HDR,"&gt;="&amp;P_START,HDR,"&lt;="&amp;P_END)),"")</f>
        <v/>
      </c>
      <c r="F1787" s="71">
        <f>IFERROR((AVERAGEIFS('M3 · Base mensuelle'!$D$120:$AM$120,HDR,"&gt;="&amp;PP_START,HDR,"&lt;="&amp;PP_END)),"")</f>
        <v/>
      </c>
      <c r="G1787" s="66">
        <f>IFERROR((E1787)/(F1787)-1,"")</f>
        <v/>
      </c>
      <c r="H1787" s="71">
        <f>IFERROR((AVERAGEIFS('M3 · Base mensuelle'!$D$120:$AM$120,HDR,"&gt;="&amp;PY_START,HDR,"&lt;="&amp;PY_END)),"")</f>
        <v/>
      </c>
      <c r="I1787" s="66">
        <f>IFERROR((E1787)/(H1787)-1,"")</f>
        <v/>
      </c>
      <c r="J1787" s="67" t="n"/>
      <c r="K1787" s="66">
        <f>IFERROR((E1787)/(J1787)-1,"")</f>
        <v/>
      </c>
      <c r="L1787" s="68">
        <f>IF(O1787="","",IF(O1787="green",IFERROR(IF(LANG="EN",INDEX(I18N_EN,MATCH("rag.green",I18N_KEY,0)),INDEX(I18N_FR,MATCH("rag.green",I18N_KEY,0))),"rag.green"),IF(O1787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7" s="3" t="n"/>
      <c r="N1787" s="32" t="n"/>
      <c r="O1787" s="69">
        <f>IFERROR(IF(IF(N(J1787)&gt;0,J1787,H1787)=0,"",IF(INDEX(RAG_SENS,MATCH("kpi.fac.insp_conform",RAG_KEY,0))="UP",IF((E1787/IF(N(J1787)&gt;0,J1787,H1787))&gt;=INDEX(RAG_SV,MATCH("kpi.fac.insp_conform",RAG_KEY,0)),"green",IF((E1787/IF(N(J1787)&gt;0,J1787,H1787))&gt;=INDEX(RAG_SA,MATCH("kpi.fac.insp_conform",RAG_KEY,0)),"amber","red")),IF((E1787/IF(N(J1787)&gt;0,J1787,H1787))&lt;=INDEX(RAG_SV,MATCH("kpi.fac.insp_conform",RAG_KEY,0)),"green",IF((E1787/IF(N(J1787)&gt;0,J1787,H1787))&lt;=INDEX(RAG_SA,MATCH("kpi.fac.insp_conform",RAG_KEY,0)),"amber","red")))),"")</f>
        <v/>
      </c>
    </row>
    <row r="1788">
      <c r="C1788" s="63">
        <f>IFERROR(IF(LANG="EN",INDEX(I18N_EN,MATCH("kpi.fac.nonconform",I18N_KEY,0)),INDEX(I18N_FR,MATCH("kpi.fac.nonconform",I18N_KEY,0))),"kpi.fac.nonconform")</f>
        <v/>
      </c>
      <c r="D1788" s="64" t="inlineStr">
        <is>
          <t>nb</t>
        </is>
      </c>
      <c r="E1788" s="65">
        <f>IFERROR((SUMIFS('M3 · Base mensuelle'!$D$121:$AM$121,HDR,"&gt;="&amp;P_START,HDR,"&lt;="&amp;P_END)),"")</f>
        <v/>
      </c>
      <c r="F1788" s="65">
        <f>IFERROR((SUMIFS('M3 · Base mensuelle'!$D$121:$AM$121,HDR,"&gt;="&amp;PP_START,HDR,"&lt;="&amp;PP_END)),"")</f>
        <v/>
      </c>
      <c r="G1788" s="66">
        <f>IFERROR((E1788)/(F1788)-1,"")</f>
        <v/>
      </c>
      <c r="H1788" s="65">
        <f>IFERROR((SUMIFS('M3 · Base mensuelle'!$D$121:$AM$121,HDR,"&gt;="&amp;PY_START,HDR,"&lt;="&amp;PY_END)),"")</f>
        <v/>
      </c>
      <c r="I1788" s="66">
        <f>IFERROR((E1788)/(H1788)-1,"")</f>
        <v/>
      </c>
      <c r="J1788" s="67" t="n"/>
      <c r="K1788" s="66">
        <f>IFERROR((E1788)/(J1788)-1,"")</f>
        <v/>
      </c>
      <c r="L1788" s="68">
        <f>IF(O1788="","",IF(O1788="green",IFERROR(IF(LANG="EN",INDEX(I18N_EN,MATCH("rag.green",I18N_KEY,0)),INDEX(I18N_FR,MATCH("rag.green",I18N_KEY,0))),"rag.green"),IF(O1788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8" s="3" t="n"/>
      <c r="N1788" s="32" t="n"/>
      <c r="O1788" s="69">
        <f>IFERROR(IF(IF(N(J1788)&gt;0,J1788,H1788)=0,"",IF(INDEX(RAG_SENS,MATCH("kpi.fac.nonconform",RAG_KEY,0))="UP",IF((E1788/IF(N(J1788)&gt;0,J1788,H1788))&gt;=INDEX(RAG_SV,MATCH("kpi.fac.nonconform",RAG_KEY,0)),"green",IF((E1788/IF(N(J1788)&gt;0,J1788,H1788))&gt;=INDEX(RAG_SA,MATCH("kpi.fac.nonconform",RAG_KEY,0)),"amber","red")),IF((E1788/IF(N(J1788)&gt;0,J1788,H1788))&lt;=INDEX(RAG_SV,MATCH("kpi.fac.nonconform",RAG_KEY,0)),"green",IF((E1788/IF(N(J1788)&gt;0,J1788,H1788))&lt;=INDEX(RAG_SA,MATCH("kpi.fac.nonconform",RAG_KEY,0)),"amber","red")))),"")</f>
        <v/>
      </c>
    </row>
    <row r="1789">
      <c r="C1789" s="63">
        <f>IFERROR(IF(LANG="EN",INDEX(I18N_EN,MATCH("kpi.fac.cleanliness",I18N_KEY,0)),INDEX(I18N_FR,MATCH("kpi.fac.cleanliness",I18N_KEY,0))),"kpi.fac.cleanliness")</f>
        <v/>
      </c>
      <c r="D1789" s="64" t="inlineStr">
        <is>
          <t>score</t>
        </is>
      </c>
      <c r="E1789" s="65">
        <f>IFERROR((AVERAGEIFS('M3 · Base mensuelle'!$D$122:$AM$122,HDR,"&gt;="&amp;P_START,HDR,"&lt;="&amp;P_END)),"")</f>
        <v/>
      </c>
      <c r="F1789" s="65">
        <f>IFERROR((AVERAGEIFS('M3 · Base mensuelle'!$D$122:$AM$122,HDR,"&gt;="&amp;PP_START,HDR,"&lt;="&amp;PP_END)),"")</f>
        <v/>
      </c>
      <c r="G1789" s="66">
        <f>IFERROR((E1789)/(F1789)-1,"")</f>
        <v/>
      </c>
      <c r="H1789" s="65">
        <f>IFERROR((AVERAGEIFS('M3 · Base mensuelle'!$D$122:$AM$122,HDR,"&gt;="&amp;PY_START,HDR,"&lt;="&amp;PY_END)),"")</f>
        <v/>
      </c>
      <c r="I1789" s="66">
        <f>IFERROR((E1789)/(H1789)-1,"")</f>
        <v/>
      </c>
      <c r="J1789" s="67" t="n"/>
      <c r="K1789" s="66">
        <f>IFERROR((E1789)/(J1789)-1,"")</f>
        <v/>
      </c>
      <c r="L1789" s="68">
        <f>IF(O1789="","",IF(O1789="green",IFERROR(IF(LANG="EN",INDEX(I18N_EN,MATCH("rag.green",I18N_KEY,0)),INDEX(I18N_FR,MATCH("rag.green",I18N_KEY,0))),"rag.green"),IF(O1789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89" s="3" t="n"/>
      <c r="N1789" s="32" t="n"/>
      <c r="O1789" s="69">
        <f>IFERROR(IF(IF(N(J1789)&gt;0,J1789,H1789)=0,"",IF(INDEX(RAG_SENS,MATCH("kpi.fac.cleanliness",RAG_KEY,0))="UP",IF((E1789/IF(N(J1789)&gt;0,J1789,H1789))&gt;=INDEX(RAG_SV,MATCH("kpi.fac.cleanliness",RAG_KEY,0)),"green",IF((E1789/IF(N(J1789)&gt;0,J1789,H1789))&gt;=INDEX(RAG_SA,MATCH("kpi.fac.cleanliness",RAG_KEY,0)),"amber","red")),IF((E1789/IF(N(J1789)&gt;0,J1789,H1789))&lt;=INDEX(RAG_SV,MATCH("kpi.fac.cleanliness",RAG_KEY,0)),"green",IF((E1789/IF(N(J1789)&gt;0,J1789,H1789))&lt;=INDEX(RAG_SA,MATCH("kpi.fac.cleanliness",RAG_KEY,0)),"amber","red")))),"")</f>
        <v/>
      </c>
    </row>
    <row r="1790">
      <c r="C1790" s="63">
        <f>IFERROR(IF(LANG="EN",INDEX(I18N_EN,MATCH("kpi.fac.hygiene_audits",I18N_KEY,0)),INDEX(I18N_FR,MATCH("kpi.fac.hygiene_audits",I18N_KEY,0))),"kpi.fac.hygiene_audits")</f>
        <v/>
      </c>
      <c r="D1790" s="64" t="inlineStr">
        <is>
          <t>nb</t>
        </is>
      </c>
      <c r="E1790" s="65">
        <f>IFERROR((SUMIFS('M3 · Base mensuelle'!$D$123:$AM$123,HDR,"&gt;="&amp;P_START,HDR,"&lt;="&amp;P_END)),"")</f>
        <v/>
      </c>
      <c r="F1790" s="65">
        <f>IFERROR((SUMIFS('M3 · Base mensuelle'!$D$123:$AM$123,HDR,"&gt;="&amp;PP_START,HDR,"&lt;="&amp;PP_END)),"")</f>
        <v/>
      </c>
      <c r="G1790" s="66">
        <f>IFERROR((E1790)/(F1790)-1,"")</f>
        <v/>
      </c>
      <c r="H1790" s="65">
        <f>IFERROR((SUMIFS('M3 · Base mensuelle'!$D$123:$AM$123,HDR,"&gt;="&amp;PY_START,HDR,"&lt;="&amp;PY_END)),"")</f>
        <v/>
      </c>
      <c r="I1790" s="66">
        <f>IFERROR((E1790)/(H1790)-1,"")</f>
        <v/>
      </c>
      <c r="J1790" s="67" t="n"/>
      <c r="K1790" s="66">
        <f>IFERROR((E1790)/(J1790)-1,"")</f>
        <v/>
      </c>
      <c r="L1790" s="68">
        <f>IF(O1790="","",IF(O1790="green",IFERROR(IF(LANG="EN",INDEX(I18N_EN,MATCH("rag.green",I18N_KEY,0)),INDEX(I18N_FR,MATCH("rag.green",I18N_KEY,0))),"rag.green"),IF(O1790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90" s="3" t="n"/>
      <c r="N1790" s="32" t="n"/>
      <c r="O1790" s="69">
        <f>IFERROR(IF(IF(N(J1790)&gt;0,J1790,H1790)=0,"",IF(INDEX(RAG_SENS,MATCH("kpi.fac.hygiene_audits",RAG_KEY,0))="UP",IF((E1790/IF(N(J1790)&gt;0,J1790,H1790))&gt;=INDEX(RAG_SV,MATCH("kpi.fac.hygiene_audits",RAG_KEY,0)),"green",IF((E1790/IF(N(J1790)&gt;0,J1790,H1790))&gt;=INDEX(RAG_SA,MATCH("kpi.fac.hygiene_audits",RAG_KEY,0)),"amber","red")),IF((E1790/IF(N(J1790)&gt;0,J1790,H1790))&lt;=INDEX(RAG_SV,MATCH("kpi.fac.hygiene_audits",RAG_KEY,0)),"green",IF((E1790/IF(N(J1790)&gt;0,J1790,H1790))&lt;=INDEX(RAG_SA,MATCH("kpi.fac.hygiene_audits",RAG_KEY,0)),"amber","red")))),"")</f>
        <v/>
      </c>
    </row>
    <row r="1791">
      <c r="C1791" s="63">
        <f>IFERROR(IF(LANG="EN",INDEX(I18N_EN,MATCH("kpi.fac.clean_complaints",I18N_KEY,0)),INDEX(I18N_FR,MATCH("kpi.fac.clean_complaints",I18N_KEY,0))),"kpi.fac.clean_complaints")</f>
        <v/>
      </c>
      <c r="D1791" s="64" t="inlineStr">
        <is>
          <t>nb</t>
        </is>
      </c>
      <c r="E1791" s="65">
        <f>IFERROR((SUMIFS('M3 · Base mensuelle'!$D$124:$AM$124,HDR,"&gt;="&amp;P_START,HDR,"&lt;="&amp;P_END)),"")</f>
        <v/>
      </c>
      <c r="F1791" s="65">
        <f>IFERROR((SUMIFS('M3 · Base mensuelle'!$D$124:$AM$124,HDR,"&gt;="&amp;PP_START,HDR,"&lt;="&amp;PP_END)),"")</f>
        <v/>
      </c>
      <c r="G1791" s="66">
        <f>IFERROR((E1791)/(F1791)-1,"")</f>
        <v/>
      </c>
      <c r="H1791" s="65">
        <f>IFERROR((SUMIFS('M3 · Base mensuelle'!$D$124:$AM$124,HDR,"&gt;="&amp;PY_START,HDR,"&lt;="&amp;PY_END)),"")</f>
        <v/>
      </c>
      <c r="I1791" s="66">
        <f>IFERROR((E1791)/(H1791)-1,"")</f>
        <v/>
      </c>
      <c r="J1791" s="67" t="n"/>
      <c r="K1791" s="66">
        <f>IFERROR((E1791)/(J1791)-1,"")</f>
        <v/>
      </c>
      <c r="L1791" s="68">
        <f>IF(O1791="","",IF(O1791="green",IFERROR(IF(LANG="EN",INDEX(I18N_EN,MATCH("rag.green",I18N_KEY,0)),INDEX(I18N_FR,MATCH("rag.green",I18N_KEY,0))),"rag.green"),IF(O1791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91" s="3" t="n"/>
      <c r="N1791" s="32" t="n"/>
      <c r="O1791" s="69">
        <f>IFERROR(IF(IF(N(J1791)&gt;0,J1791,H1791)=0,"",IF(INDEX(RAG_SENS,MATCH("kpi.fac.clean_complaints",RAG_KEY,0))="UP",IF((E1791/IF(N(J1791)&gt;0,J1791,H1791))&gt;=INDEX(RAG_SV,MATCH("kpi.fac.clean_complaints",RAG_KEY,0)),"green",IF((E1791/IF(N(J1791)&gt;0,J1791,H1791))&gt;=INDEX(RAG_SA,MATCH("kpi.fac.clean_complaints",RAG_KEY,0)),"amber","red")),IF((E1791/IF(N(J1791)&gt;0,J1791,H1791))&lt;=INDEX(RAG_SV,MATCH("kpi.fac.clean_complaints",RAG_KEY,0)),"green",IF((E1791/IF(N(J1791)&gt;0,J1791,H1791))&lt;=INDEX(RAG_SA,MATCH("kpi.fac.clean_complaints",RAG_KEY,0)),"amber","red")))),"")</f>
        <v/>
      </c>
    </row>
    <row r="1792">
      <c r="C1792" s="63">
        <f>IFERROR(IF(LANG="EN",INDEX(I18N_EN,MATCH("kpi.fac.sla",I18N_KEY,0)),INDEX(I18N_FR,MATCH("kpi.fac.sla",I18N_KEY,0))),"kpi.fac.sla")</f>
        <v/>
      </c>
      <c r="D1792" s="64" t="inlineStr">
        <is>
          <t>%</t>
        </is>
      </c>
      <c r="E1792" s="71">
        <f>IFERROR((AVERAGEIFS('M3 · Base mensuelle'!$D$125:$AM$125,HDR,"&gt;="&amp;P_START,HDR,"&lt;="&amp;P_END)),"")</f>
        <v/>
      </c>
      <c r="F1792" s="71">
        <f>IFERROR((AVERAGEIFS('M3 · Base mensuelle'!$D$125:$AM$125,HDR,"&gt;="&amp;PP_START,HDR,"&lt;="&amp;PP_END)),"")</f>
        <v/>
      </c>
      <c r="G1792" s="66">
        <f>IFERROR((E1792)/(F1792)-1,"")</f>
        <v/>
      </c>
      <c r="H1792" s="71">
        <f>IFERROR((AVERAGEIFS('M3 · Base mensuelle'!$D$125:$AM$125,HDR,"&gt;="&amp;PY_START,HDR,"&lt;="&amp;PY_END)),"")</f>
        <v/>
      </c>
      <c r="I1792" s="66">
        <f>IFERROR((E1792)/(H1792)-1,"")</f>
        <v/>
      </c>
      <c r="J1792" s="67" t="n"/>
      <c r="K1792" s="66">
        <f>IFERROR((E1792)/(J1792)-1,"")</f>
        <v/>
      </c>
      <c r="L1792" s="68">
        <f>IF(O1792="","",IF(O1792="green",IFERROR(IF(LANG="EN",INDEX(I18N_EN,MATCH("rag.green",I18N_KEY,0)),INDEX(I18N_FR,MATCH("rag.green",I18N_KEY,0))),"rag.green"),IF(O1792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M1792" s="3" t="n"/>
      <c r="N1792" s="32" t="n"/>
      <c r="O1792" s="69">
        <f>IFERROR(IF(IF(N(J1792)&gt;0,J1792,H1792)=0,"",IF(INDEX(RAG_SENS,MATCH("kpi.fac.sla",RAG_KEY,0))="UP",IF((E1792/IF(N(J1792)&gt;0,J1792,H1792))&gt;=INDEX(RAG_SV,MATCH("kpi.fac.sla",RAG_KEY,0)),"green",IF((E1792/IF(N(J1792)&gt;0,J1792,H1792))&gt;=INDEX(RAG_SA,MATCH("kpi.fac.sla",RAG_KEY,0)),"amber","red")),IF((E1792/IF(N(J1792)&gt;0,J1792,H1792))&lt;=INDEX(RAG_SV,MATCH("kpi.fac.sla",RAG_KEY,0)),"green",IF((E1792/IF(N(J1792)&gt;0,J1792,H1792))&lt;=INDEX(RAG_SA,MATCH("kpi.fac.sla",RAG_KEY,0)),"amber","red")))),"")</f>
        <v/>
      </c>
    </row>
    <row r="1793">
      <c r="C1793" s="72">
        <f>"◆ "&amp;IFERROR(IF(LANG="EN",INDEX(I18N_EN,MATCH("msg.highlights",I18N_KEY,0)),INDEX(I18N_FR,MATCH("msg.highlights",I18N_KEY,0))),"msg.highlights")</f>
        <v/>
      </c>
      <c r="D1793" s="3" t="n"/>
      <c r="E1793" s="3" t="n"/>
      <c r="F1793" s="3" t="n"/>
      <c r="G1793" s="3" t="n"/>
      <c r="H1793" s="3" t="n"/>
      <c r="I1793" s="3" t="n"/>
      <c r="J1793" s="3" t="n"/>
      <c r="K1793" s="3" t="n"/>
      <c r="L1793" s="3" t="n"/>
      <c r="M1793" s="3" t="n"/>
      <c r="N1793" s="32" t="n"/>
    </row>
    <row r="1794">
      <c r="C1794" s="73">
        <f>IFERROR("▲ "&amp;INDEX(C1783:C1792,MATCH(MAX(G1783:G1792),G1783:G1792,0))&amp;"   "&amp;TEXT(MAX(G1783:G1792),"+0.0%;-0.0%"),"")</f>
        <v/>
      </c>
      <c r="D1794" s="3" t="n"/>
      <c r="E1794" s="3" t="n"/>
      <c r="F1794" s="3" t="n"/>
      <c r="G1794" s="3" t="n"/>
      <c r="H1794" s="3" t="n"/>
      <c r="I1794" s="74">
        <f>IFERROR("▼ "&amp;INDEX(C1783:C1792,MATCH(MIN(G1783:G1792),G1783:G1792,0))&amp;"   "&amp;TEXT(MIN(G1783:G1792),"+0.0%;-0.0%"),"")</f>
        <v/>
      </c>
      <c r="J1794" s="3" t="n"/>
      <c r="K1794" s="3" t="n"/>
      <c r="L1794" s="3" t="n"/>
      <c r="M1794" s="3" t="n"/>
      <c r="N1794" s="32" t="n"/>
    </row>
    <row r="1795">
      <c r="C1795" s="53">
        <f>"💬 "&amp;IFERROR(IF(LANG="EN",INDEX(I18N_EN,MATCH("col.comment",I18N_KEY,0)),INDEX(I18N_FR,MATCH("col.comment",I18N_KEY,0))),"col.comment")</f>
        <v/>
      </c>
      <c r="D1795" s="5" t="n"/>
      <c r="E1795" s="5" t="n"/>
      <c r="F1795" s="5" t="n"/>
      <c r="G1795" s="5" t="n"/>
      <c r="H1795" s="5" t="n"/>
      <c r="I1795" s="5" t="n"/>
      <c r="J1795" s="5" t="n"/>
      <c r="K1795" s="5" t="n"/>
      <c r="L1795" s="5" t="n"/>
      <c r="M1795" s="5" t="n"/>
      <c r="N1795" s="54" t="n"/>
      <c r="O1795" s="5" t="n"/>
    </row>
    <row r="1796">
      <c r="C1796" s="75">
        <f>IF('C8 · Facility'!$D$40&lt;&gt;"",'C8 · Facility'!$D$40,IFERROR(SUBSTITUTE(SUBSTITUTE(IF(G1783&gt;=0,IFERROR(IF(LANG="EN",INDEX(I18N_EN,MATCH("narr.up",I18N_KEY,0)),INDEX(I18N_FR,MATCH("narr.up",I18N_KEY,0))),"narr.up"),IFERROR(IF(LANG="EN",INDEX(I18N_EN,MATCH("narr.down",I18N_KEY,0)),INDEX(I18N_FR,MATCH("narr.down",I18N_KEY,0))),"narr.down")),"{kpi}",IFERROR(IF(LANG="EN",INDEX(I18N_EN,MATCH("kpi.fac.capex",I18N_KEY,0)),INDEX(I18N_FR,MATCH("kpi.fac.capex",I18N_KEY,0))),"kpi.fac.capex")),"{delta}",TEXT(ABS(G1783),"0.0%")),""))</f>
        <v/>
      </c>
      <c r="D1796" s="56" t="n"/>
      <c r="E1796" s="56" t="n"/>
      <c r="F1796" s="56" t="n"/>
      <c r="G1796" s="56" t="n"/>
      <c r="H1796" s="56" t="n"/>
      <c r="I1796" s="56" t="n"/>
      <c r="J1796" s="56" t="n"/>
      <c r="K1796" s="56" t="n"/>
      <c r="L1796" s="56" t="n"/>
      <c r="M1796" s="56" t="n"/>
      <c r="N1796" s="56" t="n"/>
      <c r="O1796" s="57" t="n"/>
    </row>
    <row r="1797">
      <c r="C1797" s="50" t="n"/>
      <c r="D1797" s="3" t="n"/>
      <c r="E1797" s="3" t="n"/>
      <c r="F1797" s="3" t="n"/>
      <c r="G1797" s="3" t="n"/>
      <c r="H1797" s="3" t="n"/>
      <c r="I1797" s="3" t="n"/>
      <c r="J1797" s="3" t="n"/>
      <c r="K1797" s="3" t="n"/>
      <c r="L1797" s="3" t="n"/>
      <c r="M1797" s="3" t="n"/>
      <c r="N1797" s="32" t="n"/>
    </row>
    <row r="1798">
      <c r="C1798" s="58" t="n"/>
      <c r="D1798" s="58" t="n"/>
      <c r="E1798" s="58" t="n"/>
      <c r="F1798" s="58" t="n"/>
      <c r="G1798" s="58" t="n"/>
      <c r="H1798" s="58" t="n"/>
      <c r="I1798" s="58" t="n"/>
      <c r="J1798" s="58" t="n"/>
      <c r="K1798" s="58" t="n"/>
      <c r="L1798" s="58" t="n"/>
      <c r="M1798" s="58" t="n"/>
      <c r="N1798" s="58" t="n"/>
      <c r="O1798" s="59" t="n"/>
    </row>
    <row r="1799">
      <c r="C1799" s="60" t="n"/>
      <c r="D1799" s="36" t="n"/>
      <c r="E1799" s="36" t="n"/>
      <c r="F1799" s="36" t="n"/>
      <c r="G1799" s="36" t="n"/>
      <c r="H1799" s="36" t="n"/>
      <c r="I1799" s="36" t="n"/>
      <c r="J1799" s="36" t="n"/>
      <c r="K1799" s="36" t="n"/>
      <c r="L1799" s="36" t="n"/>
      <c r="M1799" s="36" t="n"/>
      <c r="N1799" s="22" t="n"/>
    </row>
    <row r="1800">
      <c r="C1800" s="3" t="n"/>
      <c r="D1800" s="3" t="n"/>
      <c r="E1800" s="3" t="n"/>
      <c r="F1800" s="3" t="n"/>
      <c r="G1800" s="3" t="n"/>
      <c r="H1800" s="3" t="n"/>
      <c r="I1800" s="3" t="n"/>
      <c r="J1800" s="3" t="n"/>
      <c r="K1800" s="3" t="n"/>
      <c r="L1800" s="3" t="n"/>
      <c r="M1800" s="3" t="n"/>
      <c r="N1800" s="3" t="n"/>
    </row>
    <row r="1801" ht="19" customHeight="1">
      <c r="C1801" s="46">
        <f>"🎯  9.7  "&amp;IF(LANG="EN","Budget vs Actual","Budget vs Réalisé")</f>
        <v/>
      </c>
      <c r="D1801" s="47" t="n"/>
      <c r="E1801" s="47" t="n"/>
      <c r="F1801" s="47" t="n"/>
      <c r="G1801" s="47" t="n"/>
      <c r="H1801" s="47" t="n"/>
      <c r="I1801" s="47" t="n"/>
      <c r="J1801" s="47" t="n"/>
      <c r="K1801" s="47" t="n"/>
      <c r="L1801" s="47" t="n"/>
      <c r="M1801" s="47" t="n"/>
      <c r="N1801" s="48" t="n"/>
      <c r="O1801" s="1" t="n"/>
    </row>
    <row r="1802">
      <c r="C1802" s="76">
        <f>"▌ "&amp;IF(LANG="EN","Actual vs Budget — 12 months","Réalisé vs Budget — 12 mois")</f>
        <v/>
      </c>
      <c r="D1802" s="3" t="n"/>
      <c r="E1802" s="3" t="n"/>
      <c r="F1802" s="3" t="n"/>
      <c r="G1802" s="3" t="n"/>
      <c r="H1802" s="3" t="n"/>
      <c r="I1802" s="3" t="n"/>
      <c r="J1802" s="3" t="n"/>
      <c r="K1802" s="3" t="n"/>
      <c r="L1802" s="3" t="n"/>
      <c r="M1802" s="3" t="n"/>
      <c r="N1802" s="32" t="n"/>
    </row>
    <row r="1803">
      <c r="C1803" s="50" t="n"/>
      <c r="D1803" s="3" t="n"/>
      <c r="E1803" s="3" t="n"/>
      <c r="F1803" s="3" t="n"/>
      <c r="G1803" s="3" t="n"/>
      <c r="H1803" s="3" t="n"/>
      <c r="I1803" s="3" t="n"/>
      <c r="J1803" s="3" t="n"/>
      <c r="K1803" s="3" t="n"/>
      <c r="L1803" s="3" t="n"/>
      <c r="M1803" s="3" t="n"/>
      <c r="N1803" s="32" t="n"/>
    </row>
    <row r="1804">
      <c r="C1804" s="50" t="n"/>
      <c r="D1804" s="3" t="n"/>
      <c r="E1804" s="3" t="n"/>
      <c r="F1804" s="3" t="n"/>
      <c r="G1804" s="3" t="n"/>
      <c r="H1804" s="3" t="n"/>
      <c r="I1804" s="3" t="n"/>
      <c r="J1804" s="3" t="n"/>
      <c r="K1804" s="3" t="n"/>
      <c r="L1804" s="3" t="n"/>
      <c r="M1804" s="3" t="n"/>
      <c r="N1804" s="32" t="n"/>
    </row>
    <row r="1805">
      <c r="C1805" s="50" t="n"/>
      <c r="D1805" s="3" t="n"/>
      <c r="E1805" s="3" t="n"/>
      <c r="F1805" s="3" t="n"/>
      <c r="G1805" s="3" t="n"/>
      <c r="H1805" s="3" t="n"/>
      <c r="I1805" s="3" t="n"/>
      <c r="J1805" s="3" t="n"/>
      <c r="K1805" s="3" t="n"/>
      <c r="L1805" s="3" t="n"/>
      <c r="M1805" s="3" t="n"/>
      <c r="N1805" s="32" t="n"/>
    </row>
    <row r="1806">
      <c r="C1806" s="50" t="n"/>
      <c r="D1806" s="3" t="n"/>
      <c r="E1806" s="3" t="n"/>
      <c r="F1806" s="3" t="n"/>
      <c r="G1806" s="3" t="n"/>
      <c r="H1806" s="3" t="n"/>
      <c r="I1806" s="3" t="n"/>
      <c r="J1806" s="3" t="n"/>
      <c r="K1806" s="3" t="n"/>
      <c r="L1806" s="3" t="n"/>
      <c r="M1806" s="3" t="n"/>
      <c r="N1806" s="32" t="n"/>
    </row>
    <row r="1807">
      <c r="C1807" s="50" t="n"/>
      <c r="D1807" s="3" t="n"/>
      <c r="E1807" s="3" t="n"/>
      <c r="F1807" s="3" t="n"/>
      <c r="G1807" s="3" t="n"/>
      <c r="H1807" s="3" t="n"/>
      <c r="I1807" s="3" t="n"/>
      <c r="J1807" s="3" t="n"/>
      <c r="K1807" s="3" t="n"/>
      <c r="L1807" s="3" t="n"/>
      <c r="M1807" s="3" t="n"/>
      <c r="N1807" s="32" t="n"/>
    </row>
    <row r="1808">
      <c r="C1808" s="50" t="n"/>
      <c r="D1808" s="3" t="n"/>
      <c r="E1808" s="3" t="n"/>
      <c r="F1808" s="3" t="n"/>
      <c r="G1808" s="3" t="n"/>
      <c r="H1808" s="3" t="n"/>
      <c r="I1808" s="3" t="n"/>
      <c r="J1808" s="3" t="n"/>
      <c r="K1808" s="3" t="n"/>
      <c r="L1808" s="3" t="n"/>
      <c r="M1808" s="3" t="n"/>
      <c r="N1808" s="32" t="n"/>
    </row>
    <row r="1809">
      <c r="C1809" s="50" t="n"/>
      <c r="D1809" s="3" t="n"/>
      <c r="E1809" s="3" t="n"/>
      <c r="F1809" s="3" t="n"/>
      <c r="G1809" s="3" t="n"/>
      <c r="H1809" s="3" t="n"/>
      <c r="I1809" s="3" t="n"/>
      <c r="J1809" s="3" t="n"/>
      <c r="K1809" s="3" t="n"/>
      <c r="L1809" s="3" t="n"/>
      <c r="M1809" s="3" t="n"/>
      <c r="N1809" s="32" t="n"/>
    </row>
    <row r="1810">
      <c r="C1810" s="50" t="n"/>
      <c r="D1810" s="3" t="n"/>
      <c r="E1810" s="3" t="n"/>
      <c r="F1810" s="3" t="n"/>
      <c r="G1810" s="3" t="n"/>
      <c r="H1810" s="3" t="n"/>
      <c r="I1810" s="3" t="n"/>
      <c r="J1810" s="3" t="n"/>
      <c r="K1810" s="3" t="n"/>
      <c r="L1810" s="3" t="n"/>
      <c r="M1810" s="3" t="n"/>
      <c r="N1810" s="32" t="n"/>
    </row>
    <row r="1811">
      <c r="C1811" s="50" t="n"/>
      <c r="D1811" s="3" t="n"/>
      <c r="E1811" s="3" t="n"/>
      <c r="F1811" s="3" t="n"/>
      <c r="G1811" s="3" t="n"/>
      <c r="H1811" s="3" t="n"/>
      <c r="I1811" s="3" t="n"/>
      <c r="J1811" s="3" t="n"/>
      <c r="K1811" s="3" t="n"/>
      <c r="L1811" s="3" t="n"/>
      <c r="M1811" s="3" t="n"/>
      <c r="N1811" s="32" t="n"/>
    </row>
    <row r="1812">
      <c r="C1812" s="50" t="n"/>
      <c r="D1812" s="3" t="n"/>
      <c r="E1812" s="3" t="n"/>
      <c r="F1812" s="3" t="n"/>
      <c r="G1812" s="3" t="n"/>
      <c r="H1812" s="3" t="n"/>
      <c r="I1812" s="3" t="n"/>
      <c r="J1812" s="3" t="n"/>
      <c r="K1812" s="3" t="n"/>
      <c r="L1812" s="3" t="n"/>
      <c r="M1812" s="3" t="n"/>
      <c r="N1812" s="32" t="n"/>
    </row>
    <row r="1813">
      <c r="C1813" s="50" t="n"/>
      <c r="D1813" s="3" t="n"/>
      <c r="E1813" s="3" t="n"/>
      <c r="F1813" s="3" t="n"/>
      <c r="G1813" s="3" t="n"/>
      <c r="H1813" s="3" t="n"/>
      <c r="I1813" s="3" t="n"/>
      <c r="J1813" s="3" t="n"/>
      <c r="K1813" s="3" t="n"/>
      <c r="L1813" s="3" t="n"/>
      <c r="M1813" s="3" t="n"/>
      <c r="N1813" s="32" t="n"/>
    </row>
    <row r="1814">
      <c r="C1814" s="50" t="n"/>
      <c r="D1814" s="3" t="n"/>
      <c r="E1814" s="3" t="n"/>
      <c r="F1814" s="3" t="n"/>
      <c r="G1814" s="3" t="n"/>
      <c r="H1814" s="3" t="n"/>
      <c r="I1814" s="3" t="n"/>
      <c r="J1814" s="3" t="n"/>
      <c r="K1814" s="3" t="n"/>
      <c r="L1814" s="3" t="n"/>
      <c r="M1814" s="3" t="n"/>
      <c r="N1814" s="32" t="n"/>
    </row>
    <row r="1815">
      <c r="C1815" s="61">
        <f>IFERROR(IF(LANG="EN",INDEX(I18N_EN,MATCH("col.kpi",I18N_KEY,0)),INDEX(I18N_FR,MATCH("col.kpi",I18N_KEY,0))),"col.kpi")</f>
        <v/>
      </c>
      <c r="D1815" s="62">
        <f>IFERROR(IF(LANG="EN",INDEX(I18N_EN,MATCH("col.unit",I18N_KEY,0)),INDEX(I18N_FR,MATCH("col.unit",I18N_KEY,0))),"col.unit")</f>
        <v/>
      </c>
      <c r="E1815" s="62">
        <f>IFERROR(IF(LANG="EN",INDEX(I18N_EN,MATCH("col.current",I18N_KEY,0)),INDEX(I18N_FR,MATCH("col.current",I18N_KEY,0))),"col.current")</f>
        <v/>
      </c>
      <c r="F1815" s="62">
        <f>IFERROR(IF(LANG="EN",INDEX(I18N_EN,MATCH("col.budget",I18N_KEY,0)),INDEX(I18N_FR,MATCH("col.budget",I18N_KEY,0))),"col.budget")</f>
        <v/>
      </c>
      <c r="G1815" s="62">
        <f>IFERROR(IF(LANG="EN",INDEX(I18N_EN,MATCH("col.var",I18N_KEY,0)),INDEX(I18N_FR,MATCH("col.var",I18N_KEY,0))),"col.var")</f>
        <v/>
      </c>
      <c r="H1815" s="62">
        <f>IFERROR(IF(LANG="EN",INDEX(I18N_EN,MATCH("col.rag",I18N_KEY,0)),INDEX(I18N_FR,MATCH("col.rag",I18N_KEY,0))),"col.rag")</f>
        <v/>
      </c>
      <c r="I1815" s="3" t="n"/>
      <c r="J1815" s="3" t="n"/>
      <c r="K1815" s="3" t="n"/>
      <c r="L1815" s="3" t="n"/>
      <c r="M1815" s="3" t="n"/>
      <c r="N1815" s="32" t="n"/>
    </row>
    <row r="1816">
      <c r="C1816" s="63">
        <f>IFERROR(IF(LANG="EN",INDEX(I18N_EN,MATCH("kpi.fac.energy_int",I18N_KEY,0)),INDEX(I18N_FR,MATCH("kpi.fac.energy_int",I18N_KEY,0))),"kpi.fac.energy_int")</f>
        <v/>
      </c>
      <c r="D1816" s="64" t="inlineStr">
        <is>
          <t>kWh/m²</t>
        </is>
      </c>
      <c r="E1816" s="65">
        <f>IFERROR((AVERAGEIFS('M3 · Base mensuelle'!$D$113:$AM$113,HDR,"&gt;="&amp;P_START,HDR,"&lt;="&amp;P_END)),"")</f>
        <v/>
      </c>
      <c r="F1816" s="65">
        <f>IFERROR((SUMPRODUCT((BUD_MONTHS&gt;=MONTH(P_START))*(BUD_MONTHS&lt;=MONTH(P_END))*'M1 · Paramètres'!$H$114:$S$114)/SUMPRODUCT((BUD_MONTHS&gt;=MONTH(P_START))*(BUD_MONTHS&lt;=MONTH(P_END))*1)),"")</f>
        <v/>
      </c>
      <c r="G1816" s="77">
        <f>IFERROR((E1816)/(F1816)-1,"")</f>
        <v/>
      </c>
      <c r="H1816" s="68">
        <f>IF(P1816="","",IF(P1816="green",IFERROR(IF(LANG="EN",INDEX(I18N_EN,MATCH("rag.green",I18N_KEY,0)),INDEX(I18N_FR,MATCH("rag.green",I18N_KEY,0))),"rag.green"),IF(P1816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816" s="3" t="n"/>
      <c r="J1816" s="3" t="n"/>
      <c r="K1816" s="3" t="n"/>
      <c r="L1816" s="3" t="n"/>
      <c r="M1816" s="3" t="n"/>
      <c r="N1816" s="32" t="n"/>
      <c r="P1816" s="69">
        <f>IFERROR(IF(F1816=0,"",IF(INDEX(RAG_SENS,MATCH("kpi.fac.energy_int",RAG_KEY,0))="UP",IF((E1816/F1816)&gt;=INDEX(RAG_SV,MATCH("kpi.fac.energy_int",RAG_KEY,0)),"green",IF((E1816/F1816)&gt;=INDEX(RAG_SA,MATCH("kpi.fac.energy_int",RAG_KEY,0)),"amber","red")),IF((E1816/F1816)&lt;=INDEX(RAG_SV,MATCH("kpi.fac.energy_int",RAG_KEY,0)),"green",IF((E1816/F1816)&lt;=INDEX(RAG_SA,MATCH("kpi.fac.energy_int",RAG_KEY,0)),"amber","red")))),"")</f>
        <v/>
      </c>
    </row>
    <row r="1817">
      <c r="C1817" s="63">
        <f>IFERROR(IF(LANG="EN",INDEX(I18N_EN,MATCH("kpi.fac.consumption",I18N_KEY,0)),INDEX(I18N_FR,MATCH("kpi.fac.consumption",I18N_KEY,0))),"kpi.fac.consumption")</f>
        <v/>
      </c>
      <c r="D1817" s="64" t="inlineStr">
        <is>
          <t>unité</t>
        </is>
      </c>
      <c r="E1817" s="65">
        <f>IFERROR((SUMIFS('M3 · Base mensuelle'!$D$115:$AM$115,HDR,"&gt;="&amp;P_START,HDR,"&lt;="&amp;P_END)),"")</f>
        <v/>
      </c>
      <c r="F1817" s="65">
        <f>IFERROR((SUMPRODUCT((BUD_MONTHS&gt;=MONTH(P_START))*(BUD_MONTHS&lt;=MONTH(P_END))*'M1 · Paramètres'!$H$116:$S$116)),"")</f>
        <v/>
      </c>
      <c r="G1817" s="77">
        <f>IFERROR((E1817)/(F1817)-1,"")</f>
        <v/>
      </c>
      <c r="H1817" s="68">
        <f>IF(P1817="","",IF(P1817="green",IFERROR(IF(LANG="EN",INDEX(I18N_EN,MATCH("rag.green",I18N_KEY,0)),INDEX(I18N_FR,MATCH("rag.green",I18N_KEY,0))),"rag.green"),IF(P1817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817" s="3" t="n"/>
      <c r="J1817" s="3" t="n"/>
      <c r="K1817" s="3" t="n"/>
      <c r="L1817" s="3" t="n"/>
      <c r="M1817" s="3" t="n"/>
      <c r="N1817" s="32" t="n"/>
      <c r="P1817" s="69">
        <f>IFERROR(IF(F1817=0,"",IF(INDEX(RAG_SENS,MATCH("kpi.fac.consumption",RAG_KEY,0))="UP",IF((E1817/F1817)&gt;=INDEX(RAG_SV,MATCH("kpi.fac.consumption",RAG_KEY,0)),"green",IF((E1817/F1817)&gt;=INDEX(RAG_SA,MATCH("kpi.fac.consumption",RAG_KEY,0)),"amber","red")),IF((E1817/F1817)&lt;=INDEX(RAG_SV,MATCH("kpi.fac.consumption",RAG_KEY,0)),"green",IF((E1817/F1817)&lt;=INDEX(RAG_SA,MATCH("kpi.fac.consumption",RAG_KEY,0)),"amber","red")))),"")</f>
        <v/>
      </c>
    </row>
    <row r="1818">
      <c r="C1818" s="63">
        <f>IFERROR(IF(LANG="EN",INDEX(I18N_EN,MATCH("kpi.fac.capex",I18N_KEY,0)),INDEX(I18N_FR,MATCH("kpi.fac.capex",I18N_KEY,0))),"kpi.fac.capex")</f>
        <v/>
      </c>
      <c r="D1818" s="64" t="inlineStr">
        <is>
          <t>FCFA</t>
        </is>
      </c>
      <c r="E1818" s="70">
        <f>IFERROR((SUMIFS('M3 · Base mensuelle'!$D$116:$AM$116,HDR,"&gt;="&amp;P_START,HDR,"&lt;="&amp;P_END))/1000000,"")</f>
        <v/>
      </c>
      <c r="F1818" s="70">
        <f>IFERROR((SUMPRODUCT((BUD_MONTHS&gt;=MONTH(P_START))*(BUD_MONTHS&lt;=MONTH(P_END))*'M1 · Paramètres'!$H$117:$S$117))/1000000,"")</f>
        <v/>
      </c>
      <c r="G1818" s="77">
        <f>IFERROR((E1818)/(F1818)-1,"")</f>
        <v/>
      </c>
      <c r="H1818" s="68">
        <f>IF(P1818="","",IF(P1818="green",IFERROR(IF(LANG="EN",INDEX(I18N_EN,MATCH("rag.green",I18N_KEY,0)),INDEX(I18N_FR,MATCH("rag.green",I18N_KEY,0))),"rag.green"),IF(P1818="amber",IFERROR(IF(LANG="EN",INDEX(I18N_EN,MATCH("rag.amber",I18N_KEY,0)),INDEX(I18N_FR,MATCH("rag.amber",I18N_KEY,0))),"rag.amber"),IFERROR(IF(LANG="EN",INDEX(I18N_EN,MATCH("rag.red",I18N_KEY,0)),INDEX(I18N_FR,MATCH("rag.red",I18N_KEY,0))),"rag.red"))))</f>
        <v/>
      </c>
      <c r="I1818" s="3" t="n"/>
      <c r="J1818" s="3" t="n"/>
      <c r="K1818" s="3" t="n"/>
      <c r="L1818" s="3" t="n"/>
      <c r="M1818" s="3" t="n"/>
      <c r="N1818" s="32" t="n"/>
      <c r="P1818" s="69">
        <f>IFERROR(IF(F1818=0,"",IF(INDEX(RAG_SENS,MATCH("kpi.fac.capex",RAG_KEY,0))="UP",IF((E1818/F1818)&gt;=INDEX(RAG_SV,MATCH("kpi.fac.capex",RAG_KEY,0)),"green",IF((E1818/F1818)&gt;=INDEX(RAG_SA,MATCH("kpi.fac.capex",RAG_KEY,0)),"amber","red")),IF((E1818/F1818)&lt;=INDEX(RAG_SV,MATCH("kpi.fac.capex",RAG_KEY,0)),"green",IF((E1818/F1818)&lt;=INDEX(RAG_SA,MATCH("kpi.fac.capex",RAG_KEY,0)),"amber","red")))),"")</f>
        <v/>
      </c>
    </row>
    <row r="1819">
      <c r="C1819" s="53">
        <f>"💬 "&amp;IFERROR(IF(LANG="EN",INDEX(I18N_EN,MATCH("col.comment",I18N_KEY,0)),INDEX(I18N_FR,MATCH("col.comment",I18N_KEY,0))),"col.comment")</f>
        <v/>
      </c>
      <c r="D1819" s="5" t="n"/>
      <c r="E1819" s="5" t="n"/>
      <c r="F1819" s="5" t="n"/>
      <c r="G1819" s="5" t="n"/>
      <c r="H1819" s="5" t="n"/>
      <c r="I1819" s="5" t="n"/>
      <c r="J1819" s="5" t="n"/>
      <c r="K1819" s="5" t="n"/>
      <c r="L1819" s="5" t="n"/>
      <c r="M1819" s="5" t="n"/>
      <c r="N1819" s="54" t="n"/>
      <c r="O1819" s="5" t="n"/>
    </row>
    <row r="1820">
      <c r="C1820" s="55">
        <f>IF(LANG="EN","Budget variance commentary.","Commentaire écart budgétaire.")</f>
        <v/>
      </c>
      <c r="D1820" s="56" t="n"/>
      <c r="E1820" s="56" t="n"/>
      <c r="F1820" s="56" t="n"/>
      <c r="G1820" s="56" t="n"/>
      <c r="H1820" s="56" t="n"/>
      <c r="I1820" s="56" t="n"/>
      <c r="J1820" s="56" t="n"/>
      <c r="K1820" s="56" t="n"/>
      <c r="L1820" s="56" t="n"/>
      <c r="M1820" s="56" t="n"/>
      <c r="N1820" s="56" t="n"/>
      <c r="O1820" s="57" t="n"/>
    </row>
    <row r="1821">
      <c r="C1821" s="50" t="n"/>
      <c r="D1821" s="3" t="n"/>
      <c r="E1821" s="3" t="n"/>
      <c r="F1821" s="3" t="n"/>
      <c r="G1821" s="3" t="n"/>
      <c r="H1821" s="3" t="n"/>
      <c r="I1821" s="3" t="n"/>
      <c r="J1821" s="3" t="n"/>
      <c r="K1821" s="3" t="n"/>
      <c r="L1821" s="3" t="n"/>
      <c r="M1821" s="3" t="n"/>
      <c r="N1821" s="32" t="n"/>
    </row>
    <row r="1822">
      <c r="C1822" s="58" t="n"/>
      <c r="D1822" s="58" t="n"/>
      <c r="E1822" s="58" t="n"/>
      <c r="F1822" s="58" t="n"/>
      <c r="G1822" s="58" t="n"/>
      <c r="H1822" s="58" t="n"/>
      <c r="I1822" s="58" t="n"/>
      <c r="J1822" s="58" t="n"/>
      <c r="K1822" s="58" t="n"/>
      <c r="L1822" s="58" t="n"/>
      <c r="M1822" s="58" t="n"/>
      <c r="N1822" s="58" t="n"/>
      <c r="O1822" s="59" t="n"/>
    </row>
    <row r="1823">
      <c r="C1823" s="60" t="n"/>
      <c r="D1823" s="36" t="n"/>
      <c r="E1823" s="36" t="n"/>
      <c r="F1823" s="36" t="n"/>
      <c r="G1823" s="36" t="n"/>
      <c r="H1823" s="36" t="n"/>
      <c r="I1823" s="36" t="n"/>
      <c r="J1823" s="36" t="n"/>
      <c r="K1823" s="36" t="n"/>
      <c r="L1823" s="36" t="n"/>
      <c r="M1823" s="36" t="n"/>
      <c r="N1823" s="22" t="n"/>
    </row>
    <row r="1824">
      <c r="C1824" s="3" t="n"/>
      <c r="D1824" s="3" t="n"/>
      <c r="E1824" s="3" t="n"/>
      <c r="F1824" s="3" t="n"/>
      <c r="G1824" s="3" t="n"/>
      <c r="H1824" s="3" t="n"/>
      <c r="I1824" s="3" t="n"/>
      <c r="J1824" s="3" t="n"/>
      <c r="K1824" s="3" t="n"/>
      <c r="L1824" s="3" t="n"/>
      <c r="M1824" s="3" t="n"/>
      <c r="N1824" s="3" t="n"/>
    </row>
    <row r="1825">
      <c r="C1825" s="78" t="n"/>
      <c r="D1825" s="78" t="n"/>
      <c r="E1825" s="78" t="n"/>
      <c r="F1825" s="78" t="n"/>
      <c r="G1825" s="78" t="n"/>
      <c r="H1825" s="78" t="n"/>
      <c r="I1825" s="78" t="n"/>
      <c r="J1825" s="78" t="n"/>
      <c r="K1825" s="78" t="n"/>
      <c r="L1825" s="78" t="n"/>
      <c r="M1825" s="78" t="n"/>
      <c r="N1825" s="78" t="n"/>
      <c r="O1825" s="78" t="n"/>
    </row>
    <row r="1826">
      <c r="C1826" s="3" t="n"/>
      <c r="D1826" s="3" t="n"/>
      <c r="E1826" s="3" t="n"/>
      <c r="F1826" s="3" t="n"/>
      <c r="G1826" s="3" t="n"/>
      <c r="H1826" s="3" t="n"/>
      <c r="I1826" s="3" t="n"/>
      <c r="J1826" s="3" t="n"/>
      <c r="K1826" s="3" t="n"/>
      <c r="L1826" s="3" t="n"/>
      <c r="M1826" s="3" t="n"/>
      <c r="N1826" s="3" t="n"/>
    </row>
    <row r="1827">
      <c r="C1827" s="1" t="n"/>
      <c r="D1827" s="1" t="n"/>
      <c r="E1827" s="1" t="n"/>
      <c r="F1827" s="1" t="n"/>
      <c r="G1827" s="1" t="n"/>
      <c r="H1827" s="1" t="n"/>
      <c r="I1827" s="1" t="n"/>
      <c r="J1827" s="1" t="n"/>
      <c r="K1827" s="1" t="n"/>
      <c r="L1827" s="1" t="n"/>
      <c r="M1827" s="1" t="n"/>
      <c r="N1827" s="1" t="n"/>
    </row>
    <row r="1828">
      <c r="C1828" s="1" t="n"/>
      <c r="D1828" s="1" t="n"/>
      <c r="E1828" s="1" t="n"/>
      <c r="F1828" s="1" t="n"/>
      <c r="G1828" s="1" t="n"/>
      <c r="H1828" s="1" t="n"/>
      <c r="I1828" s="1" t="n"/>
      <c r="J1828" s="1" t="n"/>
      <c r="K1828" s="1" t="n"/>
      <c r="L1828" s="1" t="n"/>
      <c r="M1828" s="1" t="n"/>
      <c r="N1828" s="1" t="n"/>
    </row>
    <row r="1829">
      <c r="C1829" s="1" t="n"/>
      <c r="D1829" s="1" t="n"/>
      <c r="E1829" s="1" t="n"/>
      <c r="F1829" s="1" t="n"/>
      <c r="G1829" s="1" t="n"/>
      <c r="H1829" s="1" t="n"/>
      <c r="I1829" s="1" t="n"/>
      <c r="J1829" s="1" t="n"/>
      <c r="K1829" s="1" t="n"/>
      <c r="L1829" s="1" t="n"/>
      <c r="M1829" s="1" t="n"/>
      <c r="N1829" s="1" t="n"/>
    </row>
    <row r="1830">
      <c r="C1830" s="1" t="n"/>
      <c r="D1830" s="1" t="n"/>
      <c r="E1830" s="1" t="n"/>
      <c r="F1830" s="1" t="n"/>
      <c r="G1830" s="1" t="n"/>
      <c r="H1830" s="1" t="n"/>
      <c r="I1830" s="1" t="n"/>
      <c r="J1830" s="1" t="n"/>
      <c r="K1830" s="1" t="n"/>
      <c r="L1830" s="1" t="n"/>
      <c r="M1830" s="1" t="n"/>
      <c r="N1830" s="1" t="n"/>
    </row>
    <row r="1831">
      <c r="C1831" s="1" t="n"/>
      <c r="D1831" s="1" t="n"/>
      <c r="E1831" s="1" t="n"/>
      <c r="F1831" s="1" t="n"/>
      <c r="G1831" s="1" t="n"/>
      <c r="H1831" s="1" t="n"/>
      <c r="I1831" s="1" t="n"/>
      <c r="J1831" s="1" t="n"/>
      <c r="K1831" s="1" t="n"/>
      <c r="L1831" s="1" t="n"/>
      <c r="M1831" s="1" t="n"/>
      <c r="N1831" s="1" t="n"/>
    </row>
    <row r="1832">
      <c r="C1832" s="1" t="n"/>
      <c r="D1832" s="1" t="n"/>
      <c r="E1832" s="1" t="n"/>
      <c r="F1832" s="1" t="n"/>
      <c r="G1832" s="1" t="n"/>
      <c r="H1832" s="1" t="n"/>
      <c r="I1832" s="1" t="n"/>
      <c r="J1832" s="1" t="n"/>
      <c r="K1832" s="1" t="n"/>
      <c r="L1832" s="1" t="n"/>
      <c r="M1832" s="1" t="n"/>
      <c r="N1832" s="1" t="n"/>
    </row>
    <row r="1833">
      <c r="C1833" s="1" t="n"/>
      <c r="D1833" s="1" t="n"/>
      <c r="E1833" s="1" t="n"/>
      <c r="F1833" s="1" t="n"/>
      <c r="G1833" s="1" t="n"/>
      <c r="H1833" s="1" t="n"/>
      <c r="I1833" s="1" t="n"/>
      <c r="J1833" s="1" t="n"/>
      <c r="K1833" s="1" t="n"/>
      <c r="L1833" s="1" t="n"/>
      <c r="M1833" s="1" t="n"/>
      <c r="N1833" s="1" t="n"/>
    </row>
    <row r="1834">
      <c r="C1834" s="1" t="n"/>
      <c r="D1834" s="1" t="n"/>
      <c r="E1834" s="1" t="n"/>
      <c r="F1834" s="1" t="n"/>
      <c r="G1834" s="1" t="n"/>
      <c r="H1834" s="1" t="n"/>
      <c r="I1834" s="1" t="n"/>
      <c r="J1834" s="1" t="n"/>
      <c r="K1834" s="1" t="n"/>
      <c r="L1834" s="1" t="n"/>
      <c r="M1834" s="1" t="n"/>
      <c r="N1834" s="1" t="n"/>
    </row>
    <row r="1835">
      <c r="C1835" s="1" t="n"/>
      <c r="D1835" s="1" t="n"/>
      <c r="E1835" s="1" t="n"/>
      <c r="F1835" s="1" t="n"/>
      <c r="G1835" s="1" t="n"/>
      <c r="H1835" s="1" t="n"/>
      <c r="I1835" s="1" t="n"/>
      <c r="J1835" s="1" t="n"/>
      <c r="K1835" s="1" t="n"/>
      <c r="L1835" s="1" t="n"/>
      <c r="M1835" s="1" t="n"/>
      <c r="N1835" s="1" t="n"/>
    </row>
    <row r="1836">
      <c r="C1836" s="1" t="n"/>
      <c r="D1836" s="1" t="n"/>
      <c r="E1836" s="1" t="n"/>
      <c r="F1836" s="1" t="n"/>
      <c r="G1836" s="1" t="n"/>
      <c r="H1836" s="1" t="n"/>
      <c r="I1836" s="1" t="n"/>
      <c r="J1836" s="1" t="n"/>
      <c r="K1836" s="1" t="n"/>
      <c r="L1836" s="1" t="n"/>
      <c r="M1836" s="1" t="n"/>
      <c r="N1836" s="1" t="n"/>
    </row>
    <row r="1837">
      <c r="C1837" s="1" t="n"/>
      <c r="D1837" s="1" t="n"/>
      <c r="E1837" s="1" t="n"/>
      <c r="F1837" s="1" t="n"/>
      <c r="G1837" s="1" t="n"/>
      <c r="H1837" s="1" t="n"/>
      <c r="I1837" s="1" t="n"/>
      <c r="J1837" s="1" t="n"/>
      <c r="K1837" s="1" t="n"/>
      <c r="L1837" s="1" t="n"/>
      <c r="M1837" s="1" t="n"/>
      <c r="N1837" s="1" t="n"/>
    </row>
    <row r="1838">
      <c r="C1838" s="1" t="n"/>
      <c r="D1838" s="1" t="n"/>
      <c r="E1838" s="1" t="n"/>
      <c r="F1838" s="1" t="n"/>
      <c r="G1838" s="1" t="n"/>
      <c r="H1838" s="1" t="n"/>
      <c r="I1838" s="1" t="n"/>
      <c r="J1838" s="1" t="n"/>
      <c r="K1838" s="1" t="n"/>
      <c r="L1838" s="1" t="n"/>
      <c r="M1838" s="1" t="n"/>
      <c r="N1838" s="1" t="n"/>
    </row>
    <row r="1839">
      <c r="C1839" s="1" t="n"/>
      <c r="D1839" s="1" t="n"/>
      <c r="E1839" s="1" t="n"/>
      <c r="F1839" s="1" t="n"/>
      <c r="G1839" s="1" t="n"/>
      <c r="H1839" s="1" t="n"/>
      <c r="I1839" s="1" t="n"/>
      <c r="J1839" s="1" t="n"/>
      <c r="K1839" s="1" t="n"/>
      <c r="L1839" s="1" t="n"/>
      <c r="M1839" s="1" t="n"/>
      <c r="N1839" s="1" t="n"/>
    </row>
    <row r="1840">
      <c r="C1840" s="1" t="n"/>
      <c r="D1840" s="1" t="n"/>
      <c r="E1840" s="1" t="n"/>
      <c r="F1840" s="1" t="n"/>
      <c r="G1840" s="1" t="n"/>
      <c r="H1840" s="1" t="n"/>
      <c r="I1840" s="1" t="n"/>
      <c r="J1840" s="1" t="n"/>
      <c r="K1840" s="1" t="n"/>
      <c r="L1840" s="1" t="n"/>
      <c r="M1840" s="1" t="n"/>
      <c r="N1840" s="1" t="n"/>
    </row>
    <row r="1841">
      <c r="C1841" s="1" t="n"/>
      <c r="D1841" s="1" t="n"/>
      <c r="E1841" s="1" t="n"/>
      <c r="F1841" s="1" t="n"/>
      <c r="G1841" s="1" t="n"/>
      <c r="H1841" s="1" t="n"/>
      <c r="I1841" s="1" t="n"/>
      <c r="J1841" s="1" t="n"/>
      <c r="K1841" s="1" t="n"/>
      <c r="L1841" s="1" t="n"/>
      <c r="M1841" s="1" t="n"/>
      <c r="N1841" s="1" t="n"/>
    </row>
    <row r="1842">
      <c r="C1842" s="1" t="n"/>
      <c r="D1842" s="1" t="n"/>
      <c r="E1842" s="1" t="n"/>
      <c r="F1842" s="1" t="n"/>
      <c r="G1842" s="1" t="n"/>
      <c r="H1842" s="1" t="n"/>
      <c r="I1842" s="1" t="n"/>
      <c r="J1842" s="1" t="n"/>
      <c r="K1842" s="1" t="n"/>
      <c r="L1842" s="1" t="n"/>
      <c r="M1842" s="1" t="n"/>
      <c r="N1842" s="1" t="n"/>
    </row>
    <row r="1843">
      <c r="C1843" s="1" t="n"/>
      <c r="D1843" s="1" t="n"/>
      <c r="E1843" s="1" t="n"/>
      <c r="F1843" s="1" t="n"/>
      <c r="G1843" s="1" t="n"/>
      <c r="H1843" s="1" t="n"/>
      <c r="I1843" s="1" t="n"/>
      <c r="J1843" s="1" t="n"/>
      <c r="K1843" s="1" t="n"/>
      <c r="L1843" s="1" t="n"/>
      <c r="M1843" s="1" t="n"/>
      <c r="N1843" s="1" t="n"/>
    </row>
    <row r="1844" ht="44" customHeight="1">
      <c r="C1844" s="89">
        <f>IF(LANG="EN","Thank you","Merci")</f>
        <v/>
      </c>
      <c r="D1844" s="3" t="n"/>
      <c r="E1844" s="3" t="n"/>
      <c r="F1844" s="3" t="n"/>
      <c r="G1844" s="3" t="n"/>
      <c r="H1844" s="3" t="n"/>
      <c r="I1844" s="3" t="n"/>
      <c r="J1844" s="3" t="n"/>
      <c r="K1844" s="3" t="n"/>
      <c r="L1844" s="3" t="n"/>
      <c r="M1844" s="3" t="n"/>
      <c r="N1844" s="3" t="n"/>
    </row>
    <row r="1845">
      <c r="C1845" s="1" t="n"/>
      <c r="D1845" s="1" t="n"/>
      <c r="E1845" s="1" t="n"/>
      <c r="F1845" s="1" t="n"/>
      <c r="G1845" s="1" t="n"/>
      <c r="H1845" s="1" t="n"/>
      <c r="I1845" s="1" t="n"/>
      <c r="J1845" s="1" t="n"/>
      <c r="K1845" s="1" t="n"/>
      <c r="L1845" s="1" t="n"/>
      <c r="M1845" s="1" t="n"/>
      <c r="N1845" s="1" t="n"/>
    </row>
    <row r="1846">
      <c r="C1846" s="1" t="n"/>
      <c r="D1846" s="1" t="n"/>
      <c r="E1846" s="1" t="n"/>
      <c r="F1846" s="1" t="n"/>
      <c r="G1846" s="1" t="n"/>
      <c r="H1846" s="1" t="n"/>
      <c r="I1846" s="1" t="n"/>
      <c r="J1846" s="1" t="n"/>
      <c r="K1846" s="1" t="n"/>
      <c r="L1846" s="1" t="n"/>
      <c r="M1846" s="1" t="n"/>
      <c r="N1846" s="1" t="n"/>
    </row>
    <row r="1847">
      <c r="C1847" s="5" t="n"/>
      <c r="D1847" s="5" t="n"/>
      <c r="E1847" s="5" t="n"/>
      <c r="F1847" s="5" t="n"/>
      <c r="G1847" s="5" t="n"/>
      <c r="H1847" s="1" t="n"/>
      <c r="I1847" s="1" t="n"/>
      <c r="J1847" s="1" t="n"/>
      <c r="K1847" s="1" t="n"/>
      <c r="L1847" s="1" t="n"/>
      <c r="M1847" s="1" t="n"/>
      <c r="N1847" s="1" t="n"/>
    </row>
    <row r="1848">
      <c r="C1848" s="1" t="n"/>
      <c r="D1848" s="1" t="n"/>
      <c r="E1848" s="1" t="n"/>
      <c r="F1848" s="1" t="n"/>
      <c r="G1848" s="1" t="n"/>
      <c r="H1848" s="1" t="n"/>
      <c r="I1848" s="1" t="n"/>
      <c r="J1848" s="1" t="n"/>
      <c r="K1848" s="1" t="n"/>
      <c r="L1848" s="1" t="n"/>
      <c r="M1848" s="1" t="n"/>
      <c r="N1848" s="1" t="n"/>
    </row>
    <row r="1849">
      <c r="C1849" s="1" t="n"/>
      <c r="D1849" s="1" t="n"/>
      <c r="E1849" s="1" t="n"/>
      <c r="F1849" s="1" t="n"/>
      <c r="G1849" s="1" t="n"/>
      <c r="H1849" s="1" t="n"/>
      <c r="I1849" s="1" t="n"/>
      <c r="J1849" s="1" t="n"/>
      <c r="K1849" s="1" t="n"/>
      <c r="L1849" s="1" t="n"/>
      <c r="M1849" s="1" t="n"/>
      <c r="N1849" s="1" t="n"/>
    </row>
    <row r="1850">
      <c r="C1850" s="90" t="inlineStr">
        <is>
          <t>EPLSA – Emergence Plaza · Cosmos Yopougon, Abidjan</t>
        </is>
      </c>
      <c r="D1850" s="1" t="n"/>
      <c r="E1850" s="1" t="n"/>
      <c r="F1850" s="1" t="n"/>
      <c r="G1850" s="1" t="n"/>
      <c r="H1850" s="1" t="n"/>
      <c r="I1850" s="1" t="n"/>
      <c r="J1850" s="1" t="n"/>
      <c r="K1850" s="1" t="n"/>
      <c r="L1850" s="1" t="n"/>
      <c r="M1850" s="1" t="n"/>
      <c r="N1850" s="1" t="n"/>
    </row>
    <row r="1851">
      <c r="C1851" s="1" t="n"/>
      <c r="D1851" s="1" t="n"/>
      <c r="E1851" s="1" t="n"/>
      <c r="F1851" s="1" t="n"/>
      <c r="G1851" s="1" t="n"/>
      <c r="H1851" s="1" t="n"/>
      <c r="I1851" s="1" t="n"/>
      <c r="J1851" s="1" t="n"/>
      <c r="K1851" s="1" t="n"/>
      <c r="L1851" s="1" t="n"/>
      <c r="M1851" s="1" t="n"/>
      <c r="N1851" s="1" t="n"/>
    </row>
    <row r="1852">
      <c r="C1852" s="7">
        <f>IF(LANG="EN","Prepared by the Centre Management — confidential.","Établi par la Direction du centre — confidentiel.")</f>
        <v/>
      </c>
      <c r="D1852" s="1" t="n"/>
      <c r="E1852" s="1" t="n"/>
      <c r="F1852" s="1" t="n"/>
      <c r="G1852" s="1" t="n"/>
      <c r="H1852" s="1" t="n"/>
      <c r="I1852" s="1" t="n"/>
      <c r="J1852" s="1" t="n"/>
      <c r="K1852" s="1" t="n"/>
      <c r="L1852" s="1" t="n"/>
      <c r="M1852" s="1" t="n"/>
      <c r="N1852" s="1" t="n"/>
    </row>
    <row r="1853">
      <c r="C1853" s="1" t="n"/>
      <c r="D1853" s="1" t="n"/>
      <c r="E1853" s="1" t="n"/>
      <c r="F1853" s="1" t="n"/>
      <c r="G1853" s="1" t="n"/>
      <c r="H1853" s="1" t="n"/>
      <c r="I1853" s="1" t="n"/>
      <c r="J1853" s="1" t="n"/>
      <c r="K1853" s="1" t="n"/>
      <c r="L1853" s="1" t="n"/>
      <c r="M1853" s="1" t="n"/>
      <c r="N1853" s="1" t="n"/>
    </row>
    <row r="1854">
      <c r="C1854" s="1" t="n"/>
      <c r="D1854" s="1" t="n"/>
      <c r="E1854" s="1" t="n"/>
      <c r="F1854" s="1" t="n"/>
      <c r="G1854" s="1" t="n"/>
      <c r="H1854" s="1" t="n"/>
      <c r="I1854" s="1" t="n"/>
      <c r="J1854" s="1" t="n"/>
      <c r="K1854" s="1" t="n"/>
      <c r="L1854" s="1" t="n"/>
      <c r="M1854" s="1" t="n"/>
      <c r="N1854" s="1" t="n"/>
    </row>
    <row r="1855">
      <c r="C1855" s="1" t="n"/>
      <c r="D1855" s="1" t="n"/>
      <c r="E1855" s="1" t="n"/>
      <c r="F1855" s="1" t="n"/>
      <c r="G1855" s="1" t="n"/>
      <c r="H1855" s="1" t="n"/>
      <c r="I1855" s="1" t="n"/>
      <c r="J1855" s="1" t="n"/>
      <c r="K1855" s="1" t="n"/>
      <c r="L1855" s="1" t="n"/>
      <c r="M1855" s="1" t="n"/>
      <c r="N1855" s="1" t="n"/>
    </row>
    <row r="1856">
      <c r="C1856" s="1" t="n"/>
      <c r="D1856" s="1" t="n"/>
      <c r="E1856" s="1" t="n"/>
      <c r="F1856" s="1" t="n"/>
      <c r="G1856" s="1" t="n"/>
      <c r="H1856" s="1" t="n"/>
      <c r="I1856" s="1" t="n"/>
      <c r="J1856" s="1" t="n"/>
      <c r="K1856" s="1" t="n"/>
      <c r="L1856" s="1" t="n"/>
      <c r="M1856" s="1" t="n"/>
      <c r="N1856" s="1" t="n"/>
    </row>
    <row r="1857">
      <c r="C1857" s="1" t="n"/>
      <c r="D1857" s="1" t="n"/>
      <c r="E1857" s="1" t="n"/>
      <c r="F1857" s="1" t="n"/>
      <c r="G1857" s="1" t="n"/>
      <c r="H1857" s="1" t="n"/>
      <c r="I1857" s="1" t="n"/>
      <c r="J1857" s="1" t="n"/>
      <c r="K1857" s="1" t="n"/>
      <c r="L1857" s="1" t="n"/>
      <c r="M1857" s="1" t="n"/>
      <c r="N1857" s="1" t="n"/>
    </row>
    <row r="1858">
      <c r="C1858" s="1" t="n"/>
      <c r="D1858" s="1" t="n"/>
      <c r="E1858" s="1" t="n"/>
      <c r="F1858" s="1" t="n"/>
      <c r="G1858" s="1" t="n"/>
      <c r="H1858" s="1" t="n"/>
      <c r="I1858" s="1" t="n"/>
      <c r="J1858" s="1" t="n"/>
      <c r="K1858" s="1" t="n"/>
      <c r="L1858" s="1" t="n"/>
      <c r="M1858" s="1" t="n"/>
      <c r="N1858" s="1" t="n"/>
    </row>
    <row r="1859">
      <c r="C1859" s="1" t="n"/>
      <c r="D1859" s="1" t="n"/>
      <c r="E1859" s="1" t="n"/>
      <c r="F1859" s="1" t="n"/>
      <c r="G1859" s="1" t="n"/>
      <c r="H1859" s="1" t="n"/>
      <c r="I1859" s="1" t="n"/>
      <c r="J1859" s="1" t="n"/>
      <c r="K1859" s="1" t="n"/>
      <c r="L1859" s="1" t="n"/>
      <c r="M1859" s="1" t="n"/>
      <c r="N1859" s="1" t="n"/>
    </row>
    <row r="1860">
      <c r="C1860" s="1" t="n"/>
      <c r="D1860" s="1" t="n"/>
      <c r="E1860" s="1" t="n"/>
      <c r="F1860" s="1" t="n"/>
      <c r="G1860" s="1" t="n"/>
      <c r="H1860" s="1" t="n"/>
      <c r="I1860" s="1" t="n"/>
      <c r="J1860" s="1" t="n"/>
      <c r="K1860" s="1" t="n"/>
      <c r="L1860" s="1" t="n"/>
      <c r="M1860" s="1" t="n"/>
      <c r="N1860" s="1" t="n"/>
    </row>
    <row r="1861">
      <c r="C1861" s="1" t="n"/>
      <c r="D1861" s="1" t="n"/>
      <c r="E1861" s="1" t="n"/>
      <c r="F1861" s="1" t="n"/>
      <c r="G1861" s="1" t="n"/>
      <c r="H1861" s="1" t="n"/>
      <c r="I1861" s="1" t="n"/>
      <c r="J1861" s="1" t="n"/>
      <c r="K1861" s="1" t="n"/>
      <c r="L1861" s="1" t="n"/>
      <c r="M1861" s="1" t="n"/>
      <c r="N1861" s="1" t="n"/>
    </row>
    <row r="1862">
      <c r="C1862" s="1" t="n"/>
      <c r="D1862" s="1" t="n"/>
      <c r="E1862" s="1" t="n"/>
      <c r="F1862" s="1" t="n"/>
      <c r="G1862" s="1" t="n"/>
      <c r="H1862" s="1" t="n"/>
      <c r="I1862" s="1" t="n"/>
      <c r="J1862" s="1" t="n"/>
      <c r="K1862" s="1" t="n"/>
      <c r="L1862" s="1" t="n"/>
      <c r="M1862" s="1" t="n"/>
      <c r="N1862" s="1" t="n"/>
    </row>
    <row r="1863">
      <c r="C1863" s="1" t="n"/>
      <c r="D1863" s="1" t="n"/>
      <c r="E1863" s="1" t="n"/>
      <c r="F1863" s="1" t="n"/>
      <c r="G1863" s="1" t="n"/>
      <c r="H1863" s="1" t="n"/>
      <c r="I1863" s="1" t="n"/>
      <c r="J1863" s="1" t="n"/>
      <c r="K1863" s="1" t="n"/>
      <c r="L1863" s="1" t="n"/>
      <c r="M1863" s="1" t="n"/>
      <c r="N1863" s="1" t="n"/>
    </row>
    <row r="1864">
      <c r="C1864" s="1" t="n"/>
      <c r="D1864" s="1" t="n"/>
      <c r="E1864" s="1" t="n"/>
      <c r="F1864" s="1" t="n"/>
      <c r="G1864" s="1" t="n"/>
      <c r="H1864" s="1" t="n"/>
      <c r="I1864" s="1" t="n"/>
      <c r="J1864" s="1" t="n"/>
      <c r="K1864" s="1" t="n"/>
      <c r="L1864" s="1" t="n"/>
      <c r="M1864" s="1" t="n"/>
      <c r="N1864" s="1" t="n"/>
    </row>
    <row r="1865">
      <c r="C1865" s="1" t="n"/>
      <c r="D1865" s="1" t="n"/>
      <c r="E1865" s="1" t="n"/>
      <c r="F1865" s="1" t="n"/>
      <c r="G1865" s="1" t="n"/>
      <c r="H1865" s="1" t="n"/>
      <c r="I1865" s="1" t="n"/>
      <c r="J1865" s="1" t="n"/>
      <c r="K1865" s="1" t="n"/>
      <c r="L1865" s="1" t="n"/>
      <c r="M1865" s="1" t="n"/>
      <c r="N1865" s="1" t="n"/>
    </row>
    <row r="1866">
      <c r="C1866" s="1" t="n"/>
      <c r="D1866" s="1" t="n"/>
      <c r="E1866" s="1" t="n"/>
      <c r="F1866" s="1" t="n"/>
      <c r="G1866" s="1" t="n"/>
      <c r="H1866" s="1" t="n"/>
      <c r="I1866" s="1" t="n"/>
      <c r="J1866" s="1" t="n"/>
      <c r="K1866" s="1" t="n"/>
      <c r="L1866" s="1" t="n"/>
      <c r="M1866" s="1" t="n"/>
      <c r="N1866" s="1" t="n"/>
    </row>
    <row r="1867">
      <c r="C1867" s="1" t="n"/>
      <c r="D1867" s="1" t="n"/>
      <c r="E1867" s="1" t="n"/>
      <c r="F1867" s="1" t="n"/>
      <c r="G1867" s="1" t="n"/>
      <c r="H1867" s="1" t="n"/>
      <c r="I1867" s="1" t="n"/>
      <c r="J1867" s="1" t="n"/>
      <c r="K1867" s="1" t="n"/>
      <c r="L1867" s="1" t="n"/>
      <c r="M1867" s="1" t="n"/>
      <c r="N1867" s="1" t="n"/>
    </row>
    <row r="1868">
      <c r="C1868" s="1" t="n"/>
      <c r="D1868" s="1" t="n"/>
      <c r="E1868" s="1" t="n"/>
      <c r="F1868" s="1" t="n"/>
      <c r="G1868" s="1" t="n"/>
      <c r="H1868" s="1" t="n"/>
      <c r="I1868" s="1" t="n"/>
      <c r="J1868" s="1" t="n"/>
      <c r="K1868" s="1" t="n"/>
      <c r="L1868" s="1" t="n"/>
      <c r="M1868" s="1" t="n"/>
      <c r="N1868" s="1" t="n"/>
    </row>
    <row r="1869">
      <c r="C1869" s="8">
        <f>""&amp;IFERROR(IF(LANG="EN",INDEX(I18N_EN,MATCH("msg.confidential",I18N_KEY,0)),INDEX(I18N_FR,MATCH("msg.confidential",I18N_KEY,0))),"msg.confidential")&amp;"   ·   "&amp;IFERROR(IF(LANG="EN",INDEX(I18N_EN,MATCH("msg.version",I18N_KEY,0)),INDEX(I18N_FR,MATCH("msg.version",I18N_KEY,0))),"msg.version")</f>
        <v/>
      </c>
      <c r="D1869" s="1" t="n"/>
      <c r="E1869" s="1" t="n"/>
      <c r="F1869" s="1" t="n"/>
      <c r="G1869" s="1" t="n"/>
      <c r="H1869" s="1" t="n"/>
      <c r="I1869" s="1" t="n"/>
      <c r="J1869" s="1" t="n"/>
      <c r="K1869" s="1" t="n"/>
      <c r="L1869" s="1" t="n"/>
      <c r="M1869" s="1" t="n"/>
      <c r="N1869" s="1" t="n"/>
    </row>
    <row r="1870">
      <c r="C1870" s="1" t="n"/>
      <c r="D1870" s="1" t="n"/>
      <c r="E1870" s="1" t="n"/>
      <c r="F1870" s="1" t="n"/>
      <c r="G1870" s="1" t="n"/>
      <c r="H1870" s="1" t="n"/>
      <c r="I1870" s="1" t="n"/>
      <c r="J1870" s="1" t="n"/>
      <c r="K1870" s="1" t="n"/>
      <c r="L1870" s="1" t="n"/>
      <c r="M1870" s="1" t="n"/>
      <c r="N1870" s="1" t="n"/>
    </row>
    <row r="1871">
      <c r="C1871" s="1" t="n"/>
      <c r="D1871" s="1" t="n"/>
      <c r="E1871" s="1" t="n"/>
      <c r="F1871" s="1" t="n"/>
      <c r="G1871" s="1" t="n"/>
      <c r="H1871" s="1" t="n"/>
      <c r="I1871" s="1" t="n"/>
      <c r="J1871" s="1" t="n"/>
      <c r="K1871" s="1" t="n"/>
      <c r="L1871" s="1" t="n"/>
      <c r="M1871" s="1" t="n"/>
      <c r="N1871" s="1" t="n"/>
    </row>
    <row r="1872">
      <c r="C1872" s="3" t="n"/>
      <c r="D1872" s="3" t="n"/>
      <c r="E1872" s="3" t="n"/>
      <c r="F1872" s="3" t="n"/>
      <c r="G1872" s="3" t="n"/>
      <c r="H1872" s="3" t="n"/>
      <c r="I1872" s="3" t="n"/>
      <c r="J1872" s="3" t="n"/>
      <c r="K1872" s="3" t="n"/>
      <c r="L1872" s="3" t="n"/>
      <c r="M1872" s="3" t="n"/>
      <c r="N1872" s="3" t="n"/>
    </row>
  </sheetData>
  <mergeCells count="210">
    <mergeCell ref="I1091:N1091"/>
    <mergeCell ref="C85:H85"/>
    <mergeCell ref="C238:O240"/>
    <mergeCell ref="C764:H764"/>
    <mergeCell ref="I1554:N1554"/>
    <mergeCell ref="C130:O132"/>
    <mergeCell ref="C253:O255"/>
    <mergeCell ref="C852:O854"/>
    <mergeCell ref="C1128:O1130"/>
    <mergeCell ref="I190:N190"/>
    <mergeCell ref="C150:O152"/>
    <mergeCell ref="C927:O929"/>
    <mergeCell ref="C1722:O1724"/>
    <mergeCell ref="C1284:H1284"/>
    <mergeCell ref="C869:H869"/>
    <mergeCell ref="C1519:O1521"/>
    <mergeCell ref="C793:E793"/>
    <mergeCell ref="G66:H66"/>
    <mergeCell ref="C720:O722"/>
    <mergeCell ref="I66:J66"/>
    <mergeCell ref="C643:O645"/>
    <mergeCell ref="E65:F65"/>
    <mergeCell ref="I191:N191"/>
    <mergeCell ref="C469:H469"/>
    <mergeCell ref="I864:N864"/>
    <mergeCell ref="C514:O516"/>
    <mergeCell ref="C1279:H1279"/>
    <mergeCell ref="C452:O454"/>
    <mergeCell ref="C574:O576"/>
    <mergeCell ref="I1277:N1277"/>
    <mergeCell ref="C681:O683"/>
    <mergeCell ref="C1084:H1084"/>
    <mergeCell ref="C1179:O1181"/>
    <mergeCell ref="I469:N469"/>
    <mergeCell ref="C1477:O1479"/>
    <mergeCell ref="C863:H863"/>
    <mergeCell ref="I767:N767"/>
    <mergeCell ref="C274:O276"/>
    <mergeCell ref="I865:N865"/>
    <mergeCell ref="I90:N90"/>
    <mergeCell ref="G115:I115"/>
    <mergeCell ref="I1279:N1279"/>
    <mergeCell ref="C1374:O1376"/>
    <mergeCell ref="C89:H89"/>
    <mergeCell ref="I468:N468"/>
    <mergeCell ref="C1150:O1152"/>
    <mergeCell ref="C1555:H1555"/>
    <mergeCell ref="C1037:O1039"/>
    <mergeCell ref="C1625:O1627"/>
    <mergeCell ref="C769:H769"/>
    <mergeCell ref="C184:H184"/>
    <mergeCell ref="C215:E215"/>
    <mergeCell ref="C1085:H1085"/>
    <mergeCell ref="I1278:N1278"/>
    <mergeCell ref="C173:O175"/>
    <mergeCell ref="C1214:O1216"/>
    <mergeCell ref="I1555:N1555"/>
    <mergeCell ref="C700:O702"/>
    <mergeCell ref="C463:H463"/>
    <mergeCell ref="C1308:E1308"/>
    <mergeCell ref="C1234:O1236"/>
    <mergeCell ref="I1553:N1553"/>
    <mergeCell ref="C1776:O1778"/>
    <mergeCell ref="C1282:H1282"/>
    <mergeCell ref="C1553:H1553"/>
    <mergeCell ref="K1584:M1584"/>
    <mergeCell ref="G894:I894"/>
    <mergeCell ref="C763:H763"/>
    <mergeCell ref="I863:N863"/>
    <mergeCell ref="C1086:H1086"/>
    <mergeCell ref="C940:O942"/>
    <mergeCell ref="C367:O369"/>
    <mergeCell ref="C1647:O1649"/>
    <mergeCell ref="I769:N769"/>
    <mergeCell ref="C1466:O1468"/>
    <mergeCell ref="C1454:O1456"/>
    <mergeCell ref="C587:O589"/>
    <mergeCell ref="C1702:O1704"/>
    <mergeCell ref="I868:N868"/>
    <mergeCell ref="C1278:H1278"/>
    <mergeCell ref="C190:H190"/>
    <mergeCell ref="C555:O557"/>
    <mergeCell ref="C1283:H1283"/>
    <mergeCell ref="C1559:H1559"/>
    <mergeCell ref="I84:N84"/>
    <mergeCell ref="C186:H186"/>
    <mergeCell ref="C1447:O1449"/>
    <mergeCell ref="G65:H65"/>
    <mergeCell ref="C426:O428"/>
    <mergeCell ref="C494:E494"/>
    <mergeCell ref="C662:O664"/>
    <mergeCell ref="C1017:O1019"/>
    <mergeCell ref="C1073:O1075"/>
    <mergeCell ref="G1115:I1115"/>
    <mergeCell ref="I1282:N1282"/>
    <mergeCell ref="C968:O970"/>
    <mergeCell ref="C1428:O1430"/>
    <mergeCell ref="I86:N86"/>
    <mergeCell ref="I1283:N1283"/>
    <mergeCell ref="G793:I793"/>
    <mergeCell ref="C185:H185"/>
    <mergeCell ref="I89:N89"/>
    <mergeCell ref="C191:H191"/>
    <mergeCell ref="C1194:O1196"/>
    <mergeCell ref="K1115:M1115"/>
    <mergeCell ref="I1559:N1559"/>
    <mergeCell ref="K66:L66"/>
    <mergeCell ref="C66:D66"/>
    <mergeCell ref="E66:F66"/>
    <mergeCell ref="C1003:O1005"/>
    <mergeCell ref="I1558:N1558"/>
    <mergeCell ref="C1596:O1598"/>
    <mergeCell ref="C1277:H1277"/>
    <mergeCell ref="I185:N185"/>
    <mergeCell ref="C751:O753"/>
    <mergeCell ref="I470:N470"/>
    <mergeCell ref="I1560:N1560"/>
    <mergeCell ref="C864:H864"/>
    <mergeCell ref="C983:O985"/>
    <mergeCell ref="I184:N184"/>
    <mergeCell ref="C1051:O1053"/>
    <mergeCell ref="I1084:N1084"/>
    <mergeCell ref="C90:H90"/>
    <mergeCell ref="C115:E115"/>
    <mergeCell ref="C1682:O1684"/>
    <mergeCell ref="I186:N186"/>
    <mergeCell ref="C1756:O1758"/>
    <mergeCell ref="C1796:O1798"/>
    <mergeCell ref="C65:D65"/>
    <mergeCell ref="C865:H865"/>
    <mergeCell ref="C1500:O1502"/>
    <mergeCell ref="C868:H868"/>
    <mergeCell ref="I762:N762"/>
    <mergeCell ref="C304:O306"/>
    <mergeCell ref="C1542:O1544"/>
    <mergeCell ref="C189:H189"/>
    <mergeCell ref="C465:H465"/>
    <mergeCell ref="C1844:N1844"/>
    <mergeCell ref="G1584:I1584"/>
    <mergeCell ref="C86:H86"/>
    <mergeCell ref="I870:N870"/>
    <mergeCell ref="C894:E894"/>
    <mergeCell ref="C464:H464"/>
    <mergeCell ref="C1669:O1671"/>
    <mergeCell ref="I189:N189"/>
    <mergeCell ref="C830:O832"/>
    <mergeCell ref="K65:L65"/>
    <mergeCell ref="C1089:H1089"/>
    <mergeCell ref="I869:N869"/>
    <mergeCell ref="C1744:O1746"/>
    <mergeCell ref="C621:O623"/>
    <mergeCell ref="I464:N464"/>
    <mergeCell ref="I65:J65"/>
    <mergeCell ref="C1091:H1091"/>
    <mergeCell ref="C1560:H1560"/>
    <mergeCell ref="G494:I494"/>
    <mergeCell ref="K793:M793"/>
    <mergeCell ref="C870:H870"/>
    <mergeCell ref="C84:H84"/>
    <mergeCell ref="C409:O411"/>
    <mergeCell ref="C1090:H1090"/>
    <mergeCell ref="C1115:E1115"/>
    <mergeCell ref="I764:N764"/>
    <mergeCell ref="I1284:N1284"/>
    <mergeCell ref="C1334:O1336"/>
    <mergeCell ref="C767:H767"/>
    <mergeCell ref="C346:O348"/>
    <mergeCell ref="C1172:O1174"/>
    <mergeCell ref="K494:M494"/>
    <mergeCell ref="C727:O729"/>
    <mergeCell ref="K115:M115"/>
    <mergeCell ref="I1090:N1090"/>
    <mergeCell ref="C1603:O1605"/>
    <mergeCell ref="C907:O909"/>
    <mergeCell ref="C1558:H1558"/>
    <mergeCell ref="C470:H470"/>
    <mergeCell ref="G215:I215"/>
    <mergeCell ref="C17:N17"/>
    <mergeCell ref="C534:O536"/>
    <mergeCell ref="C768:H768"/>
    <mergeCell ref="C762:H762"/>
    <mergeCell ref="C1354:O1356"/>
    <mergeCell ref="C91:H91"/>
    <mergeCell ref="C1416:O1418"/>
    <mergeCell ref="C1820:O1822"/>
    <mergeCell ref="C608:O610"/>
    <mergeCell ref="I1089:N1089"/>
    <mergeCell ref="C468:H468"/>
    <mergeCell ref="I1085:N1085"/>
    <mergeCell ref="K215:M215"/>
    <mergeCell ref="C947:O949"/>
    <mergeCell ref="G1308:I1308"/>
    <mergeCell ref="I768:N768"/>
    <mergeCell ref="C1266:O1268"/>
    <mergeCell ref="C1584:E1584"/>
    <mergeCell ref="C809:O811"/>
    <mergeCell ref="I463:N463"/>
    <mergeCell ref="K894:M894"/>
    <mergeCell ref="C325:O327"/>
    <mergeCell ref="I1086:N1086"/>
    <mergeCell ref="K1308:M1308"/>
    <mergeCell ref="C1396:O1398"/>
    <mergeCell ref="C14:N14"/>
    <mergeCell ref="C1320:O1322"/>
    <mergeCell ref="I465:N465"/>
    <mergeCell ref="C389:O391"/>
    <mergeCell ref="C1554:H1554"/>
    <mergeCell ref="I763:N763"/>
    <mergeCell ref="I91:N91"/>
    <mergeCell ref="I85:N85"/>
  </mergeCells>
  <conditionalFormatting sqref="E70:E77">
    <cfRule type="colorScale" priority="1">
      <colorScale>
        <cfvo type="num" val="0.7"/>
        <cfvo type="num" val="0.95"/>
        <cfvo type="num" val="1.1"/>
        <color rgb="00F6E0DA"/>
        <color rgb="00FBEED3"/>
        <color rgb="00DCEFE7"/>
      </colorScale>
    </cfRule>
  </conditionalFormatting>
  <conditionalFormatting sqref="C86">
    <cfRule type="expression" priority="2" dxfId="0">
      <formula>C86&gt;0</formula>
    </cfRule>
    <cfRule type="expression" priority="3" dxfId="1">
      <formula>C86&lt;0</formula>
    </cfRule>
  </conditionalFormatting>
  <conditionalFormatting sqref="I86">
    <cfRule type="expression" priority="4" dxfId="0">
      <formula>I86&gt;0</formula>
    </cfRule>
    <cfRule type="expression" priority="5" dxfId="1">
      <formula>I86&lt;0</formula>
    </cfRule>
  </conditionalFormatting>
  <conditionalFormatting sqref="C91">
    <cfRule type="expression" priority="6" dxfId="0">
      <formula>C91&gt;0</formula>
    </cfRule>
    <cfRule type="expression" priority="7" dxfId="1">
      <formula>C91&lt;0</formula>
    </cfRule>
  </conditionalFormatting>
  <conditionalFormatting sqref="I91">
    <cfRule type="expression" priority="8" dxfId="0">
      <formula>I91&gt;0</formula>
    </cfRule>
    <cfRule type="expression" priority="9" dxfId="1">
      <formula>I91&lt;0</formula>
    </cfRule>
  </conditionalFormatting>
  <conditionalFormatting sqref="C137:L146">
    <cfRule type="expression" priority="10" dxfId="2">
      <formula>MOD(ROW(),2)=0</formula>
    </cfRule>
  </conditionalFormatting>
  <conditionalFormatting sqref="L137:L146">
    <cfRule type="expression" priority="11" dxfId="3">
      <formula>$O137="green"</formula>
    </cfRule>
    <cfRule type="expression" priority="12" dxfId="4">
      <formula>$O137="amber"</formula>
    </cfRule>
    <cfRule type="expression" priority="13" dxfId="5">
      <formula>$O137="red"</formula>
    </cfRule>
  </conditionalFormatting>
  <conditionalFormatting sqref="C170:H171">
    <cfRule type="expression" priority="14" dxfId="2">
      <formula>MOD(ROW(),2)=0</formula>
    </cfRule>
  </conditionalFormatting>
  <conditionalFormatting sqref="H170:H171">
    <cfRule type="expression" priority="15" dxfId="3">
      <formula>$P170="green"</formula>
    </cfRule>
    <cfRule type="expression" priority="16" dxfId="4">
      <formula>$P170="amber"</formula>
    </cfRule>
    <cfRule type="expression" priority="17" dxfId="5">
      <formula>$P170="red"</formula>
    </cfRule>
  </conditionalFormatting>
  <conditionalFormatting sqref="C186">
    <cfRule type="expression" priority="18" dxfId="0">
      <formula>C186&gt;0</formula>
    </cfRule>
    <cfRule type="expression" priority="19" dxfId="1">
      <formula>C186&lt;0</formula>
    </cfRule>
  </conditionalFormatting>
  <conditionalFormatting sqref="I186">
    <cfRule type="expression" priority="20" dxfId="0">
      <formula>I186&gt;0</formula>
    </cfRule>
    <cfRule type="expression" priority="21" dxfId="1">
      <formula>I186&lt;0</formula>
    </cfRule>
  </conditionalFormatting>
  <conditionalFormatting sqref="C191">
    <cfRule type="expression" priority="22" dxfId="0">
      <formula>C191&gt;0</formula>
    </cfRule>
    <cfRule type="expression" priority="23" dxfId="1">
      <formula>C191&lt;0</formula>
    </cfRule>
  </conditionalFormatting>
  <conditionalFormatting sqref="I191">
    <cfRule type="expression" priority="24" dxfId="0">
      <formula>I191&gt;0</formula>
    </cfRule>
    <cfRule type="expression" priority="25" dxfId="1">
      <formula>I191&lt;0</formula>
    </cfRule>
  </conditionalFormatting>
  <conditionalFormatting sqref="C221:E227">
    <cfRule type="expression" priority="26" dxfId="2">
      <formula>MOD(ROW(),2)=0</formula>
    </cfRule>
  </conditionalFormatting>
  <conditionalFormatting sqref="D221:D227">
    <cfRule type="dataBar" priority="27">
      <dataBar showValue="1">
        <cfvo type="min"/>
        <cfvo type="max"/>
        <color rgb="003C7A6B"/>
      </dataBar>
    </cfRule>
  </conditionalFormatting>
  <conditionalFormatting sqref="C245:L249">
    <cfRule type="expression" priority="28" dxfId="2">
      <formula>MOD(ROW(),2)=0</formula>
    </cfRule>
  </conditionalFormatting>
  <conditionalFormatting sqref="L245:L249">
    <cfRule type="expression" priority="29" dxfId="3">
      <formula>$O245="green"</formula>
    </cfRule>
    <cfRule type="expression" priority="30" dxfId="4">
      <formula>$O245="amber"</formula>
    </cfRule>
    <cfRule type="expression" priority="31" dxfId="5">
      <formula>$O245="red"</formula>
    </cfRule>
  </conditionalFormatting>
  <conditionalFormatting sqref="C260:G264">
    <cfRule type="expression" priority="32" dxfId="2">
      <formula>MOD(ROW(),2)=0</formula>
    </cfRule>
  </conditionalFormatting>
  <conditionalFormatting sqref="D260:D264">
    <cfRule type="dataBar" priority="33">
      <dataBar showValue="1">
        <cfvo type="min"/>
        <cfvo type="max"/>
        <color rgb="003C7A6B"/>
      </dataBar>
    </cfRule>
  </conditionalFormatting>
  <conditionalFormatting sqref="E260:E264">
    <cfRule type="dataBar" priority="34">
      <dataBar showValue="1">
        <cfvo type="min"/>
        <cfvo type="max"/>
        <color rgb="003C7A6B"/>
      </dataBar>
    </cfRule>
  </conditionalFormatting>
  <conditionalFormatting sqref="F260:F264">
    <cfRule type="dataBar" priority="35">
      <dataBar showValue="1">
        <cfvo type="min"/>
        <cfvo type="max"/>
        <color rgb="003C7A6B"/>
      </dataBar>
    </cfRule>
  </conditionalFormatting>
  <conditionalFormatting sqref="G260:G264">
    <cfRule type="dataBar" priority="36">
      <dataBar showValue="1">
        <cfvo type="min"/>
        <cfvo type="max"/>
        <color rgb="002A7B5D"/>
      </dataBar>
    </cfRule>
  </conditionalFormatting>
  <conditionalFormatting sqref="C281:G290">
    <cfRule type="expression" priority="37" dxfId="2">
      <formula>MOD(ROW(),2)=0</formula>
    </cfRule>
  </conditionalFormatting>
  <conditionalFormatting sqref="E281:E290">
    <cfRule type="dataBar" priority="38">
      <dataBar showValue="1">
        <cfvo type="min"/>
        <cfvo type="max"/>
        <color rgb="003C7A6B"/>
      </dataBar>
    </cfRule>
  </conditionalFormatting>
  <conditionalFormatting sqref="F281:F290">
    <cfRule type="dataBar" priority="39">
      <dataBar showValue="1">
        <cfvo type="min"/>
        <cfvo type="max"/>
        <color rgb="003C7A6B"/>
      </dataBar>
    </cfRule>
  </conditionalFormatting>
  <conditionalFormatting sqref="G281:G290">
    <cfRule type="dataBar" priority="40">
      <dataBar showValue="1">
        <cfvo type="min"/>
        <cfvo type="max"/>
        <color rgb="002A7B5D"/>
      </dataBar>
    </cfRule>
  </conditionalFormatting>
  <conditionalFormatting sqref="C311:H315">
    <cfRule type="expression" priority="41" dxfId="2">
      <formula>MOD(ROW(),2)=0</formula>
    </cfRule>
  </conditionalFormatting>
  <conditionalFormatting sqref="E311:E315">
    <cfRule type="dataBar" priority="42">
      <dataBar showValue="1">
        <cfvo type="min"/>
        <cfvo type="max"/>
        <color rgb="003C7A6B"/>
      </dataBar>
    </cfRule>
  </conditionalFormatting>
  <conditionalFormatting sqref="F311:F315">
    <cfRule type="dataBar" priority="43">
      <dataBar showValue="1">
        <cfvo type="min"/>
        <cfvo type="max"/>
        <color rgb="003C7A6B"/>
      </dataBar>
    </cfRule>
  </conditionalFormatting>
  <conditionalFormatting sqref="H311:H315">
    <cfRule type="dataBar" priority="44">
      <dataBar showValue="1">
        <cfvo type="min"/>
        <cfvo type="max"/>
        <color rgb="002A7B5D"/>
      </dataBar>
    </cfRule>
  </conditionalFormatting>
  <conditionalFormatting sqref="C332:G336">
    <cfRule type="expression" priority="45" dxfId="2">
      <formula>MOD(ROW(),2)=0</formula>
    </cfRule>
  </conditionalFormatting>
  <conditionalFormatting sqref="D332:D336">
    <cfRule type="dataBar" priority="46">
      <dataBar showValue="1">
        <cfvo type="min"/>
        <cfvo type="max"/>
        <color rgb="003C7A6B"/>
      </dataBar>
    </cfRule>
  </conditionalFormatting>
  <conditionalFormatting sqref="E332:E336">
    <cfRule type="dataBar" priority="47">
      <dataBar showValue="1">
        <cfvo type="min"/>
        <cfvo type="max"/>
        <color rgb="003C7A6B"/>
      </dataBar>
    </cfRule>
  </conditionalFormatting>
  <conditionalFormatting sqref="F332:F336">
    <cfRule type="dataBar" priority="48">
      <dataBar showValue="1">
        <cfvo type="min"/>
        <cfvo type="max"/>
        <color rgb="003C7A6B"/>
      </dataBar>
    </cfRule>
  </conditionalFormatting>
  <conditionalFormatting sqref="G332:G336">
    <cfRule type="dataBar" priority="49">
      <dataBar showValue="1">
        <cfvo type="min"/>
        <cfvo type="max"/>
        <color rgb="002A7B5D"/>
      </dataBar>
    </cfRule>
  </conditionalFormatting>
  <conditionalFormatting sqref="C353:H357">
    <cfRule type="expression" priority="50" dxfId="2">
      <formula>MOD(ROW(),2)=0</formula>
    </cfRule>
  </conditionalFormatting>
  <conditionalFormatting sqref="F353:F357">
    <cfRule type="dataBar" priority="51">
      <dataBar showValue="1">
        <cfvo type="min"/>
        <cfvo type="max"/>
        <color rgb="003C7A6B"/>
      </dataBar>
    </cfRule>
  </conditionalFormatting>
  <conditionalFormatting sqref="G353:G357">
    <cfRule type="dataBar" priority="52">
      <dataBar showValue="1">
        <cfvo type="min"/>
        <cfvo type="max"/>
        <color rgb="003C7A6B"/>
      </dataBar>
    </cfRule>
  </conditionalFormatting>
  <conditionalFormatting sqref="C374:F379">
    <cfRule type="expression" priority="53" dxfId="2">
      <formula>MOD(ROW(),2)=0</formula>
    </cfRule>
  </conditionalFormatting>
  <conditionalFormatting sqref="D374:D379">
    <cfRule type="dataBar" priority="54">
      <dataBar showValue="1">
        <cfvo type="min"/>
        <cfvo type="max"/>
        <color rgb="003C7A6B"/>
      </dataBar>
    </cfRule>
  </conditionalFormatting>
  <conditionalFormatting sqref="E374:E379">
    <cfRule type="dataBar" priority="55">
      <dataBar showValue="1">
        <cfvo type="min"/>
        <cfvo type="max"/>
        <color rgb="003C7A6B"/>
      </dataBar>
    </cfRule>
  </conditionalFormatting>
  <conditionalFormatting sqref="F374:F379">
    <cfRule type="dataBar" priority="56">
      <dataBar showValue="1">
        <cfvo type="min"/>
        <cfvo type="max"/>
        <color rgb="003C7A6B"/>
      </dataBar>
    </cfRule>
  </conditionalFormatting>
  <conditionalFormatting sqref="C396:E399">
    <cfRule type="expression" priority="57" dxfId="2">
      <formula>MOD(ROW(),2)=0</formula>
    </cfRule>
  </conditionalFormatting>
  <conditionalFormatting sqref="D396:D399">
    <cfRule type="dataBar" priority="58">
      <dataBar showValue="1">
        <cfvo type="min"/>
        <cfvo type="max"/>
        <color rgb="003C7A6B"/>
      </dataBar>
    </cfRule>
  </conditionalFormatting>
  <conditionalFormatting sqref="C416:L422">
    <cfRule type="expression" priority="59" dxfId="2">
      <formula>MOD(ROW(),2)=0</formula>
    </cfRule>
  </conditionalFormatting>
  <conditionalFormatting sqref="L416:L422">
    <cfRule type="expression" priority="60" dxfId="3">
      <formula>$O416="green"</formula>
    </cfRule>
    <cfRule type="expression" priority="61" dxfId="4">
      <formula>$O416="amber"</formula>
    </cfRule>
    <cfRule type="expression" priority="62" dxfId="5">
      <formula>$O416="red"</formula>
    </cfRule>
  </conditionalFormatting>
  <conditionalFormatting sqref="C446:H450">
    <cfRule type="expression" priority="63" dxfId="2">
      <formula>MOD(ROW(),2)=0</formula>
    </cfRule>
  </conditionalFormatting>
  <conditionalFormatting sqref="H446:H450">
    <cfRule type="expression" priority="64" dxfId="3">
      <formula>$P446="green"</formula>
    </cfRule>
    <cfRule type="expression" priority="65" dxfId="4">
      <formula>$P446="amber"</formula>
    </cfRule>
    <cfRule type="expression" priority="66" dxfId="5">
      <formula>$P446="red"</formula>
    </cfRule>
  </conditionalFormatting>
  <conditionalFormatting sqref="C465">
    <cfRule type="expression" priority="67" dxfId="0">
      <formula>C465&gt;0</formula>
    </cfRule>
    <cfRule type="expression" priority="68" dxfId="1">
      <formula>C465&lt;0</formula>
    </cfRule>
  </conditionalFormatting>
  <conditionalFormatting sqref="I465">
    <cfRule type="expression" priority="69" dxfId="0">
      <formula>I465&gt;0</formula>
    </cfRule>
    <cfRule type="expression" priority="70" dxfId="1">
      <formula>I465&lt;0</formula>
    </cfRule>
  </conditionalFormatting>
  <conditionalFormatting sqref="C470">
    <cfRule type="expression" priority="71" dxfId="0">
      <formula>C470&gt;0</formula>
    </cfRule>
    <cfRule type="expression" priority="72" dxfId="1">
      <formula>C470&lt;0</formula>
    </cfRule>
  </conditionalFormatting>
  <conditionalFormatting sqref="I470">
    <cfRule type="expression" priority="73" dxfId="0">
      <formula>I470&gt;0</formula>
    </cfRule>
    <cfRule type="expression" priority="74" dxfId="1">
      <formula>I470&lt;0</formula>
    </cfRule>
  </conditionalFormatting>
  <conditionalFormatting sqref="C500:G504">
    <cfRule type="expression" priority="75" dxfId="2">
      <formula>MOD(ROW(),2)=0</formula>
    </cfRule>
  </conditionalFormatting>
  <conditionalFormatting sqref="E500:E504">
    <cfRule type="dataBar" priority="76">
      <dataBar showValue="1">
        <cfvo type="min"/>
        <cfvo type="max"/>
        <color rgb="003C7A6B"/>
      </dataBar>
    </cfRule>
  </conditionalFormatting>
  <conditionalFormatting sqref="G500:G504">
    <cfRule type="dataBar" priority="77">
      <dataBar showValue="1">
        <cfvo type="min"/>
        <cfvo type="max"/>
        <color rgb="003C7A6B"/>
      </dataBar>
    </cfRule>
  </conditionalFormatting>
  <conditionalFormatting sqref="C521:G524">
    <cfRule type="expression" priority="78" dxfId="2">
      <formula>MOD(ROW(),2)=0</formula>
    </cfRule>
  </conditionalFormatting>
  <conditionalFormatting sqref="E521:E524">
    <cfRule type="dataBar" priority="79">
      <dataBar showValue="1">
        <cfvo type="min"/>
        <cfvo type="max"/>
        <color rgb="003C7A6B"/>
      </dataBar>
    </cfRule>
  </conditionalFormatting>
  <conditionalFormatting sqref="G521:G524">
    <cfRule type="dataBar" priority="80">
      <dataBar showValue="1">
        <cfvo type="min"/>
        <cfvo type="max"/>
        <color rgb="003C7A6B"/>
      </dataBar>
    </cfRule>
  </conditionalFormatting>
  <conditionalFormatting sqref="C541:E545">
    <cfRule type="expression" priority="81" dxfId="2">
      <formula>MOD(ROW(),2)=0</formula>
    </cfRule>
  </conditionalFormatting>
  <conditionalFormatting sqref="D541:D545">
    <cfRule type="dataBar" priority="82">
      <dataBar showValue="1">
        <cfvo type="min"/>
        <cfvo type="max"/>
        <color rgb="003C7A6B"/>
      </dataBar>
    </cfRule>
  </conditionalFormatting>
  <conditionalFormatting sqref="C562:L570">
    <cfRule type="expression" priority="83" dxfId="2">
      <formula>MOD(ROW(),2)=0</formula>
    </cfRule>
  </conditionalFormatting>
  <conditionalFormatting sqref="L562:L570">
    <cfRule type="expression" priority="84" dxfId="3">
      <formula>$O562="green"</formula>
    </cfRule>
    <cfRule type="expression" priority="85" dxfId="4">
      <formula>$O562="amber"</formula>
    </cfRule>
    <cfRule type="expression" priority="86" dxfId="5">
      <formula>$O562="red"</formula>
    </cfRule>
  </conditionalFormatting>
  <conditionalFormatting sqref="C581:L583">
    <cfRule type="expression" priority="87" dxfId="2">
      <formula>MOD(ROW(),2)=0</formula>
    </cfRule>
  </conditionalFormatting>
  <conditionalFormatting sqref="L581:L583">
    <cfRule type="expression" priority="88" dxfId="3">
      <formula>$O581="green"</formula>
    </cfRule>
    <cfRule type="expression" priority="89" dxfId="4">
      <formula>$O581="amber"</formula>
    </cfRule>
    <cfRule type="expression" priority="90" dxfId="5">
      <formula>$O581="red"</formula>
    </cfRule>
  </conditionalFormatting>
  <conditionalFormatting sqref="C594:G598">
    <cfRule type="expression" priority="91" dxfId="2">
      <formula>MOD(ROW(),2)=0</formula>
    </cfRule>
  </conditionalFormatting>
  <conditionalFormatting sqref="E594:E598">
    <cfRule type="dataBar" priority="92">
      <dataBar showValue="1">
        <cfvo type="min"/>
        <cfvo type="max"/>
        <color rgb="003C7A6B"/>
      </dataBar>
    </cfRule>
  </conditionalFormatting>
  <conditionalFormatting sqref="F594:F598">
    <cfRule type="dataBar" priority="93">
      <dataBar showValue="1">
        <cfvo type="min"/>
        <cfvo type="max"/>
        <color rgb="003C7A6B"/>
      </dataBar>
    </cfRule>
  </conditionalFormatting>
  <conditionalFormatting sqref="C615:L617">
    <cfRule type="expression" priority="94" dxfId="2">
      <formula>MOD(ROW(),2)=0</formula>
    </cfRule>
  </conditionalFormatting>
  <conditionalFormatting sqref="L615:L617">
    <cfRule type="expression" priority="95" dxfId="3">
      <formula>$O615="green"</formula>
    </cfRule>
    <cfRule type="expression" priority="96" dxfId="4">
      <formula>$O615="amber"</formula>
    </cfRule>
    <cfRule type="expression" priority="97" dxfId="5">
      <formula>$O615="red"</formula>
    </cfRule>
  </conditionalFormatting>
  <conditionalFormatting sqref="C628:G633">
    <cfRule type="expression" priority="98" dxfId="2">
      <formula>MOD(ROW(),2)=0</formula>
    </cfRule>
  </conditionalFormatting>
  <conditionalFormatting sqref="F628:F633">
    <cfRule type="dataBar" priority="99">
      <dataBar showValue="1">
        <cfvo type="min"/>
        <cfvo type="max"/>
        <color rgb="003C7A6B"/>
      </dataBar>
    </cfRule>
  </conditionalFormatting>
  <conditionalFormatting sqref="C650:F652">
    <cfRule type="expression" priority="100" dxfId="2">
      <formula>MOD(ROW(),2)=0</formula>
    </cfRule>
  </conditionalFormatting>
  <conditionalFormatting sqref="E650:E652">
    <cfRule type="dataBar" priority="101">
      <dataBar showValue="1">
        <cfvo type="min"/>
        <cfvo type="max"/>
        <color rgb="003C7A6B"/>
      </dataBar>
    </cfRule>
  </conditionalFormatting>
  <conditionalFormatting sqref="C669:F671">
    <cfRule type="expression" priority="102" dxfId="2">
      <formula>MOD(ROW(),2)=0</formula>
    </cfRule>
  </conditionalFormatting>
  <conditionalFormatting sqref="E669:E671">
    <cfRule type="dataBar" priority="103">
      <dataBar showValue="1">
        <cfvo type="min"/>
        <cfvo type="max"/>
        <color rgb="003C7A6B"/>
      </dataBar>
    </cfRule>
  </conditionalFormatting>
  <conditionalFormatting sqref="F669:F671">
    <cfRule type="dataBar" priority="104">
      <dataBar showValue="1">
        <cfvo type="min"/>
        <cfvo type="max"/>
        <color rgb="003C7A6B"/>
      </dataBar>
    </cfRule>
  </conditionalFormatting>
  <conditionalFormatting sqref="C688:G690">
    <cfRule type="expression" priority="105" dxfId="2">
      <formula>MOD(ROW(),2)=0</formula>
    </cfRule>
  </conditionalFormatting>
  <conditionalFormatting sqref="E688:E690">
    <cfRule type="dataBar" priority="106">
      <dataBar showValue="1">
        <cfvo type="min"/>
        <cfvo type="max"/>
        <color rgb="003C7A6B"/>
      </dataBar>
    </cfRule>
  </conditionalFormatting>
  <conditionalFormatting sqref="F688:F690">
    <cfRule type="dataBar" priority="107">
      <dataBar showValue="1">
        <cfvo type="min"/>
        <cfvo type="max"/>
        <color rgb="003C7A6B"/>
      </dataBar>
    </cfRule>
  </conditionalFormatting>
  <conditionalFormatting sqref="G688:G690">
    <cfRule type="dataBar" priority="108">
      <dataBar showValue="1">
        <cfvo type="min"/>
        <cfvo type="max"/>
        <color rgb="002A7B5D"/>
      </dataBar>
    </cfRule>
  </conditionalFormatting>
  <conditionalFormatting sqref="C707:F710">
    <cfRule type="expression" priority="109" dxfId="2">
      <formula>MOD(ROW(),2)=0</formula>
    </cfRule>
  </conditionalFormatting>
  <conditionalFormatting sqref="E707:E710">
    <cfRule type="dataBar" priority="110">
      <dataBar showValue="1">
        <cfvo type="min"/>
        <cfvo type="max"/>
        <color rgb="003C7A6B"/>
      </dataBar>
    </cfRule>
  </conditionalFormatting>
  <conditionalFormatting sqref="F707:F710">
    <cfRule type="dataBar" priority="111">
      <dataBar showValue="1">
        <cfvo type="min"/>
        <cfvo type="max"/>
        <color rgb="002A7B5D"/>
      </dataBar>
    </cfRule>
  </conditionalFormatting>
  <conditionalFormatting sqref="C747:H749">
    <cfRule type="expression" priority="112" dxfId="2">
      <formula>MOD(ROW(),2)=0</formula>
    </cfRule>
  </conditionalFormatting>
  <conditionalFormatting sqref="H747:H749">
    <cfRule type="expression" priority="113" dxfId="3">
      <formula>$P747="green"</formula>
    </cfRule>
    <cfRule type="expression" priority="114" dxfId="4">
      <formula>$P747="amber"</formula>
    </cfRule>
    <cfRule type="expression" priority="115" dxfId="5">
      <formula>$P747="red"</formula>
    </cfRule>
  </conditionalFormatting>
  <conditionalFormatting sqref="C764">
    <cfRule type="expression" priority="116" dxfId="0">
      <formula>C764&gt;0</formula>
    </cfRule>
    <cfRule type="expression" priority="117" dxfId="1">
      <formula>C764&lt;0</formula>
    </cfRule>
  </conditionalFormatting>
  <conditionalFormatting sqref="I764">
    <cfRule type="expression" priority="118" dxfId="0">
      <formula>I764&gt;0</formula>
    </cfRule>
    <cfRule type="expression" priority="119" dxfId="1">
      <formula>I764&lt;0</formula>
    </cfRule>
  </conditionalFormatting>
  <conditionalFormatting sqref="C769">
    <cfRule type="expression" priority="120" dxfId="0">
      <formula>C769&gt;0</formula>
    </cfRule>
    <cfRule type="expression" priority="121" dxfId="1">
      <formula>C769&lt;0</formula>
    </cfRule>
  </conditionalFormatting>
  <conditionalFormatting sqref="I769">
    <cfRule type="expression" priority="122" dxfId="0">
      <formula>I769&gt;0</formula>
    </cfRule>
    <cfRule type="expression" priority="123" dxfId="1">
      <formula>I769&lt;0</formula>
    </cfRule>
  </conditionalFormatting>
  <conditionalFormatting sqref="C799:L805">
    <cfRule type="expression" priority="124" dxfId="2">
      <formula>MOD(ROW(),2)=0</formula>
    </cfRule>
  </conditionalFormatting>
  <conditionalFormatting sqref="L799:L805">
    <cfRule type="expression" priority="125" dxfId="3">
      <formula>$O799="green"</formula>
    </cfRule>
    <cfRule type="expression" priority="126" dxfId="4">
      <formula>$O799="amber"</formula>
    </cfRule>
    <cfRule type="expression" priority="127" dxfId="5">
      <formula>$O799="red"</formula>
    </cfRule>
  </conditionalFormatting>
  <conditionalFormatting sqref="C816:F820">
    <cfRule type="expression" priority="128" dxfId="2">
      <formula>MOD(ROW(),2)=0</formula>
    </cfRule>
  </conditionalFormatting>
  <conditionalFormatting sqref="D816:D820">
    <cfRule type="dataBar" priority="129">
      <dataBar showValue="1">
        <cfvo type="min"/>
        <cfvo type="max"/>
        <color rgb="003C7A6B"/>
      </dataBar>
    </cfRule>
  </conditionalFormatting>
  <conditionalFormatting sqref="E816:E820">
    <cfRule type="dataBar" priority="130">
      <dataBar showValue="1">
        <cfvo type="min"/>
        <cfvo type="max"/>
        <color rgb="002A7B5D"/>
      </dataBar>
    </cfRule>
  </conditionalFormatting>
  <conditionalFormatting sqref="F816:F820">
    <cfRule type="dataBar" priority="131">
      <dataBar showValue="1">
        <cfvo type="min"/>
        <cfvo type="max"/>
        <color rgb="002A7B5D"/>
      </dataBar>
    </cfRule>
  </conditionalFormatting>
  <conditionalFormatting sqref="C850:H850">
    <cfRule type="expression" priority="132" dxfId="2">
      <formula>MOD(ROW(),2)=0</formula>
    </cfRule>
  </conditionalFormatting>
  <conditionalFormatting sqref="H850">
    <cfRule type="expression" priority="133" dxfId="3">
      <formula>$P850="green"</formula>
    </cfRule>
    <cfRule type="expression" priority="134" dxfId="4">
      <formula>$P850="amber"</formula>
    </cfRule>
    <cfRule type="expression" priority="135" dxfId="5">
      <formula>$P850="red"</formula>
    </cfRule>
  </conditionalFormatting>
  <conditionalFormatting sqref="C865">
    <cfRule type="expression" priority="136" dxfId="0">
      <formula>C865&gt;0</formula>
    </cfRule>
    <cfRule type="expression" priority="137" dxfId="1">
      <formula>C865&lt;0</formula>
    </cfRule>
  </conditionalFormatting>
  <conditionalFormatting sqref="I865">
    <cfRule type="expression" priority="138" dxfId="0">
      <formula>I865&gt;0</formula>
    </cfRule>
    <cfRule type="expression" priority="139" dxfId="1">
      <formula>I865&lt;0</formula>
    </cfRule>
  </conditionalFormatting>
  <conditionalFormatting sqref="C870">
    <cfRule type="expression" priority="140" dxfId="0">
      <formula>C870&gt;0</formula>
    </cfRule>
    <cfRule type="expression" priority="141" dxfId="1">
      <formula>C870&lt;0</formula>
    </cfRule>
  </conditionalFormatting>
  <conditionalFormatting sqref="I870">
    <cfRule type="expression" priority="142" dxfId="0">
      <formula>I870&gt;0</formula>
    </cfRule>
    <cfRule type="expression" priority="143" dxfId="1">
      <formula>I870&lt;0</formula>
    </cfRule>
  </conditionalFormatting>
  <conditionalFormatting sqref="C900:L903">
    <cfRule type="expression" priority="144" dxfId="2">
      <formula>MOD(ROW(),2)=0</formula>
    </cfRule>
  </conditionalFormatting>
  <conditionalFormatting sqref="L900:L903">
    <cfRule type="expression" priority="145" dxfId="3">
      <formula>$O900="green"</formula>
    </cfRule>
    <cfRule type="expression" priority="146" dxfId="4">
      <formula>$O900="amber"</formula>
    </cfRule>
    <cfRule type="expression" priority="147" dxfId="5">
      <formula>$O900="red"</formula>
    </cfRule>
  </conditionalFormatting>
  <conditionalFormatting sqref="C914:F917">
    <cfRule type="expression" priority="148" dxfId="2">
      <formula>MOD(ROW(),2)=0</formula>
    </cfRule>
  </conditionalFormatting>
  <conditionalFormatting sqref="D914:D917">
    <cfRule type="dataBar" priority="149">
      <dataBar showValue="1">
        <cfvo type="min"/>
        <cfvo type="max"/>
        <color rgb="003C7A6B"/>
      </dataBar>
    </cfRule>
  </conditionalFormatting>
  <conditionalFormatting sqref="E914:E917">
    <cfRule type="dataBar" priority="150">
      <dataBar showValue="1">
        <cfvo type="min"/>
        <cfvo type="max"/>
        <color rgb="003C7A6B"/>
      </dataBar>
    </cfRule>
  </conditionalFormatting>
  <conditionalFormatting sqref="F914:F917">
    <cfRule type="dataBar" priority="151">
      <dataBar showValue="1">
        <cfvo type="min"/>
        <cfvo type="max"/>
        <color rgb="002A7B5D"/>
      </dataBar>
    </cfRule>
  </conditionalFormatting>
  <conditionalFormatting sqref="C934:L936">
    <cfRule type="expression" priority="152" dxfId="2">
      <formula>MOD(ROW(),2)=0</formula>
    </cfRule>
  </conditionalFormatting>
  <conditionalFormatting sqref="L934:L936">
    <cfRule type="expression" priority="153" dxfId="3">
      <formula>$O934="green"</formula>
    </cfRule>
    <cfRule type="expression" priority="154" dxfId="4">
      <formula>$O934="amber"</formula>
    </cfRule>
    <cfRule type="expression" priority="155" dxfId="5">
      <formula>$O934="red"</formula>
    </cfRule>
  </conditionalFormatting>
  <conditionalFormatting sqref="C954:E958">
    <cfRule type="expression" priority="156" dxfId="2">
      <formula>MOD(ROW(),2)=0</formula>
    </cfRule>
  </conditionalFormatting>
  <conditionalFormatting sqref="D954:D958">
    <cfRule type="dataBar" priority="157">
      <dataBar showValue="1">
        <cfvo type="min"/>
        <cfvo type="max"/>
        <color rgb="002A7B5D"/>
      </dataBar>
    </cfRule>
  </conditionalFormatting>
  <conditionalFormatting sqref="C975:D980">
    <cfRule type="expression" priority="158" dxfId="2">
      <formula>MOD(ROW(),2)=0</formula>
    </cfRule>
  </conditionalFormatting>
  <conditionalFormatting sqref="C990:G993">
    <cfRule type="expression" priority="159" dxfId="2">
      <formula>MOD(ROW(),2)=0</formula>
    </cfRule>
  </conditionalFormatting>
  <conditionalFormatting sqref="E990:E993">
    <cfRule type="dataBar" priority="160">
      <dataBar showValue="1">
        <cfvo type="min"/>
        <cfvo type="max"/>
        <color rgb="003C7A6B"/>
      </dataBar>
    </cfRule>
  </conditionalFormatting>
  <conditionalFormatting sqref="F990:F993">
    <cfRule type="dataBar" priority="161">
      <dataBar showValue="1">
        <cfvo type="min"/>
        <cfvo type="max"/>
        <color rgb="003C7A6B"/>
      </dataBar>
    </cfRule>
  </conditionalFormatting>
  <conditionalFormatting sqref="G990:G993">
    <cfRule type="dataBar" priority="162">
      <dataBar showValue="1">
        <cfvo type="min"/>
        <cfvo type="max"/>
        <color rgb="002A7B5D"/>
      </dataBar>
    </cfRule>
  </conditionalFormatting>
  <conditionalFormatting sqref="C1010:L1013">
    <cfRule type="expression" priority="163" dxfId="2">
      <formula>MOD(ROW(),2)=0</formula>
    </cfRule>
  </conditionalFormatting>
  <conditionalFormatting sqref="L1010:L1013">
    <cfRule type="expression" priority="164" dxfId="3">
      <formula>$O1010="green"</formula>
    </cfRule>
    <cfRule type="expression" priority="165" dxfId="4">
      <formula>$O1010="amber"</formula>
    </cfRule>
    <cfRule type="expression" priority="166" dxfId="5">
      <formula>$O1010="red"</formula>
    </cfRule>
  </conditionalFormatting>
  <conditionalFormatting sqref="C1024:F1027">
    <cfRule type="expression" priority="167" dxfId="2">
      <formula>MOD(ROW(),2)=0</formula>
    </cfRule>
  </conditionalFormatting>
  <conditionalFormatting sqref="E1024:E1027">
    <cfRule type="dataBar" priority="168">
      <dataBar showValue="1">
        <cfvo type="min"/>
        <cfvo type="max"/>
        <color rgb="003C7A6B"/>
      </dataBar>
    </cfRule>
  </conditionalFormatting>
  <conditionalFormatting sqref="C1044:L1047">
    <cfRule type="expression" priority="169" dxfId="2">
      <formula>MOD(ROW(),2)=0</formula>
    </cfRule>
  </conditionalFormatting>
  <conditionalFormatting sqref="L1044:L1047">
    <cfRule type="expression" priority="170" dxfId="3">
      <formula>$O1044="green"</formula>
    </cfRule>
    <cfRule type="expression" priority="171" dxfId="4">
      <formula>$O1044="amber"</formula>
    </cfRule>
    <cfRule type="expression" priority="172" dxfId="5">
      <formula>$O1044="red"</formula>
    </cfRule>
  </conditionalFormatting>
  <conditionalFormatting sqref="C1071:H1071">
    <cfRule type="expression" priority="173" dxfId="2">
      <formula>MOD(ROW(),2)=0</formula>
    </cfRule>
  </conditionalFormatting>
  <conditionalFormatting sqref="H1071">
    <cfRule type="expression" priority="174" dxfId="3">
      <formula>$P1071="green"</formula>
    </cfRule>
    <cfRule type="expression" priority="175" dxfId="4">
      <formula>$P1071="amber"</formula>
    </cfRule>
    <cfRule type="expression" priority="176" dxfId="5">
      <formula>$P1071="red"</formula>
    </cfRule>
  </conditionalFormatting>
  <conditionalFormatting sqref="C1086">
    <cfRule type="expression" priority="177" dxfId="0">
      <formula>C1086&gt;0</formula>
    </cfRule>
    <cfRule type="expression" priority="178" dxfId="1">
      <formula>C1086&lt;0</formula>
    </cfRule>
  </conditionalFormatting>
  <conditionalFormatting sqref="I1086">
    <cfRule type="expression" priority="179" dxfId="0">
      <formula>I1086&gt;0</formula>
    </cfRule>
    <cfRule type="expression" priority="180" dxfId="1">
      <formula>I1086&lt;0</formula>
    </cfRule>
  </conditionalFormatting>
  <conditionalFormatting sqref="C1091">
    <cfRule type="expression" priority="181" dxfId="0">
      <formula>C1091&gt;0</formula>
    </cfRule>
    <cfRule type="expression" priority="182" dxfId="1">
      <formula>C1091&lt;0</formula>
    </cfRule>
  </conditionalFormatting>
  <conditionalFormatting sqref="I1091">
    <cfRule type="expression" priority="183" dxfId="0">
      <formula>I1091&gt;0</formula>
    </cfRule>
    <cfRule type="expression" priority="184" dxfId="1">
      <formula>I1091&lt;0</formula>
    </cfRule>
  </conditionalFormatting>
  <conditionalFormatting sqref="C1121:L1124">
    <cfRule type="expression" priority="185" dxfId="2">
      <formula>MOD(ROW(),2)=0</formula>
    </cfRule>
  </conditionalFormatting>
  <conditionalFormatting sqref="L1121:L1124">
    <cfRule type="expression" priority="186" dxfId="3">
      <formula>$O1121="green"</formula>
    </cfRule>
    <cfRule type="expression" priority="187" dxfId="4">
      <formula>$O1121="amber"</formula>
    </cfRule>
    <cfRule type="expression" priority="188" dxfId="5">
      <formula>$O1121="red"</formula>
    </cfRule>
  </conditionalFormatting>
  <conditionalFormatting sqref="C1135:F1140">
    <cfRule type="expression" priority="189" dxfId="2">
      <formula>MOD(ROW(),2)=0</formula>
    </cfRule>
  </conditionalFormatting>
  <conditionalFormatting sqref="D1135:D1140">
    <cfRule type="dataBar" priority="190">
      <dataBar showValue="1">
        <cfvo type="min"/>
        <cfvo type="max"/>
        <color rgb="003C7A6B"/>
      </dataBar>
    </cfRule>
  </conditionalFormatting>
  <conditionalFormatting sqref="E1135:E1140">
    <cfRule type="dataBar" priority="191">
      <dataBar showValue="1">
        <cfvo type="min"/>
        <cfvo type="max"/>
        <color rgb="003C7A6B"/>
      </dataBar>
    </cfRule>
  </conditionalFormatting>
  <conditionalFormatting sqref="F1135:F1140">
    <cfRule type="dataBar" priority="192">
      <dataBar showValue="1">
        <cfvo type="min"/>
        <cfvo type="max"/>
        <color rgb="002A7B5D"/>
      </dataBar>
    </cfRule>
  </conditionalFormatting>
  <conditionalFormatting sqref="C1157:E1162">
    <cfRule type="expression" priority="193" dxfId="2">
      <formula>MOD(ROW(),2)=0</formula>
    </cfRule>
  </conditionalFormatting>
  <conditionalFormatting sqref="D1157:D1162">
    <cfRule type="dataBar" priority="194">
      <dataBar showValue="1">
        <cfvo type="min"/>
        <cfvo type="max"/>
        <color rgb="003C7A6B"/>
      </dataBar>
    </cfRule>
  </conditionalFormatting>
  <conditionalFormatting sqref="E1157:E1162">
    <cfRule type="dataBar" priority="195">
      <dataBar showValue="1">
        <cfvo type="min"/>
        <cfvo type="max"/>
        <color rgb="002A7B5D"/>
      </dataBar>
    </cfRule>
  </conditionalFormatting>
  <conditionalFormatting sqref="C1186:L1190">
    <cfRule type="expression" priority="196" dxfId="2">
      <formula>MOD(ROW(),2)=0</formula>
    </cfRule>
  </conditionalFormatting>
  <conditionalFormatting sqref="L1186:L1190">
    <cfRule type="expression" priority="197" dxfId="3">
      <formula>$O1186="green"</formula>
    </cfRule>
    <cfRule type="expression" priority="198" dxfId="4">
      <formula>$O1186="amber"</formula>
    </cfRule>
    <cfRule type="expression" priority="199" dxfId="5">
      <formula>$O1186="red"</formula>
    </cfRule>
  </conditionalFormatting>
  <conditionalFormatting sqref="C1201:F1204">
    <cfRule type="expression" priority="200" dxfId="2">
      <formula>MOD(ROW(),2)=0</formula>
    </cfRule>
  </conditionalFormatting>
  <conditionalFormatting sqref="D1201:D1204">
    <cfRule type="dataBar" priority="201">
      <dataBar showValue="1">
        <cfvo type="min"/>
        <cfvo type="max"/>
        <color rgb="003C7A6B"/>
      </dataBar>
    </cfRule>
  </conditionalFormatting>
  <conditionalFormatting sqref="F1201:F1204">
    <cfRule type="dataBar" priority="202">
      <dataBar showValue="1">
        <cfvo type="min"/>
        <cfvo type="max"/>
        <color rgb="002A7B5D"/>
      </dataBar>
    </cfRule>
  </conditionalFormatting>
  <conditionalFormatting sqref="C1221:L1230">
    <cfRule type="expression" priority="203" dxfId="2">
      <formula>MOD(ROW(),2)=0</formula>
    </cfRule>
  </conditionalFormatting>
  <conditionalFormatting sqref="L1221:L1230">
    <cfRule type="expression" priority="204" dxfId="3">
      <formula>$O1221="green"</formula>
    </cfRule>
    <cfRule type="expression" priority="205" dxfId="4">
      <formula>$O1221="amber"</formula>
    </cfRule>
    <cfRule type="expression" priority="206" dxfId="5">
      <formula>$O1221="red"</formula>
    </cfRule>
  </conditionalFormatting>
  <conditionalFormatting sqref="C1254:H1264">
    <cfRule type="expression" priority="207" dxfId="2">
      <formula>MOD(ROW(),2)=0</formula>
    </cfRule>
  </conditionalFormatting>
  <conditionalFormatting sqref="H1254:H1264">
    <cfRule type="expression" priority="208" dxfId="3">
      <formula>$P1254="green"</formula>
    </cfRule>
    <cfRule type="expression" priority="209" dxfId="4">
      <formula>$P1254="amber"</formula>
    </cfRule>
    <cfRule type="expression" priority="210" dxfId="5">
      <formula>$P1254="red"</formula>
    </cfRule>
  </conditionalFormatting>
  <conditionalFormatting sqref="C1279">
    <cfRule type="expression" priority="211" dxfId="0">
      <formula>C1279&gt;0</formula>
    </cfRule>
    <cfRule type="expression" priority="212" dxfId="1">
      <formula>C1279&lt;0</formula>
    </cfRule>
  </conditionalFormatting>
  <conditionalFormatting sqref="I1279">
    <cfRule type="expression" priority="213" dxfId="0">
      <formula>I1279&gt;0</formula>
    </cfRule>
    <cfRule type="expression" priority="214" dxfId="1">
      <formula>I1279&lt;0</formula>
    </cfRule>
  </conditionalFormatting>
  <conditionalFormatting sqref="C1284">
    <cfRule type="expression" priority="215" dxfId="0">
      <formula>C1284&gt;0</formula>
    </cfRule>
    <cfRule type="expression" priority="216" dxfId="1">
      <formula>C1284&lt;0</formula>
    </cfRule>
  </conditionalFormatting>
  <conditionalFormatting sqref="I1284">
    <cfRule type="expression" priority="217" dxfId="0">
      <formula>I1284&gt;0</formula>
    </cfRule>
    <cfRule type="expression" priority="218" dxfId="1">
      <formula>I1284&lt;0</formula>
    </cfRule>
  </conditionalFormatting>
  <conditionalFormatting sqref="C1314:G1317">
    <cfRule type="expression" priority="219" dxfId="2">
      <formula>MOD(ROW(),2)=0</formula>
    </cfRule>
  </conditionalFormatting>
  <conditionalFormatting sqref="C1327:L1330">
    <cfRule type="expression" priority="220" dxfId="2">
      <formula>MOD(ROW(),2)=0</formula>
    </cfRule>
  </conditionalFormatting>
  <conditionalFormatting sqref="L1327:L1330">
    <cfRule type="expression" priority="221" dxfId="3">
      <formula>$O1327="green"</formula>
    </cfRule>
    <cfRule type="expression" priority="222" dxfId="4">
      <formula>$O1327="amber"</formula>
    </cfRule>
    <cfRule type="expression" priority="223" dxfId="5">
      <formula>$O1327="red"</formula>
    </cfRule>
  </conditionalFormatting>
  <conditionalFormatting sqref="C1341:E1344">
    <cfRule type="expression" priority="224" dxfId="2">
      <formula>MOD(ROW(),2)=0</formula>
    </cfRule>
  </conditionalFormatting>
  <conditionalFormatting sqref="D1341:D1344">
    <cfRule type="dataBar" priority="225">
      <dataBar showValue="1">
        <cfvo type="min"/>
        <cfvo type="max"/>
        <color rgb="003C7A6B"/>
      </dataBar>
    </cfRule>
  </conditionalFormatting>
  <conditionalFormatting sqref="E1341:E1344">
    <cfRule type="dataBar" priority="226">
      <dataBar showValue="1">
        <cfvo type="min"/>
        <cfvo type="max"/>
        <color rgb="003C7A6B"/>
      </dataBar>
    </cfRule>
  </conditionalFormatting>
  <conditionalFormatting sqref="C1361:E1364">
    <cfRule type="expression" priority="227" dxfId="2">
      <formula>MOD(ROW(),2)=0</formula>
    </cfRule>
  </conditionalFormatting>
  <conditionalFormatting sqref="D1361:D1364">
    <cfRule type="dataBar" priority="228">
      <dataBar showValue="1">
        <cfvo type="min"/>
        <cfvo type="max"/>
        <color rgb="003C7A6B"/>
      </dataBar>
    </cfRule>
  </conditionalFormatting>
  <conditionalFormatting sqref="E1361:E1364">
    <cfRule type="dataBar" priority="229">
      <dataBar showValue="1">
        <cfvo type="min"/>
        <cfvo type="max"/>
        <color rgb="002A7B5D"/>
      </dataBar>
    </cfRule>
  </conditionalFormatting>
  <conditionalFormatting sqref="C1381:D1386">
    <cfRule type="expression" priority="230" dxfId="2">
      <formula>MOD(ROW(),2)=0</formula>
    </cfRule>
  </conditionalFormatting>
  <conditionalFormatting sqref="D1381:D1386">
    <cfRule type="dataBar" priority="231">
      <dataBar showValue="1">
        <cfvo type="min"/>
        <cfvo type="max"/>
        <color rgb="003C7A6B"/>
      </dataBar>
    </cfRule>
  </conditionalFormatting>
  <conditionalFormatting sqref="C1403:D1406">
    <cfRule type="expression" priority="232" dxfId="2">
      <formula>MOD(ROW(),2)=0</formula>
    </cfRule>
  </conditionalFormatting>
  <conditionalFormatting sqref="D1403:D1406">
    <cfRule type="dataBar" priority="233">
      <dataBar showValue="1">
        <cfvo type="min"/>
        <cfvo type="max"/>
        <color rgb="003C7A6B"/>
      </dataBar>
    </cfRule>
  </conditionalFormatting>
  <conditionalFormatting sqref="C1423:L1424">
    <cfRule type="expression" priority="234" dxfId="2">
      <formula>MOD(ROW(),2)=0</formula>
    </cfRule>
  </conditionalFormatting>
  <conditionalFormatting sqref="L1423:L1424">
    <cfRule type="expression" priority="235" dxfId="3">
      <formula>$O1423="green"</formula>
    </cfRule>
    <cfRule type="expression" priority="236" dxfId="4">
      <formula>$O1423="amber"</formula>
    </cfRule>
    <cfRule type="expression" priority="237" dxfId="5">
      <formula>$O1423="red"</formula>
    </cfRule>
  </conditionalFormatting>
  <conditionalFormatting sqref="C1435:E1437">
    <cfRule type="expression" priority="238" dxfId="2">
      <formula>MOD(ROW(),2)=0</formula>
    </cfRule>
  </conditionalFormatting>
  <conditionalFormatting sqref="E1435:E1437">
    <cfRule type="dataBar" priority="239">
      <dataBar showValue="1">
        <cfvo type="min"/>
        <cfvo type="max"/>
        <color rgb="003C7A6B"/>
      </dataBar>
    </cfRule>
  </conditionalFormatting>
  <conditionalFormatting sqref="C1461:G1463">
    <cfRule type="expression" priority="240" dxfId="2">
      <formula>MOD(ROW(),2)=0</formula>
    </cfRule>
  </conditionalFormatting>
  <conditionalFormatting sqref="C1473:G1474">
    <cfRule type="expression" priority="241" dxfId="2">
      <formula>MOD(ROW(),2)=0</formula>
    </cfRule>
  </conditionalFormatting>
  <conditionalFormatting sqref="C1484:L1496">
    <cfRule type="expression" priority="242" dxfId="2">
      <formula>MOD(ROW(),2)=0</formula>
    </cfRule>
  </conditionalFormatting>
  <conditionalFormatting sqref="L1484:L1496">
    <cfRule type="expression" priority="243" dxfId="3">
      <formula>$O1484="green"</formula>
    </cfRule>
    <cfRule type="expression" priority="244" dxfId="4">
      <formula>$O1484="amber"</formula>
    </cfRule>
    <cfRule type="expression" priority="245" dxfId="5">
      <formula>$O1484="red"</formula>
    </cfRule>
  </conditionalFormatting>
  <conditionalFormatting sqref="C1507:G1509">
    <cfRule type="expression" priority="246" dxfId="2">
      <formula>MOD(ROW(),2)=0</formula>
    </cfRule>
  </conditionalFormatting>
  <conditionalFormatting sqref="E1507:E1509">
    <cfRule type="dataBar" priority="247">
      <dataBar showValue="1">
        <cfvo type="min"/>
        <cfvo type="max"/>
        <color rgb="002A7B5D"/>
      </dataBar>
    </cfRule>
  </conditionalFormatting>
  <conditionalFormatting sqref="F1507:F1509">
    <cfRule type="dataBar" priority="248">
      <dataBar showValue="1">
        <cfvo type="min"/>
        <cfvo type="max"/>
        <color rgb="003C7A6B"/>
      </dataBar>
    </cfRule>
  </conditionalFormatting>
  <conditionalFormatting sqref="C1539:H1540">
    <cfRule type="expression" priority="249" dxfId="2">
      <formula>MOD(ROW(),2)=0</formula>
    </cfRule>
  </conditionalFormatting>
  <conditionalFormatting sqref="H1539:H1540">
    <cfRule type="expression" priority="250" dxfId="3">
      <formula>$P1539="green"</formula>
    </cfRule>
    <cfRule type="expression" priority="251" dxfId="4">
      <formula>$P1539="amber"</formula>
    </cfRule>
    <cfRule type="expression" priority="252" dxfId="5">
      <formula>$P1539="red"</formula>
    </cfRule>
  </conditionalFormatting>
  <conditionalFormatting sqref="C1555">
    <cfRule type="expression" priority="253" dxfId="0">
      <formula>C1555&gt;0</formula>
    </cfRule>
    <cfRule type="expression" priority="254" dxfId="1">
      <formula>C1555&lt;0</formula>
    </cfRule>
  </conditionalFormatting>
  <conditionalFormatting sqref="I1555">
    <cfRule type="expression" priority="255" dxfId="0">
      <formula>I1555&gt;0</formula>
    </cfRule>
    <cfRule type="expression" priority="256" dxfId="1">
      <formula>I1555&lt;0</formula>
    </cfRule>
  </conditionalFormatting>
  <conditionalFormatting sqref="C1560">
    <cfRule type="expression" priority="257" dxfId="0">
      <formula>C1560&gt;0</formula>
    </cfRule>
    <cfRule type="expression" priority="258" dxfId="1">
      <formula>C1560&lt;0</formula>
    </cfRule>
  </conditionalFormatting>
  <conditionalFormatting sqref="I1560">
    <cfRule type="expression" priority="259" dxfId="0">
      <formula>I1560&gt;0</formula>
    </cfRule>
    <cfRule type="expression" priority="260" dxfId="1">
      <formula>I1560&lt;0</formula>
    </cfRule>
  </conditionalFormatting>
  <conditionalFormatting sqref="C1590:G1593">
    <cfRule type="expression" priority="261" dxfId="2">
      <formula>MOD(ROW(),2)=0</formula>
    </cfRule>
  </conditionalFormatting>
  <conditionalFormatting sqref="C1610:F1615">
    <cfRule type="expression" priority="262" dxfId="2">
      <formula>MOD(ROW(),2)=0</formula>
    </cfRule>
  </conditionalFormatting>
  <conditionalFormatting sqref="D1610:D1615">
    <cfRule type="dataBar" priority="263">
      <dataBar showValue="1">
        <cfvo type="min"/>
        <cfvo type="max"/>
        <color rgb="003C7A6B"/>
      </dataBar>
    </cfRule>
  </conditionalFormatting>
  <conditionalFormatting sqref="E1610:E1615">
    <cfRule type="dataBar" priority="264">
      <dataBar showValue="1">
        <cfvo type="min"/>
        <cfvo type="max"/>
        <color rgb="003C7A6B"/>
      </dataBar>
    </cfRule>
  </conditionalFormatting>
  <conditionalFormatting sqref="F1610:F1615">
    <cfRule type="dataBar" priority="265">
      <dataBar showValue="1">
        <cfvo type="min"/>
        <cfvo type="max"/>
        <color rgb="002A7B5D"/>
      </dataBar>
    </cfRule>
  </conditionalFormatting>
  <conditionalFormatting sqref="C1632:F1637">
    <cfRule type="expression" priority="266" dxfId="2">
      <formula>MOD(ROW(),2)=0</formula>
    </cfRule>
  </conditionalFormatting>
  <conditionalFormatting sqref="D1632:D1637">
    <cfRule type="dataBar" priority="267">
      <dataBar showValue="1">
        <cfvo type="min"/>
        <cfvo type="max"/>
        <color rgb="003C7A6B"/>
      </dataBar>
    </cfRule>
  </conditionalFormatting>
  <conditionalFormatting sqref="E1632:E1637">
    <cfRule type="dataBar" priority="268">
      <dataBar showValue="1">
        <cfvo type="min"/>
        <cfvo type="max"/>
        <color rgb="003C7A6B"/>
      </dataBar>
    </cfRule>
  </conditionalFormatting>
  <conditionalFormatting sqref="F1632:F1637">
    <cfRule type="dataBar" priority="269">
      <dataBar showValue="1">
        <cfvo type="min"/>
        <cfvo type="max"/>
        <color rgb="002A7B5D"/>
      </dataBar>
    </cfRule>
  </conditionalFormatting>
  <conditionalFormatting sqref="C1654:F1659">
    <cfRule type="expression" priority="270" dxfId="2">
      <formula>MOD(ROW(),2)=0</formula>
    </cfRule>
  </conditionalFormatting>
  <conditionalFormatting sqref="D1654:D1659">
    <cfRule type="dataBar" priority="271">
      <dataBar showValue="1">
        <cfvo type="min"/>
        <cfvo type="max"/>
        <color rgb="003C7A6B"/>
      </dataBar>
    </cfRule>
  </conditionalFormatting>
  <conditionalFormatting sqref="E1654:E1659">
    <cfRule type="dataBar" priority="272">
      <dataBar showValue="1">
        <cfvo type="min"/>
        <cfvo type="max"/>
        <color rgb="003C7A6B"/>
      </dataBar>
    </cfRule>
  </conditionalFormatting>
  <conditionalFormatting sqref="F1654:F1659">
    <cfRule type="dataBar" priority="273">
      <dataBar showValue="1">
        <cfvo type="min"/>
        <cfvo type="max"/>
        <color rgb="003C7A6B"/>
      </dataBar>
    </cfRule>
  </conditionalFormatting>
  <conditionalFormatting sqref="C1676:F1679">
    <cfRule type="expression" priority="274" dxfId="2">
      <formula>MOD(ROW(),2)=0</formula>
    </cfRule>
  </conditionalFormatting>
  <conditionalFormatting sqref="C1689:F1692">
    <cfRule type="expression" priority="275" dxfId="2">
      <formula>MOD(ROW(),2)=0</formula>
    </cfRule>
  </conditionalFormatting>
  <conditionalFormatting sqref="F1689:F1692">
    <cfRule type="dataBar" priority="276">
      <dataBar showValue="1">
        <cfvo type="min"/>
        <cfvo type="max"/>
        <color rgb="003C7A6B"/>
      </dataBar>
    </cfRule>
  </conditionalFormatting>
  <conditionalFormatting sqref="C1709:L1718">
    <cfRule type="expression" priority="277" dxfId="2">
      <formula>MOD(ROW(),2)=0</formula>
    </cfRule>
  </conditionalFormatting>
  <conditionalFormatting sqref="L1709:L1718">
    <cfRule type="expression" priority="278" dxfId="3">
      <formula>$O1709="green"</formula>
    </cfRule>
    <cfRule type="expression" priority="279" dxfId="4">
      <formula>$O1709="amber"</formula>
    </cfRule>
    <cfRule type="expression" priority="280" dxfId="5">
      <formula>$O1709="red"</formula>
    </cfRule>
  </conditionalFormatting>
  <conditionalFormatting sqref="C1729:F1734">
    <cfRule type="expression" priority="281" dxfId="2">
      <formula>MOD(ROW(),2)=0</formula>
    </cfRule>
  </conditionalFormatting>
  <conditionalFormatting sqref="D1729:D1734">
    <cfRule type="dataBar" priority="282">
      <dataBar showValue="1">
        <cfvo type="min"/>
        <cfvo type="max"/>
        <color rgb="003C7A6B"/>
      </dataBar>
    </cfRule>
  </conditionalFormatting>
  <conditionalFormatting sqref="E1729:E1734">
    <cfRule type="dataBar" priority="283">
      <dataBar showValue="1">
        <cfvo type="min"/>
        <cfvo type="max"/>
        <color rgb="002A7B5D"/>
      </dataBar>
    </cfRule>
  </conditionalFormatting>
  <conditionalFormatting sqref="F1729:F1734">
    <cfRule type="dataBar" priority="284">
      <dataBar showValue="1">
        <cfvo type="min"/>
        <cfvo type="max"/>
        <color rgb="003C7A6B"/>
      </dataBar>
    </cfRule>
  </conditionalFormatting>
  <conditionalFormatting sqref="C1751:G1753">
    <cfRule type="expression" priority="285" dxfId="2">
      <formula>MOD(ROW(),2)=0</formula>
    </cfRule>
  </conditionalFormatting>
  <conditionalFormatting sqref="C1763:G1766">
    <cfRule type="expression" priority="286" dxfId="2">
      <formula>MOD(ROW(),2)=0</formula>
    </cfRule>
  </conditionalFormatting>
  <conditionalFormatting sqref="E1763:E1766">
    <cfRule type="dataBar" priority="287">
      <dataBar showValue="1">
        <cfvo type="min"/>
        <cfvo type="max"/>
        <color rgb="002A7B5D"/>
      </dataBar>
    </cfRule>
  </conditionalFormatting>
  <conditionalFormatting sqref="F1763:F1766">
    <cfRule type="dataBar" priority="288">
      <dataBar showValue="1">
        <cfvo type="min"/>
        <cfvo type="max"/>
        <color rgb="003C7A6B"/>
      </dataBar>
    </cfRule>
  </conditionalFormatting>
  <conditionalFormatting sqref="C1783:L1792">
    <cfRule type="expression" priority="289" dxfId="2">
      <formula>MOD(ROW(),2)=0</formula>
    </cfRule>
  </conditionalFormatting>
  <conditionalFormatting sqref="L1783:L1792">
    <cfRule type="expression" priority="290" dxfId="3">
      <formula>$O1783="green"</formula>
    </cfRule>
    <cfRule type="expression" priority="291" dxfId="4">
      <formula>$O1783="amber"</formula>
    </cfRule>
    <cfRule type="expression" priority="292" dxfId="5">
      <formula>$O1783="red"</formula>
    </cfRule>
  </conditionalFormatting>
  <conditionalFormatting sqref="C1816:H1818">
    <cfRule type="expression" priority="293" dxfId="2">
      <formula>MOD(ROW(),2)=0</formula>
    </cfRule>
  </conditionalFormatting>
  <conditionalFormatting sqref="H1816:H1818">
    <cfRule type="expression" priority="294" dxfId="3">
      <formula>$P1816="green"</formula>
    </cfRule>
    <cfRule type="expression" priority="295" dxfId="4">
      <formula>$P1816="amber"</formula>
    </cfRule>
    <cfRule type="expression" priority="296" dxfId="5">
      <formula>$P1816="red"</formula>
    </cfRule>
  </conditionalFormatting>
  <hyperlinks>
    <hyperlink xmlns:r="http://schemas.openxmlformats.org/officeDocument/2006/relationships" ref="C49" r:id="rId1"/>
    <hyperlink xmlns:r="http://schemas.openxmlformats.org/officeDocument/2006/relationships" ref="C50" r:id="rId2"/>
    <hyperlink xmlns:r="http://schemas.openxmlformats.org/officeDocument/2006/relationships" ref="C51" r:id="rId3"/>
    <hyperlink xmlns:r="http://schemas.openxmlformats.org/officeDocument/2006/relationships" ref="C52" r:id="rId4"/>
    <hyperlink xmlns:r="http://schemas.openxmlformats.org/officeDocument/2006/relationships" ref="C53" r:id="rId5"/>
    <hyperlink xmlns:r="http://schemas.openxmlformats.org/officeDocument/2006/relationships" ref="C54" r:id="rId6"/>
    <hyperlink xmlns:r="http://schemas.openxmlformats.org/officeDocument/2006/relationships" ref="C55" r:id="rId7"/>
    <hyperlink xmlns:r="http://schemas.openxmlformats.org/officeDocument/2006/relationships" ref="C56" r:id="rId8"/>
    <hyperlink xmlns:r="http://schemas.openxmlformats.org/officeDocument/2006/relationships" ref="C57" r:id="rId9"/>
    <hyperlink xmlns:r="http://schemas.openxmlformats.org/officeDocument/2006/relationships" ref="C58" r:id="rId10"/>
    <hyperlink xmlns:r="http://schemas.openxmlformats.org/officeDocument/2006/relationships" ref="O61" r:id="rId11"/>
    <hyperlink xmlns:r="http://schemas.openxmlformats.org/officeDocument/2006/relationships" ref="O80" r:id="rId12"/>
    <hyperlink xmlns:r="http://schemas.openxmlformats.org/officeDocument/2006/relationships" ref="O180" r:id="rId13"/>
    <hyperlink xmlns:r="http://schemas.openxmlformats.org/officeDocument/2006/relationships" ref="O459" r:id="rId14"/>
    <hyperlink xmlns:r="http://schemas.openxmlformats.org/officeDocument/2006/relationships" ref="O758" r:id="rId15"/>
    <hyperlink xmlns:r="http://schemas.openxmlformats.org/officeDocument/2006/relationships" ref="O859" r:id="rId16"/>
    <hyperlink xmlns:r="http://schemas.openxmlformats.org/officeDocument/2006/relationships" ref="O1080" r:id="rId17"/>
    <hyperlink xmlns:r="http://schemas.openxmlformats.org/officeDocument/2006/relationships" ref="O1273" r:id="rId18"/>
    <hyperlink xmlns:r="http://schemas.openxmlformats.org/officeDocument/2006/relationships" ref="O1549" r:id="rId19"/>
  </hyperlinks>
  <pageMargins left="0.35" right="0.35" top="0.45" bottom="0.55" header="0.5" footer="0.5"/>
  <pageSetup orientation="portrait" paperSize="9" fitToHeight="0" fitToWidth="1"/>
  <headerFooter>
    <oddHeader/>
    <oddFooter>&amp;L&amp;"Segoe UI"&amp;8 COSMOS · Emergence Plaza&amp;C&amp;"Segoe UI"&amp;8 Page &amp;P / &amp;N&amp;R&amp;"Segoe UI"&amp;8 Confidentiel</oddFooter>
    <evenHeader/>
    <evenFooter>&amp;L&amp;"Segoe UI"&amp;8 COSMOS · Emergence Plaza&amp;C&amp;"Segoe UI"&amp;8 Page &amp;P / &amp;N&amp;R&amp;"Segoe UI"&amp;8 Confidentiel</evenFooter>
    <firstHeader/>
    <firstFooter/>
  </headerFooter>
  <rowBreaks count="11" manualBreakCount="11">
    <brk id="46" min="0" max="16383" man="1"/>
    <brk id="60" min="0" max="16383" man="1"/>
    <brk id="79" min="0" max="16383" man="1"/>
    <brk id="178" min="0" max="16383" man="1"/>
    <brk id="457" min="0" max="16383" man="1"/>
    <brk id="756" min="0" max="16383" man="1"/>
    <brk id="857" min="0" max="16383" man="1"/>
    <brk id="1078" min="0" max="16383" man="1"/>
    <brk id="1271" min="0" max="16383" man="1"/>
    <brk id="1547" min="0" max="16383" man="1"/>
    <brk id="1825" min="0" max="16383" man="1"/>
  </rowBreaks>
  <drawing xmlns:r="http://schemas.openxmlformats.org/officeDocument/2006/relationships" r:id="rId20"/>
</worksheet>
</file>

<file path=xl/worksheets/sheet2.xml><?xml version="1.0" encoding="utf-8"?>
<worksheet xmlns="http://schemas.openxmlformats.org/spreadsheetml/2006/main">
  <sheetPr>
    <tabColor rgb="00E6A742"/>
    <outlinePr summaryBelow="1" summaryRight="1"/>
    <pageSetUpPr/>
  </sheetPr>
  <dimension ref="A1:M5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6" customWidth="1" min="3" max="3"/>
    <col width="10" customWidth="1" min="4" max="4"/>
    <col width="14" customWidth="1" min="6" max="6"/>
    <col width="22" customWidth="1" min="7" max="7"/>
  </cols>
  <sheetData>
    <row r="1">
      <c r="A1" s="91" t="n"/>
      <c r="B1" s="92" t="inlineStr">
        <is>
          <t>M0 · PUPITRE DE PILOTAGE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</row>
    <row r="2">
      <c r="A2" s="91" t="n"/>
      <c r="B2" s="93" t="inlineStr">
        <is>
          <t>Sélecteurs globaux — pilotent tout le classeur</t>
        </is>
      </c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</row>
    <row r="3">
      <c r="A3" s="91" t="n"/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</row>
    <row r="4">
      <c r="A4" s="91" t="n"/>
      <c r="B4" s="94" t="inlineStr">
        <is>
          <t>🌐 Langue (LANG)</t>
        </is>
      </c>
      <c r="C4" s="91" t="n"/>
      <c r="D4" s="95" t="inlineStr">
        <is>
          <t>FR</t>
        </is>
      </c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</row>
    <row r="5">
      <c r="A5" s="91" t="n"/>
      <c r="B5" s="94" t="inlineStr">
        <is>
          <t>Granularité (GRAIN)</t>
        </is>
      </c>
      <c r="C5" s="91" t="n"/>
      <c r="D5" s="95" t="inlineStr">
        <is>
          <t>M</t>
        </is>
      </c>
      <c r="E5" s="91" t="n"/>
      <c r="F5" s="96" t="inlineStr">
        <is>
          <t>M = Mois · Q = Trimestre · Y = Année</t>
        </is>
      </c>
      <c r="G5" s="91" t="n"/>
      <c r="H5" s="91" t="n"/>
      <c r="I5" s="91" t="n"/>
      <c r="J5" s="91" t="n"/>
      <c r="K5" s="91" t="n"/>
      <c r="L5" s="91" t="n"/>
      <c r="M5" s="91" t="n"/>
    </row>
    <row r="6">
      <c r="A6" s="91" t="n"/>
      <c r="B6" s="94" t="inlineStr">
        <is>
          <t>Année (ANNEE)</t>
        </is>
      </c>
      <c r="C6" s="91" t="n"/>
      <c r="D6" s="95" t="n">
        <v>2026</v>
      </c>
      <c r="E6" s="91" t="n"/>
      <c r="F6" s="91" t="n"/>
      <c r="G6" s="91" t="n"/>
      <c r="H6" s="91" t="n"/>
      <c r="I6" s="91" t="n"/>
      <c r="J6" s="91" t="n"/>
      <c r="K6" s="91" t="n"/>
      <c r="L6" s="91" t="n"/>
      <c r="M6" s="91" t="n"/>
    </row>
    <row r="7">
      <c r="A7" s="91" t="n"/>
      <c r="B7" s="94" t="inlineStr">
        <is>
          <t>Mois (MOIS)</t>
        </is>
      </c>
      <c r="C7" s="91" t="n"/>
      <c r="D7" s="95" t="n">
        <v>6</v>
      </c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</row>
    <row r="8">
      <c r="A8" s="91" t="n"/>
      <c r="B8" s="94" t="inlineStr">
        <is>
          <t>Période (PERIODE)</t>
        </is>
      </c>
      <c r="C8" s="91" t="n"/>
      <c r="D8" s="97">
        <f>DATE(ANNEE,MOIS,1)</f>
        <v/>
      </c>
      <c r="E8" s="91" t="n"/>
      <c r="F8" s="98" t="inlineStr">
        <is>
          <t>Libellé :</t>
        </is>
      </c>
      <c r="G8" s="99">
        <f>IF(LANG="EN",INDEX(MOIS_EN,MONTH(PERIODE)),INDEX(MOIS_FR,MONTH(PERIODE)))&amp;" "&amp;YEAR(PERIODE)</f>
        <v/>
      </c>
      <c r="H8" s="91" t="n"/>
      <c r="I8" s="91" t="n"/>
      <c r="J8" s="91" t="n"/>
      <c r="K8" s="91" t="n"/>
      <c r="L8" s="91" t="n"/>
      <c r="M8" s="91" t="n"/>
    </row>
    <row r="9">
      <c r="A9" s="91" t="n"/>
      <c r="B9" s="91" t="n"/>
      <c r="C9" s="91" t="n"/>
      <c r="D9" s="91" t="n"/>
      <c r="E9" s="91" t="n"/>
      <c r="F9" s="91" t="n"/>
      <c r="G9" s="91" t="n"/>
      <c r="H9" s="91" t="n"/>
      <c r="I9" s="91" t="n"/>
      <c r="J9" s="91" t="n"/>
      <c r="K9" s="91" t="n"/>
      <c r="L9" s="91" t="n"/>
      <c r="M9" s="91" t="n"/>
    </row>
    <row r="10">
      <c r="A10" s="91" t="n"/>
      <c r="B10" s="91" t="n"/>
      <c r="C10" s="91" t="n"/>
      <c r="D10" s="91" t="n"/>
      <c r="E10" s="91" t="n"/>
      <c r="F10" s="91" t="n"/>
      <c r="G10" s="91" t="n"/>
      <c r="H10" s="91" t="n"/>
      <c r="I10" s="91" t="n"/>
      <c r="J10" s="91" t="n"/>
      <c r="K10" s="91" t="n"/>
      <c r="L10" s="91" t="n"/>
      <c r="M10" s="91" t="n"/>
    </row>
    <row r="11">
      <c r="A11" s="91" t="n"/>
      <c r="B11" s="99" t="inlineStr">
        <is>
          <t>MOTEUR TEMPOREL — bornes</t>
        </is>
      </c>
      <c r="C11" s="91" t="n"/>
      <c r="D11" s="91" t="n"/>
      <c r="E11" s="91" t="n"/>
      <c r="F11" s="91" t="n"/>
      <c r="G11" s="91" t="n"/>
      <c r="H11" s="91" t="n"/>
      <c r="I11" s="91" t="n"/>
      <c r="J11" s="91" t="n"/>
      <c r="K11" s="91" t="n"/>
      <c r="L11" s="91" t="n"/>
      <c r="M11" s="91" t="n"/>
    </row>
    <row r="12">
      <c r="A12" s="91" t="n"/>
      <c r="B12" s="100" t="inlineStr">
        <is>
          <t>P_START</t>
        </is>
      </c>
      <c r="C12" s="91" t="n"/>
      <c r="D12" s="101">
        <f>IF(GRAIN="M",PERIODE,IF(GRAIN="Q",DATE(ANNEE,(ROUNDUP(MOIS/3,0)-1)*3+1,1),DATE(ANNEE,1,1)))</f>
        <v/>
      </c>
      <c r="E12" s="91" t="n"/>
      <c r="F12" s="91" t="n"/>
      <c r="G12" s="91" t="n"/>
      <c r="H12" s="91" t="n"/>
      <c r="I12" s="91" t="n"/>
      <c r="J12" s="91" t="n"/>
      <c r="K12" s="91" t="n"/>
      <c r="L12" s="91" t="n"/>
      <c r="M12" s="91" t="n"/>
    </row>
    <row r="13">
      <c r="A13" s="91" t="n"/>
      <c r="B13" s="100" t="inlineStr">
        <is>
          <t>P_END</t>
        </is>
      </c>
      <c r="C13" s="91" t="n"/>
      <c r="D13" s="101">
        <f>IF(GRAIN="M",PERIODE,IF(GRAIN="Q",EDATE(P_START,2),DATE(ANNEE,12,1)))</f>
        <v/>
      </c>
      <c r="E13" s="91" t="n"/>
      <c r="F13" s="91" t="n"/>
      <c r="G13" s="91" t="n"/>
      <c r="H13" s="91" t="n"/>
      <c r="I13" s="91" t="n"/>
      <c r="J13" s="91" t="n"/>
      <c r="K13" s="91" t="n"/>
      <c r="L13" s="91" t="n"/>
      <c r="M13" s="91" t="n"/>
    </row>
    <row r="14">
      <c r="A14" s="91" t="n"/>
      <c r="B14" s="100" t="inlineStr">
        <is>
          <t>PP_START</t>
        </is>
      </c>
      <c r="C14" s="91" t="n"/>
      <c r="D14" s="101">
        <f>IF(GRAIN="M",EDATE(P_START,-1),IF(GRAIN="Q",EDATE(P_START,-3),EDATE(P_START,-12)))</f>
        <v/>
      </c>
      <c r="E14" s="91" t="n"/>
      <c r="F14" s="91" t="n"/>
      <c r="G14" s="91" t="n"/>
      <c r="H14" s="91" t="n"/>
      <c r="I14" s="91" t="n"/>
      <c r="J14" s="91" t="n"/>
      <c r="K14" s="91" t="n"/>
      <c r="L14" s="91" t="n"/>
      <c r="M14" s="91" t="n"/>
    </row>
    <row r="15">
      <c r="A15" s="91" t="n"/>
      <c r="B15" s="100" t="inlineStr">
        <is>
          <t>PP_END</t>
        </is>
      </c>
      <c r="C15" s="91" t="n"/>
      <c r="D15" s="101">
        <f>IF(GRAIN="M",EDATE(P_END,-1),IF(GRAIN="Q",EDATE(P_END,-3),EDATE(P_END,-12)))</f>
        <v/>
      </c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</row>
    <row r="16">
      <c r="A16" s="91" t="n"/>
      <c r="B16" s="100" t="inlineStr">
        <is>
          <t>PY_START</t>
        </is>
      </c>
      <c r="C16" s="91" t="n"/>
      <c r="D16" s="101">
        <f>EDATE(P_START,-12)</f>
        <v/>
      </c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</row>
    <row r="17">
      <c r="A17" s="91" t="n"/>
      <c r="B17" s="100" t="inlineStr">
        <is>
          <t>PY_END</t>
        </is>
      </c>
      <c r="C17" s="91" t="n"/>
      <c r="D17" s="101">
        <f>EDATE(P_END,-12)</f>
        <v/>
      </c>
      <c r="E17" s="91" t="n"/>
      <c r="F17" s="91" t="n"/>
      <c r="G17" s="91" t="n"/>
      <c r="H17" s="91" t="n"/>
      <c r="I17" s="91" t="n"/>
      <c r="J17" s="91" t="n"/>
      <c r="K17" s="91" t="n"/>
      <c r="L17" s="91" t="n"/>
      <c r="M17" s="91" t="n"/>
    </row>
    <row r="18">
      <c r="A18" s="91" t="n"/>
      <c r="B18" s="91" t="n"/>
      <c r="C18" s="91" t="n"/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</row>
    <row r="19">
      <c r="A19" s="91" t="n"/>
      <c r="B19" s="91" t="n"/>
      <c r="C19" s="91" t="n"/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</row>
    <row r="20">
      <c r="A20" s="91" t="n"/>
      <c r="B20" s="99" t="inlineStr">
        <is>
          <t>SUIVI DE SAISIE (mois courant)</t>
        </is>
      </c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</row>
    <row r="21">
      <c r="A21" s="91" t="n"/>
      <c r="B21" s="102" t="inlineStr">
        <is>
          <t>Département</t>
        </is>
      </c>
      <c r="C21" s="102" t="inlineStr">
        <is>
          <t>Complétude %</t>
        </is>
      </c>
      <c r="D21" s="102" t="inlineStr">
        <is>
          <t>État</t>
        </is>
      </c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</row>
    <row r="22">
      <c r="A22" s="91" t="n"/>
      <c r="B22" s="103">
        <f>IFERROR(IF(LANG="EN",INDEX(I18N_EN,MATCH("dept.rh",I18N_KEY,0)),INDEX(I18N_FR,MATCH("dept.rh",I18N_KEY,0))),"dept.rh")</f>
        <v/>
      </c>
      <c r="C22" s="104">
        <f>IFERROR(COUNT(INDEX('C1 · Capital Humain'!$D$8:$AM$17,0,MATCH(PERIODE,'C1 · Capital Humain'!$D$6:$AM$6,0)))/ROWS('C1 · Capital Humain'!$C$8:$C$17),0)</f>
        <v/>
      </c>
      <c r="D22" s="105">
        <f>IF(C22&gt;=1,"✓",IF(C22&gt;0,"⌛","✗"))</f>
        <v/>
      </c>
      <c r="E22" s="91" t="n"/>
      <c r="F22" s="91" t="n"/>
      <c r="G22" s="91" t="n"/>
      <c r="H22" s="91" t="n"/>
      <c r="I22" s="91" t="n"/>
      <c r="J22" s="91" t="n"/>
      <c r="K22" s="91" t="n"/>
      <c r="L22" s="91" t="n"/>
      <c r="M22" s="91" t="n"/>
    </row>
    <row r="23">
      <c r="A23" s="91" t="n"/>
      <c r="B23" s="103">
        <f>IFERROR(IF(LANG="EN",INDEX(I18N_EN,MATCH("dept.lease",I18N_KEY,0)),INDEX(I18N_FR,MATCH("dept.lease",I18N_KEY,0))),"dept.lease")</f>
        <v/>
      </c>
      <c r="C23" s="104">
        <f>IFERROR(COUNT(INDEX('C2 · Lease'!$D$8:$AM$19,0,MATCH(PERIODE,'C2 · Lease'!$D$6:$AM$6,0)))/ROWS('C2 · Lease'!$C$8:$C$19),0)</f>
        <v/>
      </c>
      <c r="D23" s="105">
        <f>IF(C23&gt;=1,"✓",IF(C23&gt;0,"⌛","✗"))</f>
        <v/>
      </c>
      <c r="E23" s="91" t="n"/>
      <c r="F23" s="91" t="n"/>
      <c r="G23" s="91" t="n"/>
      <c r="H23" s="91" t="n"/>
      <c r="I23" s="91" t="n"/>
      <c r="J23" s="91" t="n"/>
      <c r="K23" s="91" t="n"/>
      <c r="L23" s="91" t="n"/>
      <c r="M23" s="91" t="n"/>
    </row>
    <row r="24">
      <c r="A24" s="91" t="n"/>
      <c r="B24" s="103">
        <f>IFERROR(IF(LANG="EN",INDEX(I18N_EN,MATCH("dept.rec",I18N_KEY,0)),INDEX(I18N_FR,MATCH("dept.rec",I18N_KEY,0))),"dept.rec")</f>
        <v/>
      </c>
      <c r="C24" s="104">
        <f>IFERROR(COUNT(INDEX('C3 · Recouvrement'!$D$8:$AM$25,0,MATCH(PERIODE,'C3 · Recouvrement'!$D$6:$AM$6,0)))/ROWS('C3 · Recouvrement'!$C$8:$C$25),0)</f>
        <v/>
      </c>
      <c r="D24" s="105">
        <f>IF(C24&gt;=1,"✓",IF(C24&gt;0,"⌛","✗"))</f>
        <v/>
      </c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</row>
    <row r="25">
      <c r="A25" s="91" t="n"/>
      <c r="B25" s="103">
        <f>IFERROR(IF(LANG="EN",INDEX(I18N_EN,MATCH("dept.foot",I18N_KEY,0)),INDEX(I18N_FR,MATCH("dept.foot",I18N_KEY,0))),"dept.foot")</f>
        <v/>
      </c>
      <c r="C25" s="104">
        <f>IFERROR(COUNT(INDEX('C4 · Footfall'!$D$8:$AM$14,0,MATCH(PERIODE,'C4 · Footfall'!$D$6:$AM$6,0)))/ROWS('C4 · Footfall'!$C$8:$C$14),0)</f>
        <v/>
      </c>
      <c r="D25" s="105">
        <f>IF(C25&gt;=1,"✓",IF(C25&gt;0,"⌛","✗"))</f>
        <v/>
      </c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</row>
    <row r="26">
      <c r="A26" s="91" t="n"/>
      <c r="B26" s="103">
        <f>IFERROR(IF(LANG="EN",INDEX(I18N_EN,MATCH("dept.mkt",I18N_KEY,0)),INDEX(I18N_FR,MATCH("dept.mkt",I18N_KEY,0))),"dept.mkt")</f>
        <v/>
      </c>
      <c r="C26" s="104">
        <f>IFERROR(COUNT(INDEX('C5 · Marketing'!$D$8:$AM$24,0,MATCH(PERIODE,'C5 · Marketing'!$D$6:$AM$6,0)))/ROWS('C5 · Marketing'!$C$8:$C$24),0)</f>
        <v/>
      </c>
      <c r="D26" s="105">
        <f>IF(C26&gt;=1,"✓",IF(C26&gt;0,"⌛","✗"))</f>
        <v/>
      </c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</row>
    <row r="27">
      <c r="A27" s="91" t="n"/>
      <c r="B27" s="103">
        <f>IFERROR(IF(LANG="EN",INDEX(I18N_EN,MATCH("dept.com",I18N_KEY,0)),INDEX(I18N_FR,MATCH("dept.com",I18N_KEY,0))),"dept.com")</f>
        <v/>
      </c>
      <c r="C27" s="104">
        <f>IFERROR(COUNT(INDEX('C6 · Commercial'!$D$8:$AM$26,0,MATCH(PERIODE,'C6 · Commercial'!$D$6:$AM$6,0)))/ROWS('C6 · Commercial'!$C$8:$C$26),0)</f>
        <v/>
      </c>
      <c r="D27" s="105">
        <f>IF(C27&gt;=1,"✓",IF(C27&gt;0,"⌛","✗"))</f>
        <v/>
      </c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</row>
    <row r="28">
      <c r="A28" s="91" t="n"/>
      <c r="B28" s="103">
        <f>IFERROR(IF(LANG="EN",INDEX(I18N_EN,MATCH("dept.hsse",I18N_KEY,0)),INDEX(I18N_FR,MATCH("dept.hsse",I18N_KEY,0))),"dept.hsse")</f>
        <v/>
      </c>
      <c r="C28" s="104">
        <f>IFERROR(COUNT(INDEX('C7 · HSSE'!$D$8:$AM$26,0,MATCH(PERIODE,'C7 · HSSE'!$D$6:$AM$6,0)))/ROWS('C7 · HSSE'!$C$8:$C$26),0)</f>
        <v/>
      </c>
      <c r="D28" s="105">
        <f>IF(C28&gt;=1,"✓",IF(C28&gt;0,"⌛","✗"))</f>
        <v/>
      </c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</row>
    <row r="29">
      <c r="A29" s="91" t="n"/>
      <c r="B29" s="103">
        <f>IFERROR(IF(LANG="EN",INDEX(I18N_EN,MATCH("dept.fac",I18N_KEY,0)),INDEX(I18N_FR,MATCH("dept.fac",I18N_KEY,0))),"dept.fac")</f>
        <v/>
      </c>
      <c r="C29" s="104">
        <f>IFERROR(COUNT(INDEX('C8 · Facility'!$D$8:$AM$27,0,MATCH(PERIODE,'C8 · Facility'!$D$6:$AM$6,0)))/ROWS('C8 · Facility'!$C$8:$C$27),0)</f>
        <v/>
      </c>
      <c r="D29" s="105">
        <f>IF(C29&gt;=1,"✓",IF(C29&gt;0,"⌛","✗"))</f>
        <v/>
      </c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</row>
    <row r="30">
      <c r="A30" s="91" t="n"/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</row>
    <row r="31">
      <c r="A31" s="91" t="n"/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</row>
    <row r="32">
      <c r="A32" s="91" t="n"/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</row>
    <row r="33">
      <c r="A33" s="91" t="n"/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</row>
    <row r="34">
      <c r="A34" s="91" t="n"/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</row>
    <row r="35">
      <c r="A35" s="91" t="n"/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</row>
    <row r="36">
      <c r="A36" s="91" t="n"/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</row>
    <row r="37">
      <c r="A37" s="91" t="n"/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</row>
    <row r="38">
      <c r="A38" s="91" t="n"/>
      <c r="B38" s="91" t="n"/>
      <c r="C38" s="91" t="n"/>
      <c r="D38" s="91" t="n"/>
      <c r="E38" s="91" t="n"/>
      <c r="F38" s="91" t="n"/>
      <c r="G38" s="91" t="n"/>
      <c r="H38" s="91" t="n"/>
      <c r="I38" s="91" t="n"/>
      <c r="J38" s="91" t="n"/>
      <c r="K38" s="91" t="n"/>
      <c r="L38" s="91" t="n"/>
      <c r="M38" s="91" t="n"/>
    </row>
    <row r="39">
      <c r="A39" s="91" t="n"/>
      <c r="B39" s="91" t="n"/>
      <c r="C39" s="91" t="n"/>
      <c r="D39" s="91" t="n"/>
      <c r="E39" s="91" t="n"/>
      <c r="F39" s="91" t="n"/>
      <c r="G39" s="91" t="n"/>
      <c r="H39" s="91" t="n"/>
      <c r="I39" s="91" t="n"/>
      <c r="J39" s="91" t="n"/>
      <c r="K39" s="91" t="n"/>
      <c r="L39" s="91" t="n"/>
      <c r="M39" s="91" t="n"/>
    </row>
    <row r="40">
      <c r="A40" s="91" t="n"/>
      <c r="B40" s="91" t="n"/>
      <c r="C40" s="91" t="n"/>
      <c r="D40" s="91" t="n"/>
      <c r="E40" s="91" t="n"/>
      <c r="F40" s="91" t="n"/>
      <c r="G40" s="91" t="n"/>
      <c r="H40" s="91" t="n"/>
      <c r="I40" s="91" t="n"/>
      <c r="J40" s="91" t="n"/>
      <c r="K40" s="91" t="n"/>
      <c r="L40" s="91" t="n"/>
      <c r="M40" s="91" t="n"/>
    </row>
    <row r="41">
      <c r="A41" s="91" t="n"/>
      <c r="B41" s="91" t="n"/>
      <c r="C41" s="91" t="n"/>
      <c r="D41" s="91" t="n"/>
      <c r="E41" s="91" t="n"/>
      <c r="F41" s="91" t="n"/>
      <c r="G41" s="91" t="n"/>
      <c r="H41" s="91" t="n"/>
      <c r="I41" s="91" t="n"/>
      <c r="J41" s="91" t="n"/>
      <c r="K41" s="91" t="n"/>
      <c r="L41" s="91" t="n"/>
      <c r="M41" s="91" t="n"/>
    </row>
    <row r="42">
      <c r="A42" s="91" t="n"/>
      <c r="B42" s="91" t="n"/>
      <c r="C42" s="91" t="n"/>
      <c r="D42" s="91" t="n"/>
      <c r="E42" s="91" t="n"/>
      <c r="F42" s="91" t="n"/>
      <c r="G42" s="91" t="n"/>
      <c r="H42" s="91" t="n"/>
      <c r="I42" s="91" t="n"/>
      <c r="J42" s="91" t="n"/>
      <c r="K42" s="91" t="n"/>
      <c r="L42" s="91" t="n"/>
      <c r="M42" s="91" t="n"/>
    </row>
    <row r="43">
      <c r="A43" s="91" t="n"/>
      <c r="B43" s="91" t="n"/>
      <c r="C43" s="91" t="n"/>
      <c r="D43" s="91" t="n"/>
      <c r="E43" s="91" t="n"/>
      <c r="F43" s="91" t="n"/>
      <c r="G43" s="91" t="n"/>
      <c r="H43" s="91" t="n"/>
      <c r="I43" s="91" t="n"/>
      <c r="J43" s="91" t="n"/>
      <c r="K43" s="91" t="n"/>
      <c r="L43" s="91" t="n"/>
      <c r="M43" s="91" t="n"/>
    </row>
    <row r="44">
      <c r="A44" s="91" t="n"/>
      <c r="B44" s="91" t="n"/>
      <c r="C44" s="91" t="n"/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</row>
    <row r="45">
      <c r="A45" s="91" t="n"/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</row>
    <row r="46">
      <c r="A46" s="91" t="n"/>
      <c r="B46" s="91" t="n"/>
      <c r="C46" s="91" t="n"/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</row>
    <row r="47">
      <c r="A47" s="91" t="n"/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</row>
    <row r="48">
      <c r="A48" s="91" t="n"/>
      <c r="B48" s="91" t="n"/>
      <c r="C48" s="91" t="n"/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</row>
    <row r="49">
      <c r="A49" s="91" t="n"/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</row>
    <row r="50">
      <c r="A50" s="91" t="n"/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</row>
    <row r="51">
      <c r="A51" s="91" t="n"/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</row>
    <row r="52">
      <c r="A52" s="91" t="n"/>
      <c r="B52" s="91" t="n"/>
      <c r="C52" s="91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</row>
    <row r="53">
      <c r="A53" s="91" t="n"/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</row>
    <row r="54">
      <c r="A54" s="91" t="n"/>
      <c r="B54" s="91" t="n"/>
      <c r="C54" s="91" t="n"/>
      <c r="D54" s="91" t="n"/>
      <c r="E54" s="91" t="n"/>
      <c r="F54" s="91" t="n"/>
      <c r="G54" s="91" t="n"/>
      <c r="H54" s="91" t="n"/>
      <c r="I54" s="91" t="n"/>
      <c r="J54" s="91" t="n"/>
      <c r="K54" s="91" t="n"/>
      <c r="L54" s="91" t="n"/>
      <c r="M54" s="91" t="n"/>
    </row>
    <row r="55">
      <c r="A55" s="91" t="n"/>
      <c r="B55" s="91" t="n"/>
      <c r="C55" s="91" t="n"/>
      <c r="D55" s="91" t="n"/>
      <c r="E55" s="91" t="n"/>
      <c r="F55" s="91" t="n"/>
      <c r="G55" s="91" t="n"/>
      <c r="H55" s="91" t="n"/>
      <c r="I55" s="91" t="n"/>
      <c r="J55" s="91" t="n"/>
      <c r="K55" s="91" t="n"/>
      <c r="L55" s="91" t="n"/>
      <c r="M55" s="91" t="n"/>
    </row>
    <row r="56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  <c r="L56" s="91" t="n"/>
      <c r="M56" s="91" t="n"/>
    </row>
    <row r="57">
      <c r="A57" s="91" t="n"/>
      <c r="B57" s="91" t="n"/>
      <c r="C57" s="91" t="n"/>
      <c r="D57" s="91" t="n"/>
      <c r="E57" s="91" t="n"/>
      <c r="F57" s="91" t="n"/>
      <c r="G57" s="91" t="n"/>
      <c r="H57" s="91" t="n"/>
      <c r="I57" s="91" t="n"/>
      <c r="J57" s="91" t="n"/>
      <c r="K57" s="91" t="n"/>
      <c r="L57" s="91" t="n"/>
      <c r="M57" s="91" t="n"/>
    </row>
    <row r="58">
      <c r="A58" s="91" t="n"/>
      <c r="B58" s="91" t="n"/>
      <c r="C58" s="91" t="n"/>
      <c r="D58" s="91" t="n"/>
      <c r="E58" s="91" t="n"/>
      <c r="F58" s="91" t="n"/>
      <c r="G58" s="91" t="n"/>
      <c r="H58" s="91" t="n"/>
      <c r="I58" s="91" t="n"/>
      <c r="J58" s="91" t="n"/>
      <c r="K58" s="91" t="n"/>
      <c r="L58" s="91" t="n"/>
      <c r="M58" s="91" t="n"/>
    </row>
    <row r="59">
      <c r="A59" s="91" t="n"/>
      <c r="B59" s="91" t="n"/>
      <c r="C59" s="91" t="n"/>
      <c r="D59" s="91" t="n"/>
      <c r="E59" s="91" t="n"/>
      <c r="F59" s="91" t="n"/>
      <c r="G59" s="91" t="n"/>
      <c r="H59" s="91" t="n"/>
      <c r="I59" s="91" t="n"/>
      <c r="J59" s="91" t="n"/>
      <c r="K59" s="91" t="n"/>
      <c r="L59" s="91" t="n"/>
      <c r="M59" s="91" t="n"/>
    </row>
  </sheetData>
  <dataValidations count="4">
    <dataValidation sqref="D4" showDropDown="0" showInputMessage="0" showErrorMessage="0" allowBlank="0" type="list">
      <formula1>"FR,EN"</formula1>
    </dataValidation>
    <dataValidation sqref="D5" showDropDown="0" showInputMessage="0" showErrorMessage="0" allowBlank="0" type="list">
      <formula1>"M,Q,Y"</formula1>
    </dataValidation>
    <dataValidation sqref="D6" showDropDown="0" showInputMessage="0" showErrorMessage="0" allowBlank="0" type="whole" operator="between">
      <formula1>2024</formula1>
      <formula2>2026</formula2>
    </dataValidation>
    <dataValidation sqref="D7" showDropDown="0" showInputMessage="0" showErrorMessage="0" allowBlank="0" type="whole" operator="between">
      <formula1>1</formula1>
      <formula2>12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34155"/>
    <outlinePr summaryBelow="1" summaryRight="1"/>
    <pageSetUpPr/>
  </sheetPr>
  <dimension ref="B1:AN3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"&amp;IFERROR(IF(LANG="EN",INDEX(I18N_EN,MATCH("dept.rh",I18N_KEY,0)),INDEX(I18N_FR,MATCH("dept.rh",I18N_KEY,0))),"dept.rh")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IFERROR(IF(LANG="EN",INDEX(I18N_EN,MATCH("kpi.rh.headcount",I18N_KEY,0)),INDEX(I18N_FR,MATCH("kpi.rh.headcount",I18N_KEY,0))),"kpi.rh.headcount")</f>
        <v/>
      </c>
      <c r="D8" s="109" t="n">
        <v>118</v>
      </c>
      <c r="E8" s="109" t="n">
        <v>119</v>
      </c>
      <c r="F8" s="109" t="n">
        <v>122</v>
      </c>
      <c r="G8" s="109" t="n">
        <v>119</v>
      </c>
      <c r="H8" s="109" t="n">
        <v>118</v>
      </c>
      <c r="I8" s="109" t="n">
        <v>120</v>
      </c>
      <c r="J8" s="109" t="n">
        <v>118</v>
      </c>
      <c r="K8" s="109" t="n">
        <v>122</v>
      </c>
      <c r="L8" s="109" t="n">
        <v>120</v>
      </c>
      <c r="M8" s="109" t="n">
        <v>121</v>
      </c>
      <c r="N8" s="109" t="n">
        <v>125</v>
      </c>
      <c r="O8" s="109" t="n">
        <v>119</v>
      </c>
      <c r="P8" s="109" t="n">
        <v>125</v>
      </c>
      <c r="Q8" s="109" t="n">
        <v>117</v>
      </c>
      <c r="R8" s="109" t="n">
        <v>126</v>
      </c>
      <c r="S8" s="109" t="n">
        <v>127</v>
      </c>
      <c r="T8" s="109" t="n">
        <v>125</v>
      </c>
      <c r="U8" s="109" t="n">
        <v>122</v>
      </c>
      <c r="V8" s="109" t="n">
        <v>128</v>
      </c>
      <c r="W8" s="109" t="n">
        <v>128</v>
      </c>
      <c r="X8" s="109" t="n">
        <v>124</v>
      </c>
      <c r="Y8" s="109" t="n">
        <v>119</v>
      </c>
      <c r="Z8" s="109" t="n">
        <v>116</v>
      </c>
      <c r="AA8" s="109" t="n">
        <v>117</v>
      </c>
      <c r="AB8" s="109" t="n">
        <v>126</v>
      </c>
      <c r="AC8" s="109" t="n">
        <v>121</v>
      </c>
      <c r="AD8" s="109" t="n">
        <v>122</v>
      </c>
      <c r="AE8" s="109" t="n">
        <v>128</v>
      </c>
      <c r="AF8" s="109" t="n">
        <v>120</v>
      </c>
      <c r="AG8" s="109" t="n">
        <v>118</v>
      </c>
      <c r="AH8" s="109" t="n">
        <v>136</v>
      </c>
      <c r="AI8" s="109" t="n">
        <v>127</v>
      </c>
      <c r="AJ8" s="109" t="n">
        <v>134</v>
      </c>
      <c r="AK8" s="109" t="n">
        <v>117</v>
      </c>
      <c r="AL8" s="109" t="n">
        <v>120</v>
      </c>
      <c r="AM8" s="109" t="n">
        <v>121</v>
      </c>
      <c r="AN8" s="91" t="n"/>
    </row>
    <row r="9">
      <c r="B9" s="91" t="n"/>
      <c r="C9" s="108">
        <f>IFERROR(IF(LANG="EN",INDEX(I18N_EN,MATCH("kpi.rh.fte_gap",I18N_KEY,0)),INDEX(I18N_FR,MATCH("kpi.rh.fte_gap",I18N_KEY,0))),"kpi.rh.fte_gap")</f>
        <v/>
      </c>
      <c r="D9" s="109" t="n">
        <v>5</v>
      </c>
      <c r="E9" s="109" t="n">
        <v>5</v>
      </c>
      <c r="F9" s="109" t="n">
        <v>5</v>
      </c>
      <c r="G9" s="109" t="n">
        <v>5</v>
      </c>
      <c r="H9" s="109" t="n">
        <v>5</v>
      </c>
      <c r="I9" s="109" t="n">
        <v>5</v>
      </c>
      <c r="J9" s="109" t="n">
        <v>5</v>
      </c>
      <c r="K9" s="109" t="n">
        <v>5</v>
      </c>
      <c r="L9" s="109" t="n">
        <v>5</v>
      </c>
      <c r="M9" s="109" t="n">
        <v>5</v>
      </c>
      <c r="N9" s="109" t="n">
        <v>5</v>
      </c>
      <c r="O9" s="109" t="n">
        <v>5</v>
      </c>
      <c r="P9" s="109" t="n">
        <v>5</v>
      </c>
      <c r="Q9" s="109" t="n">
        <v>5</v>
      </c>
      <c r="R9" s="109" t="n">
        <v>5</v>
      </c>
      <c r="S9" s="109" t="n">
        <v>5</v>
      </c>
      <c r="T9" s="109" t="n">
        <v>5</v>
      </c>
      <c r="U9" s="109" t="n">
        <v>5</v>
      </c>
      <c r="V9" s="109" t="n">
        <v>5</v>
      </c>
      <c r="W9" s="109" t="n">
        <v>5</v>
      </c>
      <c r="X9" s="109" t="n">
        <v>5</v>
      </c>
      <c r="Y9" s="109" t="n">
        <v>5</v>
      </c>
      <c r="Z9" s="109" t="n">
        <v>5</v>
      </c>
      <c r="AA9" s="109" t="n">
        <v>5</v>
      </c>
      <c r="AB9" s="109" t="n">
        <v>5</v>
      </c>
      <c r="AC9" s="109" t="n">
        <v>5</v>
      </c>
      <c r="AD9" s="109" t="n">
        <v>5</v>
      </c>
      <c r="AE9" s="109" t="n">
        <v>5</v>
      </c>
      <c r="AF9" s="109" t="n">
        <v>6</v>
      </c>
      <c r="AG9" s="109" t="n">
        <v>5</v>
      </c>
      <c r="AH9" s="109" t="n">
        <v>6</v>
      </c>
      <c r="AI9" s="109" t="n">
        <v>5</v>
      </c>
      <c r="AJ9" s="109" t="n">
        <v>5</v>
      </c>
      <c r="AK9" s="109" t="n">
        <v>5</v>
      </c>
      <c r="AL9" s="109" t="n">
        <v>5</v>
      </c>
      <c r="AM9" s="109" t="n">
        <v>5</v>
      </c>
      <c r="AN9" s="91" t="n"/>
    </row>
    <row r="10">
      <c r="B10" s="91" t="n"/>
      <c r="C10" s="108">
        <f>IFERROR(IF(LANG="EN",INDEX(I18N_EN,MATCH("kpi.rh.open_pos",I18N_KEY,0)),INDEX(I18N_FR,MATCH("kpi.rh.open_pos",I18N_KEY,0))),"kpi.rh.open_pos")</f>
        <v/>
      </c>
      <c r="D10" s="109" t="n">
        <v>6</v>
      </c>
      <c r="E10" s="109" t="n">
        <v>6</v>
      </c>
      <c r="F10" s="109" t="n">
        <v>6</v>
      </c>
      <c r="G10" s="109" t="n">
        <v>6</v>
      </c>
      <c r="H10" s="109" t="n">
        <v>6</v>
      </c>
      <c r="I10" s="109" t="n">
        <v>6</v>
      </c>
      <c r="J10" s="109" t="n">
        <v>6</v>
      </c>
      <c r="K10" s="109" t="n">
        <v>6</v>
      </c>
      <c r="L10" s="109" t="n">
        <v>6</v>
      </c>
      <c r="M10" s="109" t="n">
        <v>6</v>
      </c>
      <c r="N10" s="109" t="n">
        <v>6</v>
      </c>
      <c r="O10" s="109" t="n">
        <v>6</v>
      </c>
      <c r="P10" s="109" t="n">
        <v>6</v>
      </c>
      <c r="Q10" s="109" t="n">
        <v>6</v>
      </c>
      <c r="R10" s="109" t="n">
        <v>6</v>
      </c>
      <c r="S10" s="109" t="n">
        <v>6</v>
      </c>
      <c r="T10" s="109" t="n">
        <v>6</v>
      </c>
      <c r="U10" s="109" t="n">
        <v>6</v>
      </c>
      <c r="V10" s="109" t="n">
        <v>6</v>
      </c>
      <c r="W10" s="109" t="n">
        <v>6</v>
      </c>
      <c r="X10" s="109" t="n">
        <v>6</v>
      </c>
      <c r="Y10" s="109" t="n">
        <v>6</v>
      </c>
      <c r="Z10" s="109" t="n">
        <v>6</v>
      </c>
      <c r="AA10" s="109" t="n">
        <v>6</v>
      </c>
      <c r="AB10" s="109" t="n">
        <v>6</v>
      </c>
      <c r="AC10" s="109" t="n">
        <v>6</v>
      </c>
      <c r="AD10" s="109" t="n">
        <v>6</v>
      </c>
      <c r="AE10" s="109" t="n">
        <v>7</v>
      </c>
      <c r="AF10" s="109" t="n">
        <v>7</v>
      </c>
      <c r="AG10" s="109" t="n">
        <v>7</v>
      </c>
      <c r="AH10" s="109" t="n">
        <v>6</v>
      </c>
      <c r="AI10" s="109" t="n">
        <v>6</v>
      </c>
      <c r="AJ10" s="109" t="n">
        <v>6</v>
      </c>
      <c r="AK10" s="109" t="n">
        <v>6</v>
      </c>
      <c r="AL10" s="109" t="n">
        <v>6</v>
      </c>
      <c r="AM10" s="109" t="n">
        <v>7</v>
      </c>
      <c r="AN10" s="91" t="n"/>
    </row>
    <row r="11">
      <c r="B11" s="91" t="n"/>
      <c r="C11" s="108">
        <f>IFERROR(IF(LANG="EN",INDEX(I18N_EN,MATCH("kpi.rh.ttf",I18N_KEY,0)),INDEX(I18N_FR,MATCH("kpi.rh.ttf",I18N_KEY,0))),"kpi.rh.ttf")</f>
        <v/>
      </c>
      <c r="D11" s="109" t="n">
        <v>38</v>
      </c>
      <c r="E11" s="109" t="n">
        <v>38</v>
      </c>
      <c r="F11" s="109" t="n">
        <v>38</v>
      </c>
      <c r="G11" s="109" t="n">
        <v>39</v>
      </c>
      <c r="H11" s="109" t="n">
        <v>38</v>
      </c>
      <c r="I11" s="109" t="n">
        <v>39</v>
      </c>
      <c r="J11" s="109" t="n">
        <v>39</v>
      </c>
      <c r="K11" s="109" t="n">
        <v>37</v>
      </c>
      <c r="L11" s="109" t="n">
        <v>39</v>
      </c>
      <c r="M11" s="109" t="n">
        <v>37</v>
      </c>
      <c r="N11" s="109" t="n">
        <v>39</v>
      </c>
      <c r="O11" s="109" t="n">
        <v>39</v>
      </c>
      <c r="P11" s="109" t="n">
        <v>39</v>
      </c>
      <c r="Q11" s="109" t="n">
        <v>39</v>
      </c>
      <c r="R11" s="109" t="n">
        <v>38</v>
      </c>
      <c r="S11" s="109" t="n">
        <v>38</v>
      </c>
      <c r="T11" s="109" t="n">
        <v>39</v>
      </c>
      <c r="U11" s="109" t="n">
        <v>39</v>
      </c>
      <c r="V11" s="109" t="n">
        <v>37</v>
      </c>
      <c r="W11" s="109" t="n">
        <v>42</v>
      </c>
      <c r="X11" s="109" t="n">
        <v>37</v>
      </c>
      <c r="Y11" s="109" t="n">
        <v>39</v>
      </c>
      <c r="Z11" s="109" t="n">
        <v>42</v>
      </c>
      <c r="AA11" s="109" t="n">
        <v>38</v>
      </c>
      <c r="AB11" s="109" t="n">
        <v>41</v>
      </c>
      <c r="AC11" s="109" t="n">
        <v>41</v>
      </c>
      <c r="AD11" s="109" t="n">
        <v>40</v>
      </c>
      <c r="AE11" s="109" t="n">
        <v>41</v>
      </c>
      <c r="AF11" s="109" t="n">
        <v>41</v>
      </c>
      <c r="AG11" s="109" t="n">
        <v>37</v>
      </c>
      <c r="AH11" s="109" t="n">
        <v>37</v>
      </c>
      <c r="AI11" s="109" t="n">
        <v>38</v>
      </c>
      <c r="AJ11" s="109" t="n">
        <v>41</v>
      </c>
      <c r="AK11" s="109" t="n">
        <v>40</v>
      </c>
      <c r="AL11" s="109" t="n">
        <v>40</v>
      </c>
      <c r="AM11" s="109" t="n">
        <v>42</v>
      </c>
      <c r="AN11" s="91" t="n"/>
    </row>
    <row r="12">
      <c r="B12" s="91" t="n"/>
      <c r="C12" s="108">
        <f>IFERROR(IF(LANG="EN",INDEX(I18N_EN,MATCH("kpi.rh.payroll",I18N_KEY,0)),INDEX(I18N_FR,MATCH("kpi.rh.payroll",I18N_KEY,0))),"kpi.rh.payroll")</f>
        <v/>
      </c>
      <c r="D12" s="109" t="n">
        <v>84240713</v>
      </c>
      <c r="E12" s="109" t="n">
        <v>85802099</v>
      </c>
      <c r="F12" s="109" t="n">
        <v>84566701</v>
      </c>
      <c r="G12" s="109" t="n">
        <v>85891507</v>
      </c>
      <c r="H12" s="109" t="n">
        <v>83678097</v>
      </c>
      <c r="I12" s="109" t="n">
        <v>85878154</v>
      </c>
      <c r="J12" s="109" t="n">
        <v>87060742</v>
      </c>
      <c r="K12" s="109" t="n">
        <v>87268156</v>
      </c>
      <c r="L12" s="109" t="n">
        <v>83337336</v>
      </c>
      <c r="M12" s="109" t="n">
        <v>86611209</v>
      </c>
      <c r="N12" s="109" t="n">
        <v>88878983</v>
      </c>
      <c r="O12" s="109" t="n">
        <v>87481372</v>
      </c>
      <c r="P12" s="109" t="n">
        <v>83646757</v>
      </c>
      <c r="Q12" s="109" t="n">
        <v>89653363</v>
      </c>
      <c r="R12" s="109" t="n">
        <v>86473615</v>
      </c>
      <c r="S12" s="109" t="n">
        <v>85766198</v>
      </c>
      <c r="T12" s="109" t="n">
        <v>91395465</v>
      </c>
      <c r="U12" s="109" t="n">
        <v>90927187</v>
      </c>
      <c r="V12" s="109" t="n">
        <v>83835309</v>
      </c>
      <c r="W12" s="109" t="n">
        <v>87223228</v>
      </c>
      <c r="X12" s="109" t="n">
        <v>91602388</v>
      </c>
      <c r="Y12" s="109" t="n">
        <v>89926782</v>
      </c>
      <c r="Z12" s="109" t="n">
        <v>89409756</v>
      </c>
      <c r="AA12" s="109" t="n">
        <v>93169709</v>
      </c>
      <c r="AB12" s="109" t="n">
        <v>85755050</v>
      </c>
      <c r="AC12" s="109" t="n">
        <v>86891331</v>
      </c>
      <c r="AD12" s="109" t="n">
        <v>90960759</v>
      </c>
      <c r="AE12" s="109" t="n">
        <v>80988412</v>
      </c>
      <c r="AF12" s="109" t="n">
        <v>87303163</v>
      </c>
      <c r="AG12" s="109" t="n">
        <v>94346920</v>
      </c>
      <c r="AH12" s="109" t="n">
        <v>90363355</v>
      </c>
      <c r="AI12" s="109" t="n">
        <v>96132159</v>
      </c>
      <c r="AJ12" s="109" t="n">
        <v>94404876</v>
      </c>
      <c r="AK12" s="109" t="n">
        <v>95454123</v>
      </c>
      <c r="AL12" s="109" t="n">
        <v>95969581</v>
      </c>
      <c r="AM12" s="109" t="n">
        <v>82370360</v>
      </c>
      <c r="AN12" s="91" t="n"/>
    </row>
    <row r="13">
      <c r="B13" s="91" t="n"/>
      <c r="C13" s="108">
        <f>IFERROR(IF(LANG="EN",INDEX(I18N_EN,MATCH("kpi.rh.payroll_var",I18N_KEY,0)),INDEX(I18N_FR,MATCH("kpi.rh.payroll_var",I18N_KEY,0))),"kpi.rh.payroll_var")</f>
        <v/>
      </c>
      <c r="D13" s="110" t="n">
        <v>1.0124</v>
      </c>
      <c r="E13" s="110" t="n">
        <v>1.0225</v>
      </c>
      <c r="F13" s="110" t="n">
        <v>1.0247</v>
      </c>
      <c r="G13" s="110" t="n">
        <v>1.0286</v>
      </c>
      <c r="H13" s="110" t="n">
        <v>1.0316</v>
      </c>
      <c r="I13" s="110" t="n">
        <v>1.0374</v>
      </c>
      <c r="J13" s="110" t="n">
        <v>1.0442</v>
      </c>
      <c r="K13" s="110" t="n">
        <v>1.0071</v>
      </c>
      <c r="L13" s="110" t="n">
        <v>1.0324</v>
      </c>
      <c r="M13" s="110" t="n">
        <v>1.0376</v>
      </c>
      <c r="N13" s="110" t="n">
        <v>1.0392</v>
      </c>
      <c r="O13" s="110" t="n">
        <v>1.0201</v>
      </c>
      <c r="P13" s="110" t="n">
        <v>1.0223</v>
      </c>
      <c r="Q13" s="110" t="n">
        <v>1.0075</v>
      </c>
      <c r="R13" s="110" t="n">
        <v>1.0836</v>
      </c>
      <c r="S13" s="110" t="n">
        <v>1.0818</v>
      </c>
      <c r="T13" s="110" t="n">
        <v>1.0267</v>
      </c>
      <c r="U13" s="110" t="n">
        <v>0.9866</v>
      </c>
      <c r="V13" s="110" t="n">
        <v>1.0421</v>
      </c>
      <c r="W13" s="110" t="n">
        <v>1.0634</v>
      </c>
      <c r="X13" s="110" t="n">
        <v>1.0307</v>
      </c>
      <c r="Y13" s="110" t="n">
        <v>1.0637</v>
      </c>
      <c r="Z13" s="110" t="n">
        <v>1.0765</v>
      </c>
      <c r="AA13" s="110" t="n">
        <v>0.9985000000000001</v>
      </c>
      <c r="AB13" s="110" t="n">
        <v>1.0668</v>
      </c>
      <c r="AC13" s="110" t="n">
        <v>1.1131</v>
      </c>
      <c r="AD13" s="110" t="n">
        <v>1.0728</v>
      </c>
      <c r="AE13" s="110" t="n">
        <v>0.9926</v>
      </c>
      <c r="AF13" s="110" t="n">
        <v>1.0181</v>
      </c>
      <c r="AG13" s="110" t="n">
        <v>1.1039</v>
      </c>
      <c r="AH13" s="110" t="n">
        <v>1.054</v>
      </c>
      <c r="AI13" s="110" t="n">
        <v>1.018</v>
      </c>
      <c r="AJ13" s="110" t="n">
        <v>1.0551</v>
      </c>
      <c r="AK13" s="110" t="n">
        <v>1.0779</v>
      </c>
      <c r="AL13" s="110" t="n">
        <v>1.1303</v>
      </c>
      <c r="AM13" s="110" t="n">
        <v>0.9877</v>
      </c>
      <c r="AN13" s="91" t="n"/>
    </row>
    <row r="14">
      <c r="B14" s="91" t="n"/>
      <c r="C14" s="108">
        <f>IFERROR(IF(LANG="EN",INDEX(I18N_EN,MATCH("kpi.rh.turnover",I18N_KEY,0)),INDEX(I18N_FR,MATCH("kpi.rh.turnover",I18N_KEY,0))),"kpi.rh.turnover")</f>
        <v/>
      </c>
      <c r="D14" s="110" t="n">
        <v>0.0305</v>
      </c>
      <c r="E14" s="110" t="n">
        <v>0.0295</v>
      </c>
      <c r="F14" s="110" t="n">
        <v>0.0304</v>
      </c>
      <c r="G14" s="110" t="n">
        <v>0.0305</v>
      </c>
      <c r="H14" s="110" t="n">
        <v>0.0309</v>
      </c>
      <c r="I14" s="110" t="n">
        <v>0.0308</v>
      </c>
      <c r="J14" s="110" t="n">
        <v>0.0308</v>
      </c>
      <c r="K14" s="110" t="n">
        <v>0.0306</v>
      </c>
      <c r="L14" s="110" t="n">
        <v>0.0309</v>
      </c>
      <c r="M14" s="110" t="n">
        <v>0.0313</v>
      </c>
      <c r="N14" s="110" t="n">
        <v>0.0301</v>
      </c>
      <c r="O14" s="110" t="n">
        <v>0.0302</v>
      </c>
      <c r="P14" s="110" t="n">
        <v>0.0311</v>
      </c>
      <c r="Q14" s="110" t="n">
        <v>0.0306</v>
      </c>
      <c r="R14" s="110" t="n">
        <v>0.0293</v>
      </c>
      <c r="S14" s="110" t="n">
        <v>0.0298</v>
      </c>
      <c r="T14" s="110" t="n">
        <v>0.0304</v>
      </c>
      <c r="U14" s="110" t="n">
        <v>0.0302</v>
      </c>
      <c r="V14" s="110" t="n">
        <v>0.0309</v>
      </c>
      <c r="W14" s="110" t="n">
        <v>0.0306</v>
      </c>
      <c r="X14" s="110" t="n">
        <v>0.0302</v>
      </c>
      <c r="Y14" s="110" t="n">
        <v>0.0311</v>
      </c>
      <c r="Z14" s="110" t="n">
        <v>0.0315</v>
      </c>
      <c r="AA14" s="110" t="n">
        <v>0.0327</v>
      </c>
      <c r="AB14" s="110" t="n">
        <v>0.0299</v>
      </c>
      <c r="AC14" s="110" t="n">
        <v>0.0307</v>
      </c>
      <c r="AD14" s="110" t="n">
        <v>0.0332</v>
      </c>
      <c r="AE14" s="110" t="n">
        <v>0.0311</v>
      </c>
      <c r="AF14" s="110" t="n">
        <v>0.0315</v>
      </c>
      <c r="AG14" s="110" t="n">
        <v>0.0295</v>
      </c>
      <c r="AH14" s="110" t="n">
        <v>0.0304</v>
      </c>
      <c r="AI14" s="110" t="n">
        <v>0.0307</v>
      </c>
      <c r="AJ14" s="110" t="n">
        <v>0.0304</v>
      </c>
      <c r="AK14" s="110" t="n">
        <v>0.0308</v>
      </c>
      <c r="AL14" s="110" t="n">
        <v>0.0316</v>
      </c>
      <c r="AM14" s="110" t="n">
        <v>0.0309</v>
      </c>
      <c r="AN14" s="91" t="n"/>
    </row>
    <row r="15">
      <c r="B15" s="91" t="n"/>
      <c r="C15" s="108">
        <f>IFERROR(IF(LANG="EN",INDEX(I18N_EN,MATCH("kpi.rh.absence",I18N_KEY,0)),INDEX(I18N_FR,MATCH("kpi.rh.absence",I18N_KEY,0))),"kpi.rh.absence")</f>
        <v/>
      </c>
      <c r="D15" s="110" t="n">
        <v>0.0402</v>
      </c>
      <c r="E15" s="110" t="n">
        <v>0.0399</v>
      </c>
      <c r="F15" s="110" t="n">
        <v>0.0397</v>
      </c>
      <c r="G15" s="110" t="n">
        <v>0.0397</v>
      </c>
      <c r="H15" s="110" t="n">
        <v>0.0403</v>
      </c>
      <c r="I15" s="110" t="n">
        <v>0.0411</v>
      </c>
      <c r="J15" s="110" t="n">
        <v>0.0393</v>
      </c>
      <c r="K15" s="110" t="n">
        <v>0.0397</v>
      </c>
      <c r="L15" s="110" t="n">
        <v>0.0411</v>
      </c>
      <c r="M15" s="110" t="n">
        <v>0.0413</v>
      </c>
      <c r="N15" s="110" t="n">
        <v>0.0413</v>
      </c>
      <c r="O15" s="110" t="n">
        <v>0.0413</v>
      </c>
      <c r="P15" s="110" t="n">
        <v>0.0388</v>
      </c>
      <c r="Q15" s="110" t="n">
        <v>0.0399</v>
      </c>
      <c r="R15" s="110" t="n">
        <v>0.0406</v>
      </c>
      <c r="S15" s="110" t="n">
        <v>0.042</v>
      </c>
      <c r="T15" s="110" t="n">
        <v>0.0399</v>
      </c>
      <c r="U15" s="110" t="n">
        <v>0.0413</v>
      </c>
      <c r="V15" s="110" t="n">
        <v>0.0431</v>
      </c>
      <c r="W15" s="110" t="n">
        <v>0.0386</v>
      </c>
      <c r="X15" s="110" t="n">
        <v>0.0406</v>
      </c>
      <c r="Y15" s="110" t="n">
        <v>0.0432</v>
      </c>
      <c r="Z15" s="110" t="n">
        <v>0.0417</v>
      </c>
      <c r="AA15" s="110" t="n">
        <v>0.0425</v>
      </c>
      <c r="AB15" s="110" t="n">
        <v>0.0396</v>
      </c>
      <c r="AC15" s="110" t="n">
        <v>0.0436</v>
      </c>
      <c r="AD15" s="110" t="n">
        <v>0.04</v>
      </c>
      <c r="AE15" s="110" t="n">
        <v>0.043</v>
      </c>
      <c r="AF15" s="110" t="n">
        <v>0.0409</v>
      </c>
      <c r="AG15" s="110" t="n">
        <v>0.0414</v>
      </c>
      <c r="AH15" s="110" t="n">
        <v>0.0446</v>
      </c>
      <c r="AI15" s="110" t="n">
        <v>0.0397</v>
      </c>
      <c r="AJ15" s="110" t="n">
        <v>0.0433</v>
      </c>
      <c r="AK15" s="110" t="n">
        <v>0.0433</v>
      </c>
      <c r="AL15" s="110" t="n">
        <v>0.0445</v>
      </c>
      <c r="AM15" s="110" t="n">
        <v>0.0407</v>
      </c>
      <c r="AN15" s="91" t="n"/>
    </row>
    <row r="16">
      <c r="B16" s="91" t="n"/>
      <c r="C16" s="108">
        <f>IFERROR(IF(LANG="EN",INDEX(I18N_EN,MATCH("kpi.rh.train_hours",I18N_KEY,0)),INDEX(I18N_FR,MATCH("kpi.rh.train_hours",I18N_KEY,0))),"kpi.rh.train_hours")</f>
        <v/>
      </c>
      <c r="D16" s="109" t="n">
        <v>2.5</v>
      </c>
      <c r="E16" s="109" t="n">
        <v>2.53</v>
      </c>
      <c r="F16" s="109" t="n">
        <v>2.54</v>
      </c>
      <c r="G16" s="109" t="n">
        <v>2.48</v>
      </c>
      <c r="H16" s="109" t="n">
        <v>2.51</v>
      </c>
      <c r="I16" s="109" t="n">
        <v>2.53</v>
      </c>
      <c r="J16" s="109" t="n">
        <v>2.46</v>
      </c>
      <c r="K16" s="109" t="n">
        <v>2.53</v>
      </c>
      <c r="L16" s="109" t="n">
        <v>2.53</v>
      </c>
      <c r="M16" s="109" t="n">
        <v>2.55</v>
      </c>
      <c r="N16" s="109" t="n">
        <v>2.54</v>
      </c>
      <c r="O16" s="109" t="n">
        <v>2.51</v>
      </c>
      <c r="P16" s="109" t="n">
        <v>2.49</v>
      </c>
      <c r="Q16" s="109" t="n">
        <v>2.57</v>
      </c>
      <c r="R16" s="109" t="n">
        <v>2.6</v>
      </c>
      <c r="S16" s="109" t="n">
        <v>2.58</v>
      </c>
      <c r="T16" s="109" t="n">
        <v>2.44</v>
      </c>
      <c r="U16" s="109" t="n">
        <v>2.59</v>
      </c>
      <c r="V16" s="109" t="n">
        <v>2.58</v>
      </c>
      <c r="W16" s="109" t="n">
        <v>2.57</v>
      </c>
      <c r="X16" s="109" t="n">
        <v>2.62</v>
      </c>
      <c r="Y16" s="109" t="n">
        <v>2.61</v>
      </c>
      <c r="Z16" s="109" t="n">
        <v>2.46</v>
      </c>
      <c r="AA16" s="109" t="n">
        <v>2.44</v>
      </c>
      <c r="AB16" s="109" t="n">
        <v>2.62</v>
      </c>
      <c r="AC16" s="109" t="n">
        <v>2.45</v>
      </c>
      <c r="AD16" s="109" t="n">
        <v>2.61</v>
      </c>
      <c r="AE16" s="109" t="n">
        <v>2.78</v>
      </c>
      <c r="AF16" s="109" t="n">
        <v>2.47</v>
      </c>
      <c r="AG16" s="109" t="n">
        <v>2.45</v>
      </c>
      <c r="AH16" s="109" t="n">
        <v>2.42</v>
      </c>
      <c r="AI16" s="109" t="n">
        <v>2.6</v>
      </c>
      <c r="AJ16" s="109" t="n">
        <v>2.84</v>
      </c>
      <c r="AK16" s="109" t="n">
        <v>2.67</v>
      </c>
      <c r="AL16" s="109" t="n">
        <v>2.8</v>
      </c>
      <c r="AM16" s="109" t="n">
        <v>2.82</v>
      </c>
      <c r="AN16" s="91" t="n"/>
    </row>
    <row r="17">
      <c r="B17" s="91" t="n"/>
      <c r="C17" s="108">
        <f>IFERROR(IF(LANG="EN",INDEX(I18N_EN,MATCH("kpi.rh.train_cover",I18N_KEY,0)),INDEX(I18N_FR,MATCH("kpi.rh.train_cover",I18N_KEY,0))),"kpi.rh.train_cover")</f>
        <v/>
      </c>
      <c r="D17" s="110" t="n">
        <v>0.5986</v>
      </c>
      <c r="E17" s="110" t="n">
        <v>0.589</v>
      </c>
      <c r="F17" s="110" t="n">
        <v>0.6042</v>
      </c>
      <c r="G17" s="110" t="n">
        <v>0.6035</v>
      </c>
      <c r="H17" s="110" t="n">
        <v>0.6007</v>
      </c>
      <c r="I17" s="110" t="n">
        <v>0.5881999999999999</v>
      </c>
      <c r="J17" s="110" t="n">
        <v>0.6017</v>
      </c>
      <c r="K17" s="110" t="n">
        <v>0.6087</v>
      </c>
      <c r="L17" s="110" t="n">
        <v>0.6167</v>
      </c>
      <c r="M17" s="110" t="n">
        <v>0.6101</v>
      </c>
      <c r="N17" s="110" t="n">
        <v>0.6082</v>
      </c>
      <c r="O17" s="110" t="n">
        <v>0.6159</v>
      </c>
      <c r="P17" s="110" t="n">
        <v>0.6258</v>
      </c>
      <c r="Q17" s="110" t="n">
        <v>0.6192</v>
      </c>
      <c r="R17" s="110" t="n">
        <v>0.6343</v>
      </c>
      <c r="S17" s="110" t="n">
        <v>0.5909</v>
      </c>
      <c r="T17" s="110" t="n">
        <v>0.6143</v>
      </c>
      <c r="U17" s="110" t="n">
        <v>0.5854</v>
      </c>
      <c r="V17" s="110" t="n">
        <v>0.5835</v>
      </c>
      <c r="W17" s="110" t="n">
        <v>0.6173999999999999</v>
      </c>
      <c r="X17" s="110" t="n">
        <v>0.6037</v>
      </c>
      <c r="Y17" s="110" t="n">
        <v>0.6315</v>
      </c>
      <c r="Z17" s="110" t="n">
        <v>0.6432</v>
      </c>
      <c r="AA17" s="110" t="n">
        <v>0.6454</v>
      </c>
      <c r="AB17" s="110" t="n">
        <v>0.6442</v>
      </c>
      <c r="AC17" s="110" t="n">
        <v>0.6161</v>
      </c>
      <c r="AD17" s="110" t="n">
        <v>0.6452</v>
      </c>
      <c r="AE17" s="110" t="n">
        <v>0.6431</v>
      </c>
      <c r="AF17" s="110" t="n">
        <v>0.5873</v>
      </c>
      <c r="AG17" s="110" t="n">
        <v>0.6513</v>
      </c>
      <c r="AH17" s="110" t="n">
        <v>0.595</v>
      </c>
      <c r="AI17" s="110" t="n">
        <v>0.6514</v>
      </c>
      <c r="AJ17" s="110" t="n">
        <v>0.676</v>
      </c>
      <c r="AK17" s="110" t="n">
        <v>0.6175</v>
      </c>
      <c r="AL17" s="110" t="n">
        <v>0.5739</v>
      </c>
      <c r="AM17" s="110" t="n">
        <v>0.6027</v>
      </c>
      <c r="AN17" s="91" t="n"/>
    </row>
    <row r="18">
      <c r="B18" s="91" t="n"/>
      <c r="C18" s="91" t="n"/>
      <c r="D18" s="91" t="n"/>
      <c r="E18" s="91" t="n"/>
      <c r="F18" s="91" t="n"/>
      <c r="G18" s="91" t="n"/>
      <c r="H18" s="91" t="n"/>
      <c r="I18" s="91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  <c r="Z18" s="91" t="n"/>
      <c r="AA18" s="91" t="n"/>
      <c r="AB18" s="91" t="n"/>
      <c r="AC18" s="91" t="n"/>
      <c r="AD18" s="91" t="n"/>
      <c r="AE18" s="91" t="n"/>
      <c r="AF18" s="91" t="n"/>
      <c r="AG18" s="91" t="n"/>
      <c r="AH18" s="91" t="n"/>
      <c r="AI18" s="91" t="n"/>
      <c r="AJ18" s="91" t="n"/>
      <c r="AK18" s="91" t="n"/>
      <c r="AL18" s="91" t="n"/>
      <c r="AM18" s="91" t="n"/>
      <c r="AN18" s="91" t="n"/>
    </row>
    <row r="19">
      <c r="B19" s="91" t="n"/>
      <c r="C19" s="99" t="inlineStr">
        <is>
          <t>💬 Commentaires (KPI × mois)</t>
        </is>
      </c>
      <c r="D19" s="91" t="n"/>
      <c r="E19" s="91" t="n"/>
      <c r="F19" s="91" t="n"/>
      <c r="G19" s="91" t="n"/>
      <c r="H19" s="91" t="n"/>
      <c r="I19" s="91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  <c r="T19" s="91" t="n"/>
      <c r="U19" s="91" t="n"/>
      <c r="V19" s="91" t="n"/>
      <c r="W19" s="91" t="n"/>
      <c r="X19" s="91" t="n"/>
      <c r="Y19" s="91" t="n"/>
      <c r="Z19" s="91" t="n"/>
      <c r="AA19" s="91" t="n"/>
      <c r="AB19" s="91" t="n"/>
      <c r="AC19" s="91" t="n"/>
      <c r="AD19" s="91" t="n"/>
      <c r="AE19" s="91" t="n"/>
      <c r="AF19" s="91" t="n"/>
      <c r="AG19" s="91" t="n"/>
      <c r="AH19" s="91" t="n"/>
      <c r="AI19" s="91" t="n"/>
      <c r="AJ19" s="91" t="n"/>
      <c r="AK19" s="91" t="n"/>
      <c r="AL19" s="91" t="n"/>
      <c r="AM19" s="91" t="n"/>
      <c r="AN19" s="91" t="n"/>
    </row>
    <row r="20">
      <c r="B20" s="91" t="n"/>
      <c r="C20" s="111">
        <f>IFERROR(IF(LANG="EN",INDEX(I18N_EN,MATCH("kpi.rh.headcount",I18N_KEY,0)),INDEX(I18N_FR,MATCH("kpi.rh.headcount",I18N_KEY,0))),"kpi.rh.headcount")</f>
        <v/>
      </c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91" t="n"/>
    </row>
    <row r="21">
      <c r="B21" s="91" t="n"/>
      <c r="C21" s="111">
        <f>IFERROR(IF(LANG="EN",INDEX(I18N_EN,MATCH("kpi.rh.fte_gap",I18N_KEY,0)),INDEX(I18N_FR,MATCH("kpi.rh.fte_gap",I18N_KEY,0))),"kpi.rh.fte_gap")</f>
        <v/>
      </c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91" t="n"/>
    </row>
    <row r="22">
      <c r="B22" s="91" t="n"/>
      <c r="C22" s="111">
        <f>IFERROR(IF(LANG="EN",INDEX(I18N_EN,MATCH("kpi.rh.open_pos",I18N_KEY,0)),INDEX(I18N_FR,MATCH("kpi.rh.open_pos",I18N_KEY,0))),"kpi.rh.open_pos")</f>
        <v/>
      </c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91" t="n"/>
    </row>
    <row r="23">
      <c r="B23" s="91" t="n"/>
      <c r="C23" s="111">
        <f>IFERROR(IF(LANG="EN",INDEX(I18N_EN,MATCH("kpi.rh.ttf",I18N_KEY,0)),INDEX(I18N_FR,MATCH("kpi.rh.ttf",I18N_KEY,0))),"kpi.rh.ttf")</f>
        <v/>
      </c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91" t="n"/>
    </row>
    <row r="24">
      <c r="B24" s="91" t="n"/>
      <c r="C24" s="111">
        <f>IFERROR(IF(LANG="EN",INDEX(I18N_EN,MATCH("kpi.rh.payroll",I18N_KEY,0)),INDEX(I18N_FR,MATCH("kpi.rh.payroll",I18N_KEY,0))),"kpi.rh.payroll")</f>
        <v/>
      </c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91" t="n"/>
    </row>
    <row r="25">
      <c r="B25" s="91" t="n"/>
      <c r="C25" s="111">
        <f>IFERROR(IF(LANG="EN",INDEX(I18N_EN,MATCH("kpi.rh.payroll_var",I18N_KEY,0)),INDEX(I18N_FR,MATCH("kpi.rh.payroll_var",I18N_KEY,0))),"kpi.rh.payroll_var")</f>
        <v/>
      </c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91" t="n"/>
    </row>
    <row r="26">
      <c r="B26" s="91" t="n"/>
      <c r="C26" s="111">
        <f>IFERROR(IF(LANG="EN",INDEX(I18N_EN,MATCH("kpi.rh.turnover",I18N_KEY,0)),INDEX(I18N_FR,MATCH("kpi.rh.turnover",I18N_KEY,0))),"kpi.rh.turnover")</f>
        <v/>
      </c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91" t="n"/>
    </row>
    <row r="27">
      <c r="B27" s="91" t="n"/>
      <c r="C27" s="111">
        <f>IFERROR(IF(LANG="EN",INDEX(I18N_EN,MATCH("kpi.rh.absence",I18N_KEY,0)),INDEX(I18N_FR,MATCH("kpi.rh.absence",I18N_KEY,0))),"kpi.rh.absence")</f>
        <v/>
      </c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91" t="n"/>
    </row>
    <row r="28">
      <c r="B28" s="91" t="n"/>
      <c r="C28" s="111">
        <f>IFERROR(IF(LANG="EN",INDEX(I18N_EN,MATCH("kpi.rh.train_hours",I18N_KEY,0)),INDEX(I18N_FR,MATCH("kpi.rh.train_hours",I18N_KEY,0))),"kpi.rh.train_hours")</f>
        <v/>
      </c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91" t="n"/>
    </row>
    <row r="29">
      <c r="B29" s="91" t="n"/>
      <c r="C29" s="111">
        <f>IFERROR(IF(LANG="EN",INDEX(I18N_EN,MATCH("kpi.rh.train_cover",I18N_KEY,0)),INDEX(I18N_FR,MATCH("kpi.rh.train_cover",I18N_KEY,0))),"kpi.rh.train_cover")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91" t="n"/>
      <c r="D30" s="91" t="n"/>
      <c r="E30" s="91" t="n"/>
      <c r="F30" s="91" t="n"/>
      <c r="G30" s="91" t="n"/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  <c r="X30" s="91" t="n"/>
      <c r="Y30" s="91" t="n"/>
      <c r="Z30" s="91" t="n"/>
      <c r="AA30" s="91" t="n"/>
      <c r="AB30" s="91" t="n"/>
      <c r="AC30" s="91" t="n"/>
      <c r="AD30" s="91" t="n"/>
      <c r="AE30" s="91" t="n"/>
      <c r="AF30" s="91" t="n"/>
      <c r="AG30" s="91" t="n"/>
      <c r="AH30" s="91" t="n"/>
      <c r="AI30" s="91" t="n"/>
      <c r="AJ30" s="91" t="n"/>
      <c r="AK30" s="91" t="n"/>
      <c r="AL30" s="91" t="n"/>
      <c r="AM30" s="91" t="n"/>
      <c r="AN30" s="91" t="n"/>
    </row>
    <row r="31">
      <c r="B31" s="91" t="n"/>
      <c r="C31" s="91" t="n"/>
      <c r="D31" s="91" t="n"/>
      <c r="E31" s="91" t="n"/>
      <c r="F31" s="91" t="n"/>
      <c r="G31" s="91" t="n"/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  <c r="X31" s="91" t="n"/>
      <c r="Y31" s="91" t="n"/>
      <c r="Z31" s="91" t="n"/>
      <c r="AA31" s="91" t="n"/>
      <c r="AB31" s="91" t="n"/>
      <c r="AC31" s="91" t="n"/>
      <c r="AD31" s="91" t="n"/>
      <c r="AE31" s="91" t="n"/>
      <c r="AF31" s="91" t="n"/>
      <c r="AG31" s="91" t="n"/>
      <c r="AH31" s="91" t="n"/>
      <c r="AI31" s="91" t="n"/>
      <c r="AJ31" s="91" t="n"/>
      <c r="AK31" s="91" t="n"/>
      <c r="AL31" s="91" t="n"/>
      <c r="AM31" s="91" t="n"/>
      <c r="AN31" s="91" t="n"/>
    </row>
    <row r="32">
      <c r="B32" s="91" t="n"/>
      <c r="C32" s="91" t="n"/>
      <c r="D32" s="91" t="n"/>
      <c r="E32" s="91" t="n"/>
      <c r="F32" s="91" t="n"/>
      <c r="G32" s="91" t="n"/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  <c r="Z32" s="91" t="n"/>
      <c r="AA32" s="91" t="n"/>
      <c r="AB32" s="91" t="n"/>
      <c r="AC32" s="91" t="n"/>
      <c r="AD32" s="91" t="n"/>
      <c r="AE32" s="91" t="n"/>
      <c r="AF32" s="91" t="n"/>
      <c r="AG32" s="91" t="n"/>
      <c r="AH32" s="91" t="n"/>
      <c r="AI32" s="91" t="n"/>
      <c r="AJ32" s="91" t="n"/>
      <c r="AK32" s="91" t="n"/>
      <c r="AL32" s="91" t="n"/>
      <c r="AM32" s="91" t="n"/>
      <c r="AN32" s="91" t="n"/>
    </row>
    <row r="33">
      <c r="B33" s="91" t="n"/>
      <c r="C33" s="91" t="n"/>
      <c r="D33" s="91" t="n"/>
      <c r="E33" s="91" t="n"/>
      <c r="F33" s="91" t="n"/>
      <c r="G33" s="91" t="n"/>
      <c r="H33" s="91" t="n"/>
      <c r="I33" s="91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  <c r="Z33" s="91" t="n"/>
      <c r="AA33" s="91" t="n"/>
      <c r="AB33" s="91" t="n"/>
      <c r="AC33" s="91" t="n"/>
      <c r="AD33" s="91" t="n"/>
      <c r="AE33" s="91" t="n"/>
      <c r="AF33" s="91" t="n"/>
      <c r="AG33" s="91" t="n"/>
      <c r="AH33" s="91" t="n"/>
      <c r="AI33" s="91" t="n"/>
      <c r="AJ33" s="91" t="n"/>
      <c r="AK33" s="91" t="n"/>
      <c r="AL33" s="91" t="n"/>
      <c r="AM33" s="91" t="n"/>
      <c r="AN33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17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34155"/>
    <outlinePr summaryBelow="1" summaryRight="1"/>
    <pageSetUpPr/>
  </sheetPr>
  <dimension ref="B1:AN3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"&amp;IFERROR(IF(LANG="EN",INDEX(I18N_EN,MATCH("dept.lease",I18N_KEY,0)),INDEX(I18N_FR,MATCH("dept.lease",I18N_KEY,0))),"dept.lease")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IFERROR(IF(LANG="EN",INDEX(I18N_EN,MATCH("kpi.lease.occ_gla",I18N_KEY,0)),INDEX(I18N_FR,MATCH("kpi.lease.occ_gla",I18N_KEY,0))),"kpi.lease.occ_gla")</f>
        <v/>
      </c>
      <c r="D8" s="110" t="n">
        <v>0.9166</v>
      </c>
      <c r="E8" s="110" t="n">
        <v>0.9056999999999999</v>
      </c>
      <c r="F8" s="110" t="n">
        <v>0.9252</v>
      </c>
      <c r="G8" s="110" t="n">
        <v>0.8982</v>
      </c>
      <c r="H8" s="110" t="n">
        <v>0.9049</v>
      </c>
      <c r="I8" s="110" t="n">
        <v>0.9111</v>
      </c>
      <c r="J8" s="110" t="n">
        <v>0.9091</v>
      </c>
      <c r="K8" s="110" t="n">
        <v>0.9169</v>
      </c>
      <c r="L8" s="110" t="n">
        <v>0.8952</v>
      </c>
      <c r="M8" s="110" t="n">
        <v>0.8985</v>
      </c>
      <c r="N8" s="110" t="n">
        <v>0.9345</v>
      </c>
      <c r="O8" s="110" t="n">
        <v>0.9115</v>
      </c>
      <c r="P8" s="110" t="n">
        <v>0.9184</v>
      </c>
      <c r="Q8" s="110" t="n">
        <v>0.9395</v>
      </c>
      <c r="R8" s="110" t="n">
        <v>0.9081</v>
      </c>
      <c r="S8" s="110" t="n">
        <v>0.9226</v>
      </c>
      <c r="T8" s="110" t="n">
        <v>0.9132</v>
      </c>
      <c r="U8" s="110" t="n">
        <v>0.9702</v>
      </c>
      <c r="V8" s="110" t="n">
        <v>0.924</v>
      </c>
      <c r="W8" s="110" t="n">
        <v>0.8889</v>
      </c>
      <c r="X8" s="110" t="n">
        <v>0.9566</v>
      </c>
      <c r="Y8" s="110" t="n">
        <v>0.9444</v>
      </c>
      <c r="Z8" s="110" t="n">
        <v>0.9493</v>
      </c>
      <c r="AA8" s="110" t="n">
        <v>0.9294</v>
      </c>
      <c r="AB8" s="110" t="n">
        <v>0.9012</v>
      </c>
      <c r="AC8" s="110" t="n">
        <v>0.9368</v>
      </c>
      <c r="AD8" s="110" t="n">
        <v>0.8895999999999999</v>
      </c>
      <c r="AE8" s="110" t="n">
        <v>0.9273</v>
      </c>
      <c r="AF8" s="110" t="n">
        <v>1.0218</v>
      </c>
      <c r="AG8" s="110" t="n">
        <v>0.9177999999999999</v>
      </c>
      <c r="AH8" s="110" t="n">
        <v>0.9898</v>
      </c>
      <c r="AI8" s="110" t="n">
        <v>0.9747</v>
      </c>
      <c r="AJ8" s="110" t="n">
        <v>0.9159</v>
      </c>
      <c r="AK8" s="110" t="n">
        <v>1.0147</v>
      </c>
      <c r="AL8" s="110" t="n">
        <v>0.9485</v>
      </c>
      <c r="AM8" s="110" t="n">
        <v>1.0212</v>
      </c>
      <c r="AN8" s="91" t="n"/>
    </row>
    <row r="9">
      <c r="B9" s="91" t="n"/>
      <c r="C9" s="108">
        <f>IFERROR(IF(LANG="EN",INDEX(I18N_EN,MATCH("kpi.lease.occ_unit",I18N_KEY,0)),INDEX(I18N_FR,MATCH("kpi.lease.occ_unit",I18N_KEY,0))),"kpi.lease.occ_unit")</f>
        <v/>
      </c>
      <c r="D9" s="110" t="n">
        <v>0.8928</v>
      </c>
      <c r="E9" s="110" t="n">
        <v>0.8903</v>
      </c>
      <c r="F9" s="110" t="n">
        <v>0.8969</v>
      </c>
      <c r="G9" s="110" t="n">
        <v>0.8952</v>
      </c>
      <c r="H9" s="110" t="n">
        <v>0.8736</v>
      </c>
      <c r="I9" s="110" t="n">
        <v>0.906</v>
      </c>
      <c r="J9" s="110" t="n">
        <v>0.8749</v>
      </c>
      <c r="K9" s="110" t="n">
        <v>0.8847</v>
      </c>
      <c r="L9" s="110" t="n">
        <v>0.8937</v>
      </c>
      <c r="M9" s="110" t="n">
        <v>0.883</v>
      </c>
      <c r="N9" s="110" t="n">
        <v>0.8839</v>
      </c>
      <c r="O9" s="110" t="n">
        <v>0.8884</v>
      </c>
      <c r="P9" s="110" t="n">
        <v>0.8956</v>
      </c>
      <c r="Q9" s="110" t="n">
        <v>0.9196</v>
      </c>
      <c r="R9" s="110" t="n">
        <v>0.9155</v>
      </c>
      <c r="S9" s="110" t="n">
        <v>0.9225</v>
      </c>
      <c r="T9" s="110" t="n">
        <v>0.9386</v>
      </c>
      <c r="U9" s="110" t="n">
        <v>0.8619</v>
      </c>
      <c r="V9" s="110" t="n">
        <v>0.9238</v>
      </c>
      <c r="W9" s="110" t="n">
        <v>0.9375</v>
      </c>
      <c r="X9" s="110" t="n">
        <v>0.9062</v>
      </c>
      <c r="Y9" s="110" t="n">
        <v>0.9267</v>
      </c>
      <c r="Z9" s="110" t="n">
        <v>0.9126</v>
      </c>
      <c r="AA9" s="110" t="n">
        <v>0.9219000000000001</v>
      </c>
      <c r="AB9" s="110" t="n">
        <v>0.8975</v>
      </c>
      <c r="AC9" s="110" t="n">
        <v>0.9426</v>
      </c>
      <c r="AD9" s="110" t="n">
        <v>0.9714</v>
      </c>
      <c r="AE9" s="110" t="n">
        <v>0.8912</v>
      </c>
      <c r="AF9" s="110" t="n">
        <v>0.9550999999999999</v>
      </c>
      <c r="AG9" s="110" t="n">
        <v>0.9544</v>
      </c>
      <c r="AH9" s="110" t="n">
        <v>0.8572</v>
      </c>
      <c r="AI9" s="110" t="n">
        <v>1.0021</v>
      </c>
      <c r="AJ9" s="110" t="n">
        <v>0.9576</v>
      </c>
      <c r="AK9" s="110" t="n">
        <v>0.8596</v>
      </c>
      <c r="AL9" s="110" t="n">
        <v>0.9845</v>
      </c>
      <c r="AM9" s="110" t="n">
        <v>0.9723000000000001</v>
      </c>
      <c r="AN9" s="91" t="n"/>
    </row>
    <row r="10">
      <c r="B10" s="91" t="n"/>
      <c r="C10" s="108">
        <f>IFERROR(IF(LANG="EN",INDEX(I18N_EN,MATCH("kpi.lease.gla_vacant",I18N_KEY,0)),INDEX(I18N_FR,MATCH("kpi.lease.gla_vacant",I18N_KEY,0))),"kpi.lease.gla_vacant")</f>
        <v/>
      </c>
      <c r="D10" s="109" t="n">
        <v>1821</v>
      </c>
      <c r="E10" s="109" t="n">
        <v>1791</v>
      </c>
      <c r="F10" s="109" t="n">
        <v>1800</v>
      </c>
      <c r="G10" s="109" t="n">
        <v>1831</v>
      </c>
      <c r="H10" s="109" t="n">
        <v>1766</v>
      </c>
      <c r="I10" s="109" t="n">
        <v>1841</v>
      </c>
      <c r="J10" s="109" t="n">
        <v>1829</v>
      </c>
      <c r="K10" s="109" t="n">
        <v>1790</v>
      </c>
      <c r="L10" s="109" t="n">
        <v>1783</v>
      </c>
      <c r="M10" s="109" t="n">
        <v>1800</v>
      </c>
      <c r="N10" s="109" t="n">
        <v>1880</v>
      </c>
      <c r="O10" s="109" t="n">
        <v>1785</v>
      </c>
      <c r="P10" s="109" t="n">
        <v>1818</v>
      </c>
      <c r="Q10" s="109" t="n">
        <v>1847</v>
      </c>
      <c r="R10" s="109" t="n">
        <v>1825</v>
      </c>
      <c r="S10" s="109" t="n">
        <v>1784</v>
      </c>
      <c r="T10" s="109" t="n">
        <v>1819</v>
      </c>
      <c r="U10" s="109" t="n">
        <v>1862</v>
      </c>
      <c r="V10" s="109" t="n">
        <v>1923</v>
      </c>
      <c r="W10" s="109" t="n">
        <v>1954</v>
      </c>
      <c r="X10" s="109" t="n">
        <v>1810</v>
      </c>
      <c r="Y10" s="109" t="n">
        <v>1912</v>
      </c>
      <c r="Z10" s="109" t="n">
        <v>1762</v>
      </c>
      <c r="AA10" s="109" t="n">
        <v>1887</v>
      </c>
      <c r="AB10" s="109" t="n">
        <v>1830</v>
      </c>
      <c r="AC10" s="109" t="n">
        <v>1881</v>
      </c>
      <c r="AD10" s="109" t="n">
        <v>1912</v>
      </c>
      <c r="AE10" s="109" t="n">
        <v>1935</v>
      </c>
      <c r="AF10" s="109" t="n">
        <v>1942</v>
      </c>
      <c r="AG10" s="109" t="n">
        <v>1942</v>
      </c>
      <c r="AH10" s="109" t="n">
        <v>1909</v>
      </c>
      <c r="AI10" s="109" t="n">
        <v>1867</v>
      </c>
      <c r="AJ10" s="109" t="n">
        <v>1929</v>
      </c>
      <c r="AK10" s="109" t="n">
        <v>1833</v>
      </c>
      <c r="AL10" s="109" t="n">
        <v>1748</v>
      </c>
      <c r="AM10" s="109" t="n">
        <v>1938</v>
      </c>
      <c r="AN10" s="91" t="n"/>
    </row>
    <row r="11">
      <c r="B11" s="91" t="n"/>
      <c r="C11" s="108">
        <f>IFERROR(IF(LANG="EN",INDEX(I18N_EN,MATCH("kpi.lease.ocr",I18N_KEY,0)),INDEX(I18N_FR,MATCH("kpi.lease.ocr",I18N_KEY,0))),"kpi.lease.ocr")</f>
        <v/>
      </c>
      <c r="D11" s="110" t="n">
        <v>0.122</v>
      </c>
      <c r="E11" s="110" t="n">
        <v>0.1192</v>
      </c>
      <c r="F11" s="110" t="n">
        <v>0.1207</v>
      </c>
      <c r="G11" s="110" t="n">
        <v>0.1223</v>
      </c>
      <c r="H11" s="110" t="n">
        <v>0.1184</v>
      </c>
      <c r="I11" s="110" t="n">
        <v>0.1207</v>
      </c>
      <c r="J11" s="110" t="n">
        <v>0.1247</v>
      </c>
      <c r="K11" s="110" t="n">
        <v>0.1246</v>
      </c>
      <c r="L11" s="110" t="n">
        <v>0.1254</v>
      </c>
      <c r="M11" s="110" t="n">
        <v>0.1221</v>
      </c>
      <c r="N11" s="110" t="n">
        <v>0.1186</v>
      </c>
      <c r="O11" s="110" t="n">
        <v>0.1224</v>
      </c>
      <c r="P11" s="110" t="n">
        <v>0.1239</v>
      </c>
      <c r="Q11" s="110" t="n">
        <v>0.1272</v>
      </c>
      <c r="R11" s="110" t="n">
        <v>0.1174</v>
      </c>
      <c r="S11" s="110" t="n">
        <v>0.1195</v>
      </c>
      <c r="T11" s="110" t="n">
        <v>0.1254</v>
      </c>
      <c r="U11" s="110" t="n">
        <v>0.1176</v>
      </c>
      <c r="V11" s="110" t="n">
        <v>0.129</v>
      </c>
      <c r="W11" s="110" t="n">
        <v>0.1202</v>
      </c>
      <c r="X11" s="110" t="n">
        <v>0.1206</v>
      </c>
      <c r="Y11" s="110" t="n">
        <v>0.1207</v>
      </c>
      <c r="Z11" s="110" t="n">
        <v>0.1196</v>
      </c>
      <c r="AA11" s="110" t="n">
        <v>0.118</v>
      </c>
      <c r="AB11" s="110" t="n">
        <v>0.1281</v>
      </c>
      <c r="AC11" s="110" t="n">
        <v>0.1315</v>
      </c>
      <c r="AD11" s="110" t="n">
        <v>0.1271</v>
      </c>
      <c r="AE11" s="110" t="n">
        <v>0.1211</v>
      </c>
      <c r="AF11" s="110" t="n">
        <v>0.1242</v>
      </c>
      <c r="AG11" s="110" t="n">
        <v>0.1317</v>
      </c>
      <c r="AH11" s="110" t="n">
        <v>0.1222</v>
      </c>
      <c r="AI11" s="110" t="n">
        <v>0.1366</v>
      </c>
      <c r="AJ11" s="110" t="n">
        <v>0.1176</v>
      </c>
      <c r="AK11" s="110" t="n">
        <v>0.129</v>
      </c>
      <c r="AL11" s="110" t="n">
        <v>0.122</v>
      </c>
      <c r="AM11" s="110" t="n">
        <v>0.1167</v>
      </c>
      <c r="AN11" s="91" t="n"/>
    </row>
    <row r="12">
      <c r="B12" s="91" t="n"/>
      <c r="C12" s="108">
        <f>IFERROR(IF(LANG="EN",INDEX(I18N_EN,MATCH("kpi.lease.passing",I18N_KEY,0)),INDEX(I18N_FR,MATCH("kpi.lease.passing",I18N_KEY,0))),"kpi.lease.passing")</f>
        <v/>
      </c>
      <c r="D12" s="109" t="n">
        <v>129764530</v>
      </c>
      <c r="E12" s="109" t="n">
        <v>131043491</v>
      </c>
      <c r="F12" s="109" t="n">
        <v>128026818</v>
      </c>
      <c r="G12" s="109" t="n">
        <v>129862843</v>
      </c>
      <c r="H12" s="109" t="n">
        <v>129967122</v>
      </c>
      <c r="I12" s="109" t="n">
        <v>130705085</v>
      </c>
      <c r="J12" s="109" t="n">
        <v>128331991</v>
      </c>
      <c r="K12" s="109" t="n">
        <v>132330926</v>
      </c>
      <c r="L12" s="109" t="n">
        <v>131473941</v>
      </c>
      <c r="M12" s="109" t="n">
        <v>130211241</v>
      </c>
      <c r="N12" s="109" t="n">
        <v>127293641</v>
      </c>
      <c r="O12" s="109" t="n">
        <v>128312731</v>
      </c>
      <c r="P12" s="109" t="n">
        <v>131198342</v>
      </c>
      <c r="Q12" s="109" t="n">
        <v>129237143</v>
      </c>
      <c r="R12" s="109" t="n">
        <v>128958100</v>
      </c>
      <c r="S12" s="109" t="n">
        <v>126828361</v>
      </c>
      <c r="T12" s="109" t="n">
        <v>135980065</v>
      </c>
      <c r="U12" s="109" t="n">
        <v>136136023</v>
      </c>
      <c r="V12" s="109" t="n">
        <v>137129180</v>
      </c>
      <c r="W12" s="109" t="n">
        <v>128030609</v>
      </c>
      <c r="X12" s="109" t="n">
        <v>137957388</v>
      </c>
      <c r="Y12" s="109" t="n">
        <v>140226642</v>
      </c>
      <c r="Z12" s="109" t="n">
        <v>134218110</v>
      </c>
      <c r="AA12" s="109" t="n">
        <v>139915939</v>
      </c>
      <c r="AB12" s="109" t="n">
        <v>133570830</v>
      </c>
      <c r="AC12" s="109" t="n">
        <v>138048352</v>
      </c>
      <c r="AD12" s="109" t="n">
        <v>140523802</v>
      </c>
      <c r="AE12" s="109" t="n">
        <v>127169287</v>
      </c>
      <c r="AF12" s="109" t="n">
        <v>124996274</v>
      </c>
      <c r="AG12" s="109" t="n">
        <v>138504021</v>
      </c>
      <c r="AH12" s="109" t="n">
        <v>134247626</v>
      </c>
      <c r="AI12" s="109" t="n">
        <v>136220143</v>
      </c>
      <c r="AJ12" s="109" t="n">
        <v>136364731</v>
      </c>
      <c r="AK12" s="109" t="n">
        <v>142909572</v>
      </c>
      <c r="AL12" s="109" t="n">
        <v>141524616</v>
      </c>
      <c r="AM12" s="109" t="n">
        <v>140759958</v>
      </c>
      <c r="AN12" s="91" t="n"/>
    </row>
    <row r="13">
      <c r="B13" s="91" t="n"/>
      <c r="C13" s="108">
        <f>IFERROR(IF(LANG="EN",INDEX(I18N_EN,MATCH("kpi.lease.erv",I18N_KEY,0)),INDEX(I18N_FR,MATCH("kpi.lease.erv",I18N_KEY,0))),"kpi.lease.erv")</f>
        <v/>
      </c>
      <c r="D13" s="109" t="n">
        <v>138479564</v>
      </c>
      <c r="E13" s="109" t="n">
        <v>139810739</v>
      </c>
      <c r="F13" s="109" t="n">
        <v>137998064</v>
      </c>
      <c r="G13" s="109" t="n">
        <v>141348838</v>
      </c>
      <c r="H13" s="109" t="n">
        <v>138452541</v>
      </c>
      <c r="I13" s="109" t="n">
        <v>140267887</v>
      </c>
      <c r="J13" s="109" t="n">
        <v>140514594</v>
      </c>
      <c r="K13" s="109" t="n">
        <v>140478018</v>
      </c>
      <c r="L13" s="109" t="n">
        <v>143911000</v>
      </c>
      <c r="M13" s="109" t="n">
        <v>142767433</v>
      </c>
      <c r="N13" s="109" t="n">
        <v>138521663</v>
      </c>
      <c r="O13" s="109" t="n">
        <v>141837570</v>
      </c>
      <c r="P13" s="109" t="n">
        <v>146864045</v>
      </c>
      <c r="Q13" s="109" t="n">
        <v>147522063</v>
      </c>
      <c r="R13" s="109" t="n">
        <v>143093812</v>
      </c>
      <c r="S13" s="109" t="n">
        <v>142326360</v>
      </c>
      <c r="T13" s="109" t="n">
        <v>143661996</v>
      </c>
      <c r="U13" s="109" t="n">
        <v>140005861</v>
      </c>
      <c r="V13" s="109" t="n">
        <v>143163471</v>
      </c>
      <c r="W13" s="109" t="n">
        <v>146646760</v>
      </c>
      <c r="X13" s="109" t="n">
        <v>152179944</v>
      </c>
      <c r="Y13" s="109" t="n">
        <v>150185582</v>
      </c>
      <c r="Z13" s="109" t="n">
        <v>144258527</v>
      </c>
      <c r="AA13" s="109" t="n">
        <v>154340131</v>
      </c>
      <c r="AB13" s="109" t="n">
        <v>138545326</v>
      </c>
      <c r="AC13" s="109" t="n">
        <v>147984290</v>
      </c>
      <c r="AD13" s="109" t="n">
        <v>139102545</v>
      </c>
      <c r="AE13" s="109" t="n">
        <v>153760433</v>
      </c>
      <c r="AF13" s="109" t="n">
        <v>141372067</v>
      </c>
      <c r="AG13" s="109" t="n">
        <v>146261270</v>
      </c>
      <c r="AH13" s="109" t="n">
        <v>150311426</v>
      </c>
      <c r="AI13" s="109" t="n">
        <v>143320863</v>
      </c>
      <c r="AJ13" s="109" t="n">
        <v>144314297</v>
      </c>
      <c r="AK13" s="109" t="n">
        <v>154286984</v>
      </c>
      <c r="AL13" s="109" t="n">
        <v>133005441</v>
      </c>
      <c r="AM13" s="109" t="n">
        <v>138067371</v>
      </c>
      <c r="AN13" s="91" t="n"/>
    </row>
    <row r="14">
      <c r="B14" s="91" t="n"/>
      <c r="C14" s="108">
        <f>IFERROR(IF(LANG="EN",INDEX(I18N_EN,MATCH("kpi.lease.reversion",I18N_KEY,0)),INDEX(I18N_FR,MATCH("kpi.lease.reversion",I18N_KEY,0))),"kpi.lease.reversion")</f>
        <v/>
      </c>
      <c r="D14" s="110" t="n">
        <v>0.0694</v>
      </c>
      <c r="E14" s="110" t="n">
        <v>0.0701</v>
      </c>
      <c r="F14" s="110" t="n">
        <v>0.06950000000000001</v>
      </c>
      <c r="G14" s="110" t="n">
        <v>0.06950000000000001</v>
      </c>
      <c r="H14" s="110" t="n">
        <v>0.0697</v>
      </c>
      <c r="I14" s="110" t="n">
        <v>0.0708</v>
      </c>
      <c r="J14" s="110" t="n">
        <v>0.0697</v>
      </c>
      <c r="K14" s="110" t="n">
        <v>0.0707</v>
      </c>
      <c r="L14" s="110" t="n">
        <v>0.0687</v>
      </c>
      <c r="M14" s="110" t="n">
        <v>0.0688</v>
      </c>
      <c r="N14" s="110" t="n">
        <v>0.06950000000000001</v>
      </c>
      <c r="O14" s="110" t="n">
        <v>0.0696</v>
      </c>
      <c r="P14" s="110" t="n">
        <v>0.0693</v>
      </c>
      <c r="Q14" s="110" t="n">
        <v>0.07240000000000001</v>
      </c>
      <c r="R14" s="110" t="n">
        <v>0.0741</v>
      </c>
      <c r="S14" s="110" t="n">
        <v>0.0699</v>
      </c>
      <c r="T14" s="110" t="n">
        <v>0.0673</v>
      </c>
      <c r="U14" s="110" t="n">
        <v>0.0756</v>
      </c>
      <c r="V14" s="110" t="n">
        <v>0.0726</v>
      </c>
      <c r="W14" s="110" t="n">
        <v>0.0733</v>
      </c>
      <c r="X14" s="110" t="n">
        <v>0.06759999999999999</v>
      </c>
      <c r="Y14" s="110" t="n">
        <v>0.07149999999999999</v>
      </c>
      <c r="Z14" s="110" t="n">
        <v>0.0742</v>
      </c>
      <c r="AA14" s="110" t="n">
        <v>0.075</v>
      </c>
      <c r="AB14" s="110" t="n">
        <v>0.075</v>
      </c>
      <c r="AC14" s="110" t="n">
        <v>0.0735</v>
      </c>
      <c r="AD14" s="110" t="n">
        <v>0.07099999999999999</v>
      </c>
      <c r="AE14" s="110" t="n">
        <v>0.07049999999999999</v>
      </c>
      <c r="AF14" s="110" t="n">
        <v>0.06909999999999999</v>
      </c>
      <c r="AG14" s="110" t="n">
        <v>0.06850000000000001</v>
      </c>
      <c r="AH14" s="110" t="n">
        <v>0.0774</v>
      </c>
      <c r="AI14" s="110" t="n">
        <v>0.07679999999999999</v>
      </c>
      <c r="AJ14" s="110" t="n">
        <v>0.0765</v>
      </c>
      <c r="AK14" s="110" t="n">
        <v>0.0678</v>
      </c>
      <c r="AL14" s="110" t="n">
        <v>0.0755</v>
      </c>
      <c r="AM14" s="110" t="n">
        <v>0.07480000000000001</v>
      </c>
      <c r="AN14" s="91" t="n"/>
    </row>
    <row r="15">
      <c r="B15" s="91" t="n"/>
      <c r="C15" s="108">
        <f>IFERROR(IF(LANG="EN",INDEX(I18N_EN,MATCH("kpi.lease.vac_age",I18N_KEY,0)),INDEX(I18N_FR,MATCH("kpi.lease.vac_age",I18N_KEY,0))),"kpi.lease.vac_age")</f>
        <v/>
      </c>
      <c r="D15" s="109" t="n">
        <v>5</v>
      </c>
      <c r="E15" s="109" t="n">
        <v>5.07</v>
      </c>
      <c r="F15" s="109" t="n">
        <v>5.1</v>
      </c>
      <c r="G15" s="109" t="n">
        <v>5.05</v>
      </c>
      <c r="H15" s="109" t="n">
        <v>5.12</v>
      </c>
      <c r="I15" s="109" t="n">
        <v>4.98</v>
      </c>
      <c r="J15" s="109" t="n">
        <v>4.96</v>
      </c>
      <c r="K15" s="109" t="n">
        <v>4.97</v>
      </c>
      <c r="L15" s="109" t="n">
        <v>4.96</v>
      </c>
      <c r="M15" s="109" t="n">
        <v>5.01</v>
      </c>
      <c r="N15" s="109" t="n">
        <v>5.01</v>
      </c>
      <c r="O15" s="109" t="n">
        <v>5.02</v>
      </c>
      <c r="P15" s="109" t="n">
        <v>5.23</v>
      </c>
      <c r="Q15" s="109" t="n">
        <v>5.09</v>
      </c>
      <c r="R15" s="109" t="n">
        <v>5.18</v>
      </c>
      <c r="S15" s="109" t="n">
        <v>5.27</v>
      </c>
      <c r="T15" s="109" t="n">
        <v>5.29</v>
      </c>
      <c r="U15" s="109" t="n">
        <v>5.03</v>
      </c>
      <c r="V15" s="109" t="n">
        <v>4.86</v>
      </c>
      <c r="W15" s="109" t="n">
        <v>5</v>
      </c>
      <c r="X15" s="109" t="n">
        <v>5.1</v>
      </c>
      <c r="Y15" s="109" t="n">
        <v>5.09</v>
      </c>
      <c r="Z15" s="109" t="n">
        <v>4.99</v>
      </c>
      <c r="AA15" s="109" t="n">
        <v>5.13</v>
      </c>
      <c r="AB15" s="109" t="n">
        <v>4.91</v>
      </c>
      <c r="AC15" s="109" t="n">
        <v>5.01</v>
      </c>
      <c r="AD15" s="109" t="n">
        <v>5.09</v>
      </c>
      <c r="AE15" s="109" t="n">
        <v>5.45</v>
      </c>
      <c r="AF15" s="109" t="n">
        <v>4.77</v>
      </c>
      <c r="AG15" s="109" t="n">
        <v>5.31</v>
      </c>
      <c r="AH15" s="109" t="n">
        <v>5.44</v>
      </c>
      <c r="AI15" s="109" t="n">
        <v>5.66</v>
      </c>
      <c r="AJ15" s="109" t="n">
        <v>5.09</v>
      </c>
      <c r="AK15" s="109" t="n">
        <v>4.87</v>
      </c>
      <c r="AL15" s="109" t="n">
        <v>5.74</v>
      </c>
      <c r="AM15" s="109" t="n">
        <v>5.16</v>
      </c>
      <c r="AN15" s="91" t="n"/>
    </row>
    <row r="16">
      <c r="B16" s="91" t="n"/>
      <c r="C16" s="108">
        <f>IFERROR(IF(LANG="EN",INDEX(I18N_EN,MATCH("kpi.lease.retention",I18N_KEY,0)),INDEX(I18N_FR,MATCH("kpi.lease.retention",I18N_KEY,0))),"kpi.lease.retention")</f>
        <v/>
      </c>
      <c r="D16" s="110" t="n">
        <v>0.7939000000000001</v>
      </c>
      <c r="E16" s="110" t="n">
        <v>0.8099</v>
      </c>
      <c r="F16" s="110" t="n">
        <v>0.8106</v>
      </c>
      <c r="G16" s="110" t="n">
        <v>0.8156</v>
      </c>
      <c r="H16" s="110" t="n">
        <v>0.8088</v>
      </c>
      <c r="I16" s="110" t="n">
        <v>0.8066</v>
      </c>
      <c r="J16" s="110" t="n">
        <v>0.7987</v>
      </c>
      <c r="K16" s="110" t="n">
        <v>0.7886</v>
      </c>
      <c r="L16" s="110" t="n">
        <v>0.8250999999999999</v>
      </c>
      <c r="M16" s="110" t="n">
        <v>0.7874</v>
      </c>
      <c r="N16" s="110" t="n">
        <v>0.8031</v>
      </c>
      <c r="O16" s="110" t="n">
        <v>0.8012</v>
      </c>
      <c r="P16" s="110" t="n">
        <v>0.8444</v>
      </c>
      <c r="Q16" s="110" t="n">
        <v>0.7822</v>
      </c>
      <c r="R16" s="110" t="n">
        <v>0.8212</v>
      </c>
      <c r="S16" s="110" t="n">
        <v>0.7979000000000001</v>
      </c>
      <c r="T16" s="110" t="n">
        <v>0.8512</v>
      </c>
      <c r="U16" s="110" t="n">
        <v>0.8327</v>
      </c>
      <c r="V16" s="110" t="n">
        <v>0.8126</v>
      </c>
      <c r="W16" s="110" t="n">
        <v>0.8286</v>
      </c>
      <c r="X16" s="110" t="n">
        <v>0.8109</v>
      </c>
      <c r="Y16" s="110" t="n">
        <v>0.8462</v>
      </c>
      <c r="Z16" s="110" t="n">
        <v>0.8225</v>
      </c>
      <c r="AA16" s="110" t="n">
        <v>0.8577</v>
      </c>
      <c r="AB16" s="110" t="n">
        <v>0.86</v>
      </c>
      <c r="AC16" s="110" t="n">
        <v>0.8952</v>
      </c>
      <c r="AD16" s="110" t="n">
        <v>0.8182</v>
      </c>
      <c r="AE16" s="110" t="n">
        <v>0.8172</v>
      </c>
      <c r="AF16" s="110" t="n">
        <v>0.9018</v>
      </c>
      <c r="AG16" s="110" t="n">
        <v>0.8615</v>
      </c>
      <c r="AH16" s="110" t="n">
        <v>0.8045</v>
      </c>
      <c r="AI16" s="110" t="n">
        <v>0.8902</v>
      </c>
      <c r="AJ16" s="110" t="n">
        <v>0.7895</v>
      </c>
      <c r="AK16" s="110" t="n">
        <v>0.8838</v>
      </c>
      <c r="AL16" s="110" t="n">
        <v>0.8725000000000001</v>
      </c>
      <c r="AM16" s="110" t="n">
        <v>0.8935999999999999</v>
      </c>
      <c r="AN16" s="91" t="n"/>
    </row>
    <row r="17">
      <c r="B17" s="91" t="n"/>
      <c r="C17" s="108">
        <f>IFERROR(IF(LANG="EN",INDEX(I18N_EN,MATCH("kpi.lease.incentives",I18N_KEY,0)),INDEX(I18N_FR,MATCH("kpi.lease.incentives",I18N_KEY,0))),"kpi.lease.incentives")</f>
        <v/>
      </c>
      <c r="D17" s="109" t="n">
        <v>6107139</v>
      </c>
      <c r="E17" s="109" t="n">
        <v>5987312</v>
      </c>
      <c r="F17" s="109" t="n">
        <v>5893230</v>
      </c>
      <c r="G17" s="109" t="n">
        <v>5980245</v>
      </c>
      <c r="H17" s="109" t="n">
        <v>6116736</v>
      </c>
      <c r="I17" s="109" t="n">
        <v>5908179</v>
      </c>
      <c r="J17" s="109" t="n">
        <v>6221458</v>
      </c>
      <c r="K17" s="109" t="n">
        <v>6165922</v>
      </c>
      <c r="L17" s="109" t="n">
        <v>5918021</v>
      </c>
      <c r="M17" s="109" t="n">
        <v>6225955</v>
      </c>
      <c r="N17" s="109" t="n">
        <v>6011200</v>
      </c>
      <c r="O17" s="109" t="n">
        <v>5956161</v>
      </c>
      <c r="P17" s="109" t="n">
        <v>5871160</v>
      </c>
      <c r="Q17" s="109" t="n">
        <v>6272439</v>
      </c>
      <c r="R17" s="109" t="n">
        <v>6235738</v>
      </c>
      <c r="S17" s="109" t="n">
        <v>5877755</v>
      </c>
      <c r="T17" s="109" t="n">
        <v>5919520</v>
      </c>
      <c r="U17" s="109" t="n">
        <v>6169520</v>
      </c>
      <c r="V17" s="109" t="n">
        <v>6034425</v>
      </c>
      <c r="W17" s="109" t="n">
        <v>6449999</v>
      </c>
      <c r="X17" s="109" t="n">
        <v>5843532</v>
      </c>
      <c r="Y17" s="109" t="n">
        <v>5908654</v>
      </c>
      <c r="Z17" s="109" t="n">
        <v>6162752</v>
      </c>
      <c r="AA17" s="109" t="n">
        <v>5972535</v>
      </c>
      <c r="AB17" s="109" t="n">
        <v>6241516</v>
      </c>
      <c r="AC17" s="109" t="n">
        <v>6517375</v>
      </c>
      <c r="AD17" s="109" t="n">
        <v>6247846</v>
      </c>
      <c r="AE17" s="109" t="n">
        <v>6696480</v>
      </c>
      <c r="AF17" s="109" t="n">
        <v>6127668</v>
      </c>
      <c r="AG17" s="109" t="n">
        <v>6498916</v>
      </c>
      <c r="AH17" s="109" t="n">
        <v>5887653</v>
      </c>
      <c r="AI17" s="109" t="n">
        <v>6535122</v>
      </c>
      <c r="AJ17" s="109" t="n">
        <v>6560637</v>
      </c>
      <c r="AK17" s="109" t="n">
        <v>6646486</v>
      </c>
      <c r="AL17" s="109" t="n">
        <v>5986834</v>
      </c>
      <c r="AM17" s="109" t="n">
        <v>6430459</v>
      </c>
      <c r="AN17" s="91" t="n"/>
    </row>
    <row r="18">
      <c r="B18" s="91" t="n"/>
      <c r="C18" s="108">
        <f>IFERROR(IF(LANG="EN",INDEX(I18N_EN,MATCH("kpi.lease.rent_sqm",I18N_KEY,0)),INDEX(I18N_FR,MATCH("kpi.lease.rent_sqm",I18N_KEY,0))),"kpi.lease.rent_sqm")</f>
        <v/>
      </c>
      <c r="D18" s="109" t="n">
        <v>9100.49</v>
      </c>
      <c r="E18" s="109" t="n">
        <v>9081.379999999999</v>
      </c>
      <c r="F18" s="109" t="n">
        <v>9151.4</v>
      </c>
      <c r="G18" s="109" t="n">
        <v>9070.59</v>
      </c>
      <c r="H18" s="109" t="n">
        <v>8968.360000000001</v>
      </c>
      <c r="I18" s="109" t="n">
        <v>8838.790000000001</v>
      </c>
      <c r="J18" s="109" t="n">
        <v>9091.799999999999</v>
      </c>
      <c r="K18" s="109" t="n">
        <v>9271.620000000001</v>
      </c>
      <c r="L18" s="109" t="n">
        <v>9031.75</v>
      </c>
      <c r="M18" s="109" t="n">
        <v>9121.75</v>
      </c>
      <c r="N18" s="109" t="n">
        <v>9156.120000000001</v>
      </c>
      <c r="O18" s="109" t="n">
        <v>9287.860000000001</v>
      </c>
      <c r="P18" s="109" t="n">
        <v>8875.02</v>
      </c>
      <c r="Q18" s="109" t="n">
        <v>9515.129999999999</v>
      </c>
      <c r="R18" s="109" t="n">
        <v>9423.33</v>
      </c>
      <c r="S18" s="109" t="n">
        <v>9556.93</v>
      </c>
      <c r="T18" s="109" t="n">
        <v>9356.43</v>
      </c>
      <c r="U18" s="109" t="n">
        <v>9343.84</v>
      </c>
      <c r="V18" s="109" t="n">
        <v>9290.049999999999</v>
      </c>
      <c r="W18" s="109" t="n">
        <v>9460.440000000001</v>
      </c>
      <c r="X18" s="109" t="n">
        <v>9239.549999999999</v>
      </c>
      <c r="Y18" s="109" t="n">
        <v>8874.41</v>
      </c>
      <c r="Z18" s="109" t="n">
        <v>9100.860000000001</v>
      </c>
      <c r="AA18" s="109" t="n">
        <v>9276.639999999999</v>
      </c>
      <c r="AB18" s="109" t="n">
        <v>8960.59</v>
      </c>
      <c r="AC18" s="109" t="n">
        <v>9744.110000000001</v>
      </c>
      <c r="AD18" s="109" t="n">
        <v>9919.219999999999</v>
      </c>
      <c r="AE18" s="109" t="n">
        <v>10174.94</v>
      </c>
      <c r="AF18" s="109" t="n">
        <v>8797.559999999999</v>
      </c>
      <c r="AG18" s="109" t="n">
        <v>9277.389999999999</v>
      </c>
      <c r="AH18" s="109" t="n">
        <v>9825.52</v>
      </c>
      <c r="AI18" s="109" t="n">
        <v>8867.790000000001</v>
      </c>
      <c r="AJ18" s="109" t="n">
        <v>9706.92</v>
      </c>
      <c r="AK18" s="109" t="n">
        <v>8790.08</v>
      </c>
      <c r="AL18" s="109" t="n">
        <v>9161.24</v>
      </c>
      <c r="AM18" s="109" t="n">
        <v>9608.870000000001</v>
      </c>
      <c r="AN18" s="91" t="n"/>
    </row>
    <row r="19">
      <c r="B19" s="91" t="n"/>
      <c r="C19" s="108">
        <f>IFERROR(IF(LANG="EN",INDEX(I18N_EN,MATCH("kpi.lease.walt",I18N_KEY,0)),INDEX(I18N_FR,MATCH("kpi.lease.walt",I18N_KEY,0))),"kpi.lease.walt")</f>
        <v/>
      </c>
      <c r="D19" s="109" t="n">
        <v>3.26</v>
      </c>
      <c r="E19" s="109" t="n">
        <v>3.24</v>
      </c>
      <c r="F19" s="109" t="n">
        <v>3.22</v>
      </c>
      <c r="G19" s="109" t="n">
        <v>3.23</v>
      </c>
      <c r="H19" s="109" t="n">
        <v>3.15</v>
      </c>
      <c r="I19" s="109" t="n">
        <v>3.24</v>
      </c>
      <c r="J19" s="109" t="n">
        <v>3.22</v>
      </c>
      <c r="K19" s="109" t="n">
        <v>3.17</v>
      </c>
      <c r="L19" s="109" t="n">
        <v>3.29</v>
      </c>
      <c r="M19" s="109" t="n">
        <v>3.26</v>
      </c>
      <c r="N19" s="109" t="n">
        <v>3.2</v>
      </c>
      <c r="O19" s="109" t="n">
        <v>3.32</v>
      </c>
      <c r="P19" s="109" t="n">
        <v>3.34</v>
      </c>
      <c r="Q19" s="109" t="n">
        <v>3.18</v>
      </c>
      <c r="R19" s="109" t="n">
        <v>3.33</v>
      </c>
      <c r="S19" s="109" t="n">
        <v>3.17</v>
      </c>
      <c r="T19" s="109" t="n">
        <v>3.34</v>
      </c>
      <c r="U19" s="109" t="n">
        <v>3.41</v>
      </c>
      <c r="V19" s="109" t="n">
        <v>3.44</v>
      </c>
      <c r="W19" s="109" t="n">
        <v>3.39</v>
      </c>
      <c r="X19" s="109" t="n">
        <v>3.11</v>
      </c>
      <c r="Y19" s="109" t="n">
        <v>3.19</v>
      </c>
      <c r="Z19" s="109" t="n">
        <v>3.12</v>
      </c>
      <c r="AA19" s="109" t="n">
        <v>3.29</v>
      </c>
      <c r="AB19" s="109" t="n">
        <v>3.35</v>
      </c>
      <c r="AC19" s="109" t="n">
        <v>3.1</v>
      </c>
      <c r="AD19" s="109" t="n">
        <v>3.58</v>
      </c>
      <c r="AE19" s="109" t="n">
        <v>3.37</v>
      </c>
      <c r="AF19" s="109" t="n">
        <v>3.44</v>
      </c>
      <c r="AG19" s="109" t="n">
        <v>3.6</v>
      </c>
      <c r="AH19" s="109" t="n">
        <v>3.33</v>
      </c>
      <c r="AI19" s="109" t="n">
        <v>3.3</v>
      </c>
      <c r="AJ19" s="109" t="n">
        <v>3.53</v>
      </c>
      <c r="AK19" s="109" t="n">
        <v>3.22</v>
      </c>
      <c r="AL19" s="109" t="n">
        <v>3.37</v>
      </c>
      <c r="AM19" s="109" t="n">
        <v>3.03</v>
      </c>
      <c r="AN19" s="91" t="n"/>
    </row>
    <row r="20">
      <c r="B20" s="91" t="n"/>
      <c r="C20" s="91" t="n"/>
      <c r="D20" s="91" t="n"/>
      <c r="E20" s="91" t="n"/>
      <c r="F20" s="91" t="n"/>
      <c r="G20" s="91" t="n"/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  <c r="X20" s="91" t="n"/>
      <c r="Y20" s="91" t="n"/>
      <c r="Z20" s="91" t="n"/>
      <c r="AA20" s="91" t="n"/>
      <c r="AB20" s="91" t="n"/>
      <c r="AC20" s="91" t="n"/>
      <c r="AD20" s="91" t="n"/>
      <c r="AE20" s="91" t="n"/>
      <c r="AF20" s="91" t="n"/>
      <c r="AG20" s="91" t="n"/>
      <c r="AH20" s="91" t="n"/>
      <c r="AI20" s="91" t="n"/>
      <c r="AJ20" s="91" t="n"/>
      <c r="AK20" s="91" t="n"/>
      <c r="AL20" s="91" t="n"/>
      <c r="AM20" s="91" t="n"/>
      <c r="AN20" s="91" t="n"/>
    </row>
    <row r="21">
      <c r="B21" s="91" t="n"/>
      <c r="C21" s="99" t="inlineStr">
        <is>
          <t>💬 Commentaires (KPI × mois)</t>
        </is>
      </c>
      <c r="D21" s="91" t="n"/>
      <c r="E21" s="91" t="n"/>
      <c r="F21" s="91" t="n"/>
      <c r="G21" s="91" t="n"/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  <c r="T21" s="91" t="n"/>
      <c r="U21" s="91" t="n"/>
      <c r="V21" s="91" t="n"/>
      <c r="W21" s="91" t="n"/>
      <c r="X21" s="91" t="n"/>
      <c r="Y21" s="91" t="n"/>
      <c r="Z21" s="91" t="n"/>
      <c r="AA21" s="91" t="n"/>
      <c r="AB21" s="91" t="n"/>
      <c r="AC21" s="91" t="n"/>
      <c r="AD21" s="91" t="n"/>
      <c r="AE21" s="91" t="n"/>
      <c r="AF21" s="91" t="n"/>
      <c r="AG21" s="91" t="n"/>
      <c r="AH21" s="91" t="n"/>
      <c r="AI21" s="91" t="n"/>
      <c r="AJ21" s="91" t="n"/>
      <c r="AK21" s="91" t="n"/>
      <c r="AL21" s="91" t="n"/>
      <c r="AM21" s="91" t="n"/>
      <c r="AN21" s="91" t="n"/>
    </row>
    <row r="22">
      <c r="B22" s="91" t="n"/>
      <c r="C22" s="111">
        <f>IFERROR(IF(LANG="EN",INDEX(I18N_EN,MATCH("kpi.lease.occ_gla",I18N_KEY,0)),INDEX(I18N_FR,MATCH("kpi.lease.occ_gla",I18N_KEY,0))),"kpi.lease.occ_gla")</f>
        <v/>
      </c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91" t="n"/>
    </row>
    <row r="23">
      <c r="B23" s="91" t="n"/>
      <c r="C23" s="111">
        <f>IFERROR(IF(LANG="EN",INDEX(I18N_EN,MATCH("kpi.lease.occ_unit",I18N_KEY,0)),INDEX(I18N_FR,MATCH("kpi.lease.occ_unit",I18N_KEY,0))),"kpi.lease.occ_unit")</f>
        <v/>
      </c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91" t="n"/>
    </row>
    <row r="24">
      <c r="B24" s="91" t="n"/>
      <c r="C24" s="111">
        <f>IFERROR(IF(LANG="EN",INDEX(I18N_EN,MATCH("kpi.lease.gla_vacant",I18N_KEY,0)),INDEX(I18N_FR,MATCH("kpi.lease.gla_vacant",I18N_KEY,0))),"kpi.lease.gla_vacant")</f>
        <v/>
      </c>
      <c r="D24" s="112" t="n"/>
      <c r="E24" s="112" t="n"/>
      <c r="F24" s="112" t="n"/>
      <c r="G24" s="112" t="n"/>
      <c r="H24" s="112" t="n"/>
      <c r="I24" s="112" t="n"/>
      <c r="J24" s="112" t="n"/>
      <c r="K24" s="112" t="n"/>
      <c r="L24" s="112" t="n"/>
      <c r="M24" s="112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12" t="n"/>
      <c r="AK24" s="112" t="n"/>
      <c r="AL24" s="112" t="n"/>
      <c r="AM24" s="112" t="n"/>
      <c r="AN24" s="91" t="n"/>
    </row>
    <row r="25">
      <c r="B25" s="91" t="n"/>
      <c r="C25" s="111">
        <f>IFERROR(IF(LANG="EN",INDEX(I18N_EN,MATCH("kpi.lease.ocr",I18N_KEY,0)),INDEX(I18N_FR,MATCH("kpi.lease.ocr",I18N_KEY,0))),"kpi.lease.ocr")</f>
        <v/>
      </c>
      <c r="D25" s="112" t="n"/>
      <c r="E25" s="112" t="n"/>
      <c r="F25" s="112" t="n"/>
      <c r="G25" s="112" t="n"/>
      <c r="H25" s="112" t="n"/>
      <c r="I25" s="112" t="n"/>
      <c r="J25" s="112" t="n"/>
      <c r="K25" s="112" t="n"/>
      <c r="L25" s="112" t="n"/>
      <c r="M25" s="112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12" t="n"/>
      <c r="AK25" s="112" t="n"/>
      <c r="AL25" s="112" t="n"/>
      <c r="AM25" s="112" t="n"/>
      <c r="AN25" s="91" t="n"/>
    </row>
    <row r="26">
      <c r="B26" s="91" t="n"/>
      <c r="C26" s="111">
        <f>IFERROR(IF(LANG="EN",INDEX(I18N_EN,MATCH("kpi.lease.passing",I18N_KEY,0)),INDEX(I18N_FR,MATCH("kpi.lease.passing",I18N_KEY,0))),"kpi.lease.passing")</f>
        <v/>
      </c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91" t="n"/>
    </row>
    <row r="27">
      <c r="B27" s="91" t="n"/>
      <c r="C27" s="111">
        <f>IFERROR(IF(LANG="EN",INDEX(I18N_EN,MATCH("kpi.lease.erv",I18N_KEY,0)),INDEX(I18N_FR,MATCH("kpi.lease.erv",I18N_KEY,0))),"kpi.lease.erv")</f>
        <v/>
      </c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91" t="n"/>
    </row>
    <row r="28">
      <c r="B28" s="91" t="n"/>
      <c r="C28" s="111">
        <f>IFERROR(IF(LANG="EN",INDEX(I18N_EN,MATCH("kpi.lease.reversion",I18N_KEY,0)),INDEX(I18N_FR,MATCH("kpi.lease.reversion",I18N_KEY,0))),"kpi.lease.reversion")</f>
        <v/>
      </c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91" t="n"/>
    </row>
    <row r="29">
      <c r="B29" s="91" t="n"/>
      <c r="C29" s="111">
        <f>IFERROR(IF(LANG="EN",INDEX(I18N_EN,MATCH("kpi.lease.vac_age",I18N_KEY,0)),INDEX(I18N_FR,MATCH("kpi.lease.vac_age",I18N_KEY,0))),"kpi.lease.vac_age")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111">
        <f>IFERROR(IF(LANG="EN",INDEX(I18N_EN,MATCH("kpi.lease.retention",I18N_KEY,0)),INDEX(I18N_FR,MATCH("kpi.lease.retention",I18N_KEY,0))),"kpi.lease.retention")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IFERROR(IF(LANG="EN",INDEX(I18N_EN,MATCH("kpi.lease.incentives",I18N_KEY,0)),INDEX(I18N_FR,MATCH("kpi.lease.incentives",I18N_KEY,0))),"kpi.lease.incentives")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IFERROR(IF(LANG="EN",INDEX(I18N_EN,MATCH("kpi.lease.rent_sqm",I18N_KEY,0)),INDEX(I18N_FR,MATCH("kpi.lease.rent_sqm",I18N_KEY,0))),"kpi.lease.rent_sqm")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IFERROR(IF(LANG="EN",INDEX(I18N_EN,MATCH("kpi.lease.walt",I18N_KEY,0)),INDEX(I18N_FR,MATCH("kpi.lease.walt",I18N_KEY,0))),"kpi.lease.walt")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91" t="n"/>
      <c r="D34" s="91" t="n"/>
      <c r="E34" s="91" t="n"/>
      <c r="F34" s="91" t="n"/>
      <c r="G34" s="91" t="n"/>
      <c r="H34" s="91" t="n"/>
      <c r="I34" s="91" t="n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n"/>
      <c r="W34" s="91" t="n"/>
      <c r="X34" s="91" t="n"/>
      <c r="Y34" s="91" t="n"/>
      <c r="Z34" s="91" t="n"/>
      <c r="AA34" s="91" t="n"/>
      <c r="AB34" s="91" t="n"/>
      <c r="AC34" s="91" t="n"/>
      <c r="AD34" s="91" t="n"/>
      <c r="AE34" s="91" t="n"/>
      <c r="AF34" s="91" t="n"/>
      <c r="AG34" s="91" t="n"/>
      <c r="AH34" s="91" t="n"/>
      <c r="AI34" s="91" t="n"/>
      <c r="AJ34" s="91" t="n"/>
      <c r="AK34" s="91" t="n"/>
      <c r="AL34" s="91" t="n"/>
      <c r="AM34" s="91" t="n"/>
      <c r="AN34" s="91" t="n"/>
    </row>
    <row r="35">
      <c r="B35" s="91" t="n"/>
      <c r="C35" s="91" t="n"/>
      <c r="D35" s="91" t="n"/>
      <c r="E35" s="91" t="n"/>
      <c r="F35" s="91" t="n"/>
      <c r="G35" s="91" t="n"/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  <c r="X35" s="91" t="n"/>
      <c r="Y35" s="91" t="n"/>
      <c r="Z35" s="91" t="n"/>
      <c r="AA35" s="91" t="n"/>
      <c r="AB35" s="91" t="n"/>
      <c r="AC35" s="91" t="n"/>
      <c r="AD35" s="91" t="n"/>
      <c r="AE35" s="91" t="n"/>
      <c r="AF35" s="91" t="n"/>
      <c r="AG35" s="91" t="n"/>
      <c r="AH35" s="91" t="n"/>
      <c r="AI35" s="91" t="n"/>
      <c r="AJ35" s="91" t="n"/>
      <c r="AK35" s="91" t="n"/>
      <c r="AL35" s="91" t="n"/>
      <c r="AM35" s="91" t="n"/>
      <c r="AN35" s="91" t="n"/>
    </row>
    <row r="36">
      <c r="B36" s="91" t="n"/>
      <c r="C36" s="91" t="n"/>
      <c r="D36" s="91" t="n"/>
      <c r="E36" s="91" t="n"/>
      <c r="F36" s="91" t="n"/>
      <c r="G36" s="91" t="n"/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  <c r="Z36" s="91" t="n"/>
      <c r="AA36" s="91" t="n"/>
      <c r="AB36" s="91" t="n"/>
      <c r="AC36" s="91" t="n"/>
      <c r="AD36" s="91" t="n"/>
      <c r="AE36" s="91" t="n"/>
      <c r="AF36" s="91" t="n"/>
      <c r="AG36" s="91" t="n"/>
      <c r="AH36" s="91" t="n"/>
      <c r="AI36" s="91" t="n"/>
      <c r="AJ36" s="91" t="n"/>
      <c r="AK36" s="91" t="n"/>
      <c r="AL36" s="91" t="n"/>
      <c r="AM36" s="91" t="n"/>
      <c r="AN36" s="91" t="n"/>
    </row>
    <row r="37">
      <c r="B37" s="91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  <c r="Z37" s="91" t="n"/>
      <c r="AA37" s="91" t="n"/>
      <c r="AB37" s="91" t="n"/>
      <c r="AC37" s="91" t="n"/>
      <c r="AD37" s="91" t="n"/>
      <c r="AE37" s="91" t="n"/>
      <c r="AF37" s="91" t="n"/>
      <c r="AG37" s="91" t="n"/>
      <c r="AH37" s="91" t="n"/>
      <c r="AI37" s="91" t="n"/>
      <c r="AJ37" s="91" t="n"/>
      <c r="AK37" s="91" t="n"/>
      <c r="AL37" s="91" t="n"/>
      <c r="AM37" s="91" t="n"/>
      <c r="AN37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19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34155"/>
    <outlinePr summaryBelow="1" summaryRight="1"/>
    <pageSetUpPr/>
  </sheetPr>
  <dimension ref="B1:AN49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"&amp;IFERROR(IF(LANG="EN",INDEX(I18N_EN,MATCH("dept.rec",I18N_KEY,0)),INDEX(I18N_FR,MATCH("dept.rec",I18N_KEY,0))),"dept.rec")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IFERROR(IF(LANG="EN",INDEX(I18N_EN,MATCH("kpi.rec.ar",I18N_KEY,0)),INDEX(I18N_FR,MATCH("kpi.rec.ar",I18N_KEY,0))),"kpi.rec.ar")</f>
        <v/>
      </c>
      <c r="D8" s="109" t="n">
        <v>414366239</v>
      </c>
      <c r="E8" s="109" t="n">
        <v>423691166</v>
      </c>
      <c r="F8" s="109" t="n">
        <v>427868099</v>
      </c>
      <c r="G8" s="109" t="n">
        <v>430455153</v>
      </c>
      <c r="H8" s="109" t="n">
        <v>422274770</v>
      </c>
      <c r="I8" s="109" t="n">
        <v>417312958</v>
      </c>
      <c r="J8" s="109" t="n">
        <v>421323105</v>
      </c>
      <c r="K8" s="109" t="n">
        <v>418676312</v>
      </c>
      <c r="L8" s="109" t="n">
        <v>427469318</v>
      </c>
      <c r="M8" s="109" t="n">
        <v>432535261</v>
      </c>
      <c r="N8" s="109" t="n">
        <v>434277838</v>
      </c>
      <c r="O8" s="109" t="n">
        <v>433743485</v>
      </c>
      <c r="P8" s="109" t="n">
        <v>405980915</v>
      </c>
      <c r="Q8" s="109" t="n">
        <v>433503113</v>
      </c>
      <c r="R8" s="109" t="n">
        <v>437962878</v>
      </c>
      <c r="S8" s="109" t="n">
        <v>428332176</v>
      </c>
      <c r="T8" s="109" t="n">
        <v>431661017</v>
      </c>
      <c r="U8" s="109" t="n">
        <v>429290326</v>
      </c>
      <c r="V8" s="109" t="n">
        <v>435181977</v>
      </c>
      <c r="W8" s="109" t="n">
        <v>436432471</v>
      </c>
      <c r="X8" s="109" t="n">
        <v>404109244</v>
      </c>
      <c r="Y8" s="109" t="n">
        <v>429291536</v>
      </c>
      <c r="Z8" s="109" t="n">
        <v>419364308</v>
      </c>
      <c r="AA8" s="109" t="n">
        <v>427123050</v>
      </c>
      <c r="AB8" s="109" t="n">
        <v>453950966</v>
      </c>
      <c r="AC8" s="109" t="n">
        <v>457319319</v>
      </c>
      <c r="AD8" s="109" t="n">
        <v>428557449</v>
      </c>
      <c r="AE8" s="109" t="n">
        <v>423915449</v>
      </c>
      <c r="AF8" s="109" t="n">
        <v>416939134</v>
      </c>
      <c r="AG8" s="109" t="n">
        <v>405813653</v>
      </c>
      <c r="AH8" s="109" t="n">
        <v>431597129</v>
      </c>
      <c r="AI8" s="109" t="n">
        <v>426008475</v>
      </c>
      <c r="AJ8" s="109" t="n">
        <v>410165856</v>
      </c>
      <c r="AK8" s="109" t="n">
        <v>442806424</v>
      </c>
      <c r="AL8" s="109" t="n">
        <v>461841565</v>
      </c>
      <c r="AM8" s="109" t="n">
        <v>442216050</v>
      </c>
      <c r="AN8" s="91" t="n"/>
    </row>
    <row r="9">
      <c r="B9" s="91" t="n"/>
      <c r="C9" s="108">
        <f>IFERROR(IF(LANG="EN",INDEX(I18N_EN,MATCH("kpi.rec.aged_0_30",I18N_KEY,0)),INDEX(I18N_FR,MATCH("kpi.rec.aged_0_30",I18N_KEY,0))),"kpi.rec.aged_0_30")</f>
        <v/>
      </c>
      <c r="D9" s="109" t="n">
        <v>176566869</v>
      </c>
      <c r="E9" s="109" t="n">
        <v>180754297</v>
      </c>
      <c r="F9" s="109" t="n">
        <v>179423367</v>
      </c>
      <c r="G9" s="109" t="n">
        <v>177081396</v>
      </c>
      <c r="H9" s="109" t="n">
        <v>183760409</v>
      </c>
      <c r="I9" s="109" t="n">
        <v>181867277</v>
      </c>
      <c r="J9" s="109" t="n">
        <v>184268933</v>
      </c>
      <c r="K9" s="109" t="n">
        <v>184056361</v>
      </c>
      <c r="L9" s="109" t="n">
        <v>185828978</v>
      </c>
      <c r="M9" s="109" t="n">
        <v>180357436</v>
      </c>
      <c r="N9" s="109" t="n">
        <v>181095844</v>
      </c>
      <c r="O9" s="109" t="n">
        <v>180360179</v>
      </c>
      <c r="P9" s="109" t="n">
        <v>185041949</v>
      </c>
      <c r="Q9" s="109" t="n">
        <v>183918861</v>
      </c>
      <c r="R9" s="109" t="n">
        <v>183453180</v>
      </c>
      <c r="S9" s="109" t="n">
        <v>190423099</v>
      </c>
      <c r="T9" s="109" t="n">
        <v>187808866</v>
      </c>
      <c r="U9" s="109" t="n">
        <v>193882507</v>
      </c>
      <c r="V9" s="109" t="n">
        <v>179122525</v>
      </c>
      <c r="W9" s="109" t="n">
        <v>181613421</v>
      </c>
      <c r="X9" s="109" t="n">
        <v>176474070</v>
      </c>
      <c r="Y9" s="109" t="n">
        <v>184523191</v>
      </c>
      <c r="Z9" s="109" t="n">
        <v>188173308</v>
      </c>
      <c r="AA9" s="109" t="n">
        <v>182658540</v>
      </c>
      <c r="AB9" s="109" t="n">
        <v>181372484</v>
      </c>
      <c r="AC9" s="109" t="n">
        <v>191136985</v>
      </c>
      <c r="AD9" s="109" t="n">
        <v>184673556</v>
      </c>
      <c r="AE9" s="109" t="n">
        <v>189343907</v>
      </c>
      <c r="AF9" s="109" t="n">
        <v>183707360</v>
      </c>
      <c r="AG9" s="109" t="n">
        <v>184781850</v>
      </c>
      <c r="AH9" s="109" t="n">
        <v>203125223</v>
      </c>
      <c r="AI9" s="109" t="n">
        <v>199056002</v>
      </c>
      <c r="AJ9" s="109" t="n">
        <v>191009753</v>
      </c>
      <c r="AK9" s="109" t="n">
        <v>190986143</v>
      </c>
      <c r="AL9" s="109" t="n">
        <v>200624780</v>
      </c>
      <c r="AM9" s="109" t="n">
        <v>193388919</v>
      </c>
      <c r="AN9" s="91" t="n"/>
    </row>
    <row r="10">
      <c r="B10" s="91" t="n"/>
      <c r="C10" s="108">
        <f>IFERROR(IF(LANG="EN",INDEX(I18N_EN,MATCH("kpi.rec.aged_30_60",I18N_KEY,0)),INDEX(I18N_FR,MATCH("kpi.rec.aged_30_60",I18N_KEY,0))),"kpi.rec.aged_30_60")</f>
        <v/>
      </c>
      <c r="D10" s="109" t="n">
        <v>108550253</v>
      </c>
      <c r="E10" s="109" t="n">
        <v>110765082</v>
      </c>
      <c r="F10" s="109" t="n">
        <v>109193395</v>
      </c>
      <c r="G10" s="109" t="n">
        <v>108751138</v>
      </c>
      <c r="H10" s="109" t="n">
        <v>110039028</v>
      </c>
      <c r="I10" s="109" t="n">
        <v>108454050</v>
      </c>
      <c r="J10" s="109" t="n">
        <v>110466456</v>
      </c>
      <c r="K10" s="109" t="n">
        <v>111915539</v>
      </c>
      <c r="L10" s="109" t="n">
        <v>115012160</v>
      </c>
      <c r="M10" s="109" t="n">
        <v>110822489</v>
      </c>
      <c r="N10" s="109" t="n">
        <v>108008822</v>
      </c>
      <c r="O10" s="109" t="n">
        <v>111232712</v>
      </c>
      <c r="P10" s="109" t="n">
        <v>111258396</v>
      </c>
      <c r="Q10" s="109" t="n">
        <v>111185637</v>
      </c>
      <c r="R10" s="109" t="n">
        <v>110171341</v>
      </c>
      <c r="S10" s="109" t="n">
        <v>115893686</v>
      </c>
      <c r="T10" s="109" t="n">
        <v>114806144</v>
      </c>
      <c r="U10" s="109" t="n">
        <v>112493638</v>
      </c>
      <c r="V10" s="109" t="n">
        <v>110216198</v>
      </c>
      <c r="W10" s="109" t="n">
        <v>111780647</v>
      </c>
      <c r="X10" s="109" t="n">
        <v>109670201</v>
      </c>
      <c r="Y10" s="109" t="n">
        <v>110338015</v>
      </c>
      <c r="Z10" s="109" t="n">
        <v>110261812</v>
      </c>
      <c r="AA10" s="109" t="n">
        <v>121184138</v>
      </c>
      <c r="AB10" s="109" t="n">
        <v>108690120</v>
      </c>
      <c r="AC10" s="109" t="n">
        <v>116174718</v>
      </c>
      <c r="AD10" s="109" t="n">
        <v>123333770</v>
      </c>
      <c r="AE10" s="109" t="n">
        <v>123298529</v>
      </c>
      <c r="AF10" s="109" t="n">
        <v>109777540</v>
      </c>
      <c r="AG10" s="109" t="n">
        <v>117784632</v>
      </c>
      <c r="AH10" s="109" t="n">
        <v>112556017</v>
      </c>
      <c r="AI10" s="109" t="n">
        <v>113152872</v>
      </c>
      <c r="AJ10" s="109" t="n">
        <v>117709844</v>
      </c>
      <c r="AK10" s="109" t="n">
        <v>117658869</v>
      </c>
      <c r="AL10" s="109" t="n">
        <v>118197095</v>
      </c>
      <c r="AM10" s="109" t="n">
        <v>110581346</v>
      </c>
      <c r="AN10" s="91" t="n"/>
    </row>
    <row r="11">
      <c r="B11" s="91" t="n"/>
      <c r="C11" s="108">
        <f>IFERROR(IF(LANG="EN",INDEX(I18N_EN,MATCH("kpi.rec.aged_60_90",I18N_KEY,0)),INDEX(I18N_FR,MATCH("kpi.rec.aged_60_90",I18N_KEY,0))),"kpi.rec.aged_60_90")</f>
        <v/>
      </c>
      <c r="D11" s="109" t="n">
        <v>70386245</v>
      </c>
      <c r="E11" s="109" t="n">
        <v>69678240</v>
      </c>
      <c r="F11" s="109" t="n">
        <v>69255412</v>
      </c>
      <c r="G11" s="109" t="n">
        <v>69239427</v>
      </c>
      <c r="H11" s="109" t="n">
        <v>71682043</v>
      </c>
      <c r="I11" s="109" t="n">
        <v>71531905</v>
      </c>
      <c r="J11" s="109" t="n">
        <v>71445015</v>
      </c>
      <c r="K11" s="109" t="n">
        <v>71157436</v>
      </c>
      <c r="L11" s="109" t="n">
        <v>70636251</v>
      </c>
      <c r="M11" s="109" t="n">
        <v>71219063</v>
      </c>
      <c r="N11" s="109" t="n">
        <v>71394960</v>
      </c>
      <c r="O11" s="109" t="n">
        <v>73304392</v>
      </c>
      <c r="P11" s="109" t="n">
        <v>72273684</v>
      </c>
      <c r="Q11" s="109" t="n">
        <v>72379882</v>
      </c>
      <c r="R11" s="109" t="n">
        <v>75142036</v>
      </c>
      <c r="S11" s="109" t="n">
        <v>70869042</v>
      </c>
      <c r="T11" s="109" t="n">
        <v>75688264</v>
      </c>
      <c r="U11" s="109" t="n">
        <v>75651951</v>
      </c>
      <c r="V11" s="109" t="n">
        <v>68457017</v>
      </c>
      <c r="W11" s="109" t="n">
        <v>70267868</v>
      </c>
      <c r="X11" s="109" t="n">
        <v>71645972</v>
      </c>
      <c r="Y11" s="109" t="n">
        <v>72446679</v>
      </c>
      <c r="Z11" s="109" t="n">
        <v>77042300</v>
      </c>
      <c r="AA11" s="109" t="n">
        <v>71145663</v>
      </c>
      <c r="AB11" s="109" t="n">
        <v>67736393</v>
      </c>
      <c r="AC11" s="109" t="n">
        <v>71409486</v>
      </c>
      <c r="AD11" s="109" t="n">
        <v>69999000</v>
      </c>
      <c r="AE11" s="109" t="n">
        <v>76030078</v>
      </c>
      <c r="AF11" s="109" t="n">
        <v>74772953</v>
      </c>
      <c r="AG11" s="109" t="n">
        <v>78143019</v>
      </c>
      <c r="AH11" s="109" t="n">
        <v>76966664</v>
      </c>
      <c r="AI11" s="109" t="n">
        <v>68449465</v>
      </c>
      <c r="AJ11" s="109" t="n">
        <v>68158913</v>
      </c>
      <c r="AK11" s="109" t="n">
        <v>70266074</v>
      </c>
      <c r="AL11" s="109" t="n">
        <v>69406139</v>
      </c>
      <c r="AM11" s="109" t="n">
        <v>78323891</v>
      </c>
      <c r="AN11" s="91" t="n"/>
    </row>
    <row r="12">
      <c r="B12" s="91" t="n"/>
      <c r="C12" s="108">
        <f>IFERROR(IF(LANG="EN",INDEX(I18N_EN,MATCH("kpi.rec.aged_90p",I18N_KEY,0)),INDEX(I18N_FR,MATCH("kpi.rec.aged_90p",I18N_KEY,0))),"kpi.rec.aged_90p")</f>
        <v/>
      </c>
      <c r="D12" s="109" t="n">
        <v>60534918</v>
      </c>
      <c r="E12" s="109" t="n">
        <v>60287047</v>
      </c>
      <c r="F12" s="109" t="n">
        <v>59252711</v>
      </c>
      <c r="G12" s="109" t="n">
        <v>59400795</v>
      </c>
      <c r="H12" s="109" t="n">
        <v>60219192</v>
      </c>
      <c r="I12" s="109" t="n">
        <v>61594454</v>
      </c>
      <c r="J12" s="109" t="n">
        <v>59207238</v>
      </c>
      <c r="K12" s="109" t="n">
        <v>61106803</v>
      </c>
      <c r="L12" s="109" t="n">
        <v>60326024</v>
      </c>
      <c r="M12" s="109" t="n">
        <v>58808372</v>
      </c>
      <c r="N12" s="109" t="n">
        <v>61960293</v>
      </c>
      <c r="O12" s="109" t="n">
        <v>60743638</v>
      </c>
      <c r="P12" s="109" t="n">
        <v>60998592</v>
      </c>
      <c r="Q12" s="109" t="n">
        <v>61169866</v>
      </c>
      <c r="R12" s="109" t="n">
        <v>60599209</v>
      </c>
      <c r="S12" s="109" t="n">
        <v>62201183</v>
      </c>
      <c r="T12" s="109" t="n">
        <v>61568342</v>
      </c>
      <c r="U12" s="109" t="n">
        <v>59152089</v>
      </c>
      <c r="V12" s="109" t="n">
        <v>58952636</v>
      </c>
      <c r="W12" s="109" t="n">
        <v>61838800</v>
      </c>
      <c r="X12" s="109" t="n">
        <v>58900756</v>
      </c>
      <c r="Y12" s="109" t="n">
        <v>61025435</v>
      </c>
      <c r="Z12" s="109" t="n">
        <v>59863154</v>
      </c>
      <c r="AA12" s="109" t="n">
        <v>58770612</v>
      </c>
      <c r="AB12" s="109" t="n">
        <v>64485475</v>
      </c>
      <c r="AC12" s="109" t="n">
        <v>62152726</v>
      </c>
      <c r="AD12" s="109" t="n">
        <v>58195819</v>
      </c>
      <c r="AE12" s="109" t="n">
        <v>65691317</v>
      </c>
      <c r="AF12" s="109" t="n">
        <v>62160595</v>
      </c>
      <c r="AG12" s="109" t="n">
        <v>65117660</v>
      </c>
      <c r="AH12" s="109" t="n">
        <v>57521279</v>
      </c>
      <c r="AI12" s="109" t="n">
        <v>59206431</v>
      </c>
      <c r="AJ12" s="109" t="n">
        <v>66476497</v>
      </c>
      <c r="AK12" s="109" t="n">
        <v>66612596</v>
      </c>
      <c r="AL12" s="109" t="n">
        <v>62497468</v>
      </c>
      <c r="AM12" s="109" t="n">
        <v>67337932</v>
      </c>
      <c r="AN12" s="91" t="n"/>
    </row>
    <row r="13">
      <c r="B13" s="91" t="n"/>
      <c r="C13" s="108">
        <f>IFERROR(IF(LANG="EN",INDEX(I18N_EN,MATCH("kpi.rec.dso",I18N_KEY,0)),INDEX(I18N_FR,MATCH("kpi.rec.dso",I18N_KEY,0))),"kpi.rec.dso")</f>
        <v/>
      </c>
      <c r="D13" s="109" t="n">
        <v>51.83</v>
      </c>
      <c r="E13" s="109" t="n">
        <v>51.98</v>
      </c>
      <c r="F13" s="109" t="n">
        <v>53.21</v>
      </c>
      <c r="G13" s="109" t="n">
        <v>52.49</v>
      </c>
      <c r="H13" s="109" t="n">
        <v>52.57</v>
      </c>
      <c r="I13" s="109" t="n">
        <v>52.28</v>
      </c>
      <c r="J13" s="109" t="n">
        <v>51.95</v>
      </c>
      <c r="K13" s="109" t="n">
        <v>53.05</v>
      </c>
      <c r="L13" s="109" t="n">
        <v>50.9</v>
      </c>
      <c r="M13" s="109" t="n">
        <v>50.97</v>
      </c>
      <c r="N13" s="109" t="n">
        <v>53.35</v>
      </c>
      <c r="O13" s="109" t="n">
        <v>53.59</v>
      </c>
      <c r="P13" s="109" t="n">
        <v>51.67</v>
      </c>
      <c r="Q13" s="109" t="n">
        <v>53.01</v>
      </c>
      <c r="R13" s="109" t="n">
        <v>53.17</v>
      </c>
      <c r="S13" s="109" t="n">
        <v>54.33</v>
      </c>
      <c r="T13" s="109" t="n">
        <v>55.25</v>
      </c>
      <c r="U13" s="109" t="n">
        <v>50.2</v>
      </c>
      <c r="V13" s="109" t="n">
        <v>50.23</v>
      </c>
      <c r="W13" s="109" t="n">
        <v>54.39</v>
      </c>
      <c r="X13" s="109" t="n">
        <v>51.3</v>
      </c>
      <c r="Y13" s="109" t="n">
        <v>52.4</v>
      </c>
      <c r="Z13" s="109" t="n">
        <v>52.54</v>
      </c>
      <c r="AA13" s="109" t="n">
        <v>50.69</v>
      </c>
      <c r="AB13" s="109" t="n">
        <v>52.94</v>
      </c>
      <c r="AC13" s="109" t="n">
        <v>55.2</v>
      </c>
      <c r="AD13" s="109" t="n">
        <v>55.05</v>
      </c>
      <c r="AE13" s="109" t="n">
        <v>52.15</v>
      </c>
      <c r="AF13" s="109" t="n">
        <v>51.45</v>
      </c>
      <c r="AG13" s="109" t="n">
        <v>51.34</v>
      </c>
      <c r="AH13" s="109" t="n">
        <v>51.25</v>
      </c>
      <c r="AI13" s="109" t="n">
        <v>58.66</v>
      </c>
      <c r="AJ13" s="109" t="n">
        <v>55.42</v>
      </c>
      <c r="AK13" s="109" t="n">
        <v>55.39</v>
      </c>
      <c r="AL13" s="109" t="n">
        <v>59.34</v>
      </c>
      <c r="AM13" s="109" t="n">
        <v>57.2</v>
      </c>
      <c r="AN13" s="91" t="n"/>
    </row>
    <row r="14">
      <c r="B14" s="91" t="n"/>
      <c r="C14" s="108">
        <f>IFERROR(IF(LANG="EN",INDEX(I18N_EN,MATCH("kpi.rec.recovery",I18N_KEY,0)),INDEX(I18N_FR,MATCH("kpi.rec.recovery",I18N_KEY,0))),"kpi.rec.recovery")</f>
        <v/>
      </c>
      <c r="D14" s="110" t="n">
        <v>0.8479</v>
      </c>
      <c r="E14" s="110" t="n">
        <v>0.8694</v>
      </c>
      <c r="F14" s="110" t="n">
        <v>0.8742</v>
      </c>
      <c r="G14" s="110" t="n">
        <v>0.8679</v>
      </c>
      <c r="H14" s="110" t="n">
        <v>0.8852</v>
      </c>
      <c r="I14" s="110" t="n">
        <v>0.8838</v>
      </c>
      <c r="J14" s="110" t="n">
        <v>0.8565</v>
      </c>
      <c r="K14" s="110" t="n">
        <v>0.8495</v>
      </c>
      <c r="L14" s="110" t="n">
        <v>0.8901</v>
      </c>
      <c r="M14" s="110" t="n">
        <v>0.8724</v>
      </c>
      <c r="N14" s="110" t="n">
        <v>0.8727</v>
      </c>
      <c r="O14" s="110" t="n">
        <v>0.867</v>
      </c>
      <c r="P14" s="110" t="n">
        <v>0.8937</v>
      </c>
      <c r="Q14" s="110" t="n">
        <v>0.8651</v>
      </c>
      <c r="R14" s="110" t="n">
        <v>0.8947000000000001</v>
      </c>
      <c r="S14" s="110" t="n">
        <v>0.8895999999999999</v>
      </c>
      <c r="T14" s="110" t="n">
        <v>0.8822</v>
      </c>
      <c r="U14" s="110" t="n">
        <v>0.8554</v>
      </c>
      <c r="V14" s="110" t="n">
        <v>0.9098000000000001</v>
      </c>
      <c r="W14" s="110" t="n">
        <v>0.9293</v>
      </c>
      <c r="X14" s="110" t="n">
        <v>0.8629</v>
      </c>
      <c r="Y14" s="110" t="n">
        <v>0.8696</v>
      </c>
      <c r="Z14" s="110" t="n">
        <v>0.9021</v>
      </c>
      <c r="AA14" s="110" t="n">
        <v>0.8759</v>
      </c>
      <c r="AB14" s="110" t="n">
        <v>0.8647</v>
      </c>
      <c r="AC14" s="110" t="n">
        <v>0.8922</v>
      </c>
      <c r="AD14" s="110" t="n">
        <v>0.8572</v>
      </c>
      <c r="AE14" s="110" t="n">
        <v>0.9008</v>
      </c>
      <c r="AF14" s="110" t="n">
        <v>0.947</v>
      </c>
      <c r="AG14" s="110" t="n">
        <v>0.8855</v>
      </c>
      <c r="AH14" s="110" t="n">
        <v>0.8436</v>
      </c>
      <c r="AI14" s="110" t="n">
        <v>0.8766</v>
      </c>
      <c r="AJ14" s="110" t="n">
        <v>0.9089</v>
      </c>
      <c r="AK14" s="110" t="n">
        <v>0.8383</v>
      </c>
      <c r="AL14" s="110" t="n">
        <v>0.8932</v>
      </c>
      <c r="AM14" s="110" t="n">
        <v>0.9082</v>
      </c>
      <c r="AN14" s="91" t="n"/>
    </row>
    <row r="15">
      <c r="B15" s="91" t="n"/>
      <c r="C15" s="108">
        <f>IFERROR(IF(LANG="EN",INDEX(I18N_EN,MATCH("kpi.rec.collected",I18N_KEY,0)),INDEX(I18N_FR,MATCH("kpi.rec.collected",I18N_KEY,0))),"kpi.rec.collected")</f>
        <v/>
      </c>
      <c r="D15" s="109" t="n">
        <v>217864475</v>
      </c>
      <c r="E15" s="109" t="n">
        <v>224823845</v>
      </c>
      <c r="F15" s="109" t="n">
        <v>220902073</v>
      </c>
      <c r="G15" s="109" t="n">
        <v>222287409</v>
      </c>
      <c r="H15" s="109" t="n">
        <v>221532781</v>
      </c>
      <c r="I15" s="109" t="n">
        <v>225166703</v>
      </c>
      <c r="J15" s="109" t="n">
        <v>223451470</v>
      </c>
      <c r="K15" s="109" t="n">
        <v>214214491</v>
      </c>
      <c r="L15" s="109" t="n">
        <v>229918726</v>
      </c>
      <c r="M15" s="109" t="n">
        <v>227057992</v>
      </c>
      <c r="N15" s="109" t="n">
        <v>225055896</v>
      </c>
      <c r="O15" s="109" t="n">
        <v>221566342</v>
      </c>
      <c r="P15" s="109" t="n">
        <v>216416927</v>
      </c>
      <c r="Q15" s="109" t="n">
        <v>223050401</v>
      </c>
      <c r="R15" s="109" t="n">
        <v>228360254</v>
      </c>
      <c r="S15" s="109" t="n">
        <v>224290683</v>
      </c>
      <c r="T15" s="109" t="n">
        <v>215558895</v>
      </c>
      <c r="U15" s="109" t="n">
        <v>215169290</v>
      </c>
      <c r="V15" s="109" t="n">
        <v>224761666</v>
      </c>
      <c r="W15" s="109" t="n">
        <v>217193818</v>
      </c>
      <c r="X15" s="109" t="n">
        <v>233355676</v>
      </c>
      <c r="Y15" s="109" t="n">
        <v>233959761</v>
      </c>
      <c r="Z15" s="109" t="n">
        <v>212659779</v>
      </c>
      <c r="AA15" s="109" t="n">
        <v>218553820</v>
      </c>
      <c r="AB15" s="109" t="n">
        <v>235005783</v>
      </c>
      <c r="AC15" s="109" t="n">
        <v>223499599</v>
      </c>
      <c r="AD15" s="109" t="n">
        <v>225671887</v>
      </c>
      <c r="AE15" s="109" t="n">
        <v>242713168</v>
      </c>
      <c r="AF15" s="109" t="n">
        <v>238339496</v>
      </c>
      <c r="AG15" s="109" t="n">
        <v>237871379</v>
      </c>
      <c r="AH15" s="109" t="n">
        <v>235641471</v>
      </c>
      <c r="AI15" s="109" t="n">
        <v>225501376</v>
      </c>
      <c r="AJ15" s="109" t="n">
        <v>207883442</v>
      </c>
      <c r="AK15" s="109" t="n">
        <v>216737295</v>
      </c>
      <c r="AL15" s="109" t="n">
        <v>230363336</v>
      </c>
      <c r="AM15" s="109" t="n">
        <v>237047742</v>
      </c>
      <c r="AN15" s="91" t="n"/>
    </row>
    <row r="16">
      <c r="B16" s="91" t="n"/>
      <c r="C16" s="108">
        <f>IFERROR(IF(LANG="EN",INDEX(I18N_EN,MATCH("kpi.rec.billed",I18N_KEY,0)),INDEX(I18N_FR,MATCH("kpi.rec.billed",I18N_KEY,0))),"kpi.rec.billed")</f>
        <v/>
      </c>
      <c r="D16" s="109" t="n">
        <v>255287224</v>
      </c>
      <c r="E16" s="109" t="n">
        <v>251754172</v>
      </c>
      <c r="F16" s="109" t="n">
        <v>260754423</v>
      </c>
      <c r="G16" s="109" t="n">
        <v>251360691</v>
      </c>
      <c r="H16" s="109" t="n">
        <v>258317165</v>
      </c>
      <c r="I16" s="109" t="n">
        <v>260378500</v>
      </c>
      <c r="J16" s="109" t="n">
        <v>257475358</v>
      </c>
      <c r="K16" s="109" t="n">
        <v>260364730</v>
      </c>
      <c r="L16" s="109" t="n">
        <v>261501874</v>
      </c>
      <c r="M16" s="109" t="n">
        <v>260030749</v>
      </c>
      <c r="N16" s="109" t="n">
        <v>249035225</v>
      </c>
      <c r="O16" s="109" t="n">
        <v>258260719</v>
      </c>
      <c r="P16" s="109" t="n">
        <v>261477816</v>
      </c>
      <c r="Q16" s="109" t="n">
        <v>259155411</v>
      </c>
      <c r="R16" s="109" t="n">
        <v>257737467</v>
      </c>
      <c r="S16" s="109" t="n">
        <v>265371948</v>
      </c>
      <c r="T16" s="109" t="n">
        <v>267334785</v>
      </c>
      <c r="U16" s="109" t="n">
        <v>263088925</v>
      </c>
      <c r="V16" s="109" t="n">
        <v>260119976</v>
      </c>
      <c r="W16" s="109" t="n">
        <v>273460879</v>
      </c>
      <c r="X16" s="109" t="n">
        <v>265460068</v>
      </c>
      <c r="Y16" s="109" t="n">
        <v>260738183</v>
      </c>
      <c r="Z16" s="109" t="n">
        <v>261242334</v>
      </c>
      <c r="AA16" s="109" t="n">
        <v>277468008</v>
      </c>
      <c r="AB16" s="109" t="n">
        <v>271665896</v>
      </c>
      <c r="AC16" s="109" t="n">
        <v>250224454</v>
      </c>
      <c r="AD16" s="109" t="n">
        <v>277937169</v>
      </c>
      <c r="AE16" s="109" t="n">
        <v>244864949</v>
      </c>
      <c r="AF16" s="109" t="n">
        <v>275202217</v>
      </c>
      <c r="AG16" s="109" t="n">
        <v>273821551</v>
      </c>
      <c r="AH16" s="109" t="n">
        <v>243682217</v>
      </c>
      <c r="AI16" s="109" t="n">
        <v>256203183</v>
      </c>
      <c r="AJ16" s="109" t="n">
        <v>252173252</v>
      </c>
      <c r="AK16" s="109" t="n">
        <v>251467645</v>
      </c>
      <c r="AL16" s="109" t="n">
        <v>269159741</v>
      </c>
      <c r="AM16" s="109" t="n">
        <v>242099283</v>
      </c>
      <c r="AN16" s="91" t="n"/>
    </row>
    <row r="17">
      <c r="B17" s="91" t="n"/>
      <c r="C17" s="108">
        <f>IFERROR(IF(LANG="EN",INDEX(I18N_EN,MATCH("kpi.rec.dunning",I18N_KEY,0)),INDEX(I18N_FR,MATCH("kpi.rec.dunning",I18N_KEY,0))),"kpi.rec.dunning")</f>
        <v/>
      </c>
      <c r="D17" s="109" t="n">
        <v>321</v>
      </c>
      <c r="E17" s="109" t="n">
        <v>319</v>
      </c>
      <c r="F17" s="109" t="n">
        <v>319</v>
      </c>
      <c r="G17" s="109" t="n">
        <v>324</v>
      </c>
      <c r="H17" s="109" t="n">
        <v>331</v>
      </c>
      <c r="I17" s="109" t="n">
        <v>319</v>
      </c>
      <c r="J17" s="109" t="n">
        <v>317</v>
      </c>
      <c r="K17" s="109" t="n">
        <v>321</v>
      </c>
      <c r="L17" s="109" t="n">
        <v>316</v>
      </c>
      <c r="M17" s="109" t="n">
        <v>323</v>
      </c>
      <c r="N17" s="109" t="n">
        <v>314</v>
      </c>
      <c r="O17" s="109" t="n">
        <v>322</v>
      </c>
      <c r="P17" s="109" t="n">
        <v>324</v>
      </c>
      <c r="Q17" s="109" t="n">
        <v>314</v>
      </c>
      <c r="R17" s="109" t="n">
        <v>336</v>
      </c>
      <c r="S17" s="109" t="n">
        <v>334</v>
      </c>
      <c r="T17" s="109" t="n">
        <v>320</v>
      </c>
      <c r="U17" s="109" t="n">
        <v>342</v>
      </c>
      <c r="V17" s="109" t="n">
        <v>339</v>
      </c>
      <c r="W17" s="109" t="n">
        <v>328</v>
      </c>
      <c r="X17" s="109" t="n">
        <v>316</v>
      </c>
      <c r="Y17" s="109" t="n">
        <v>353</v>
      </c>
      <c r="Z17" s="109" t="n">
        <v>324</v>
      </c>
      <c r="AA17" s="109" t="n">
        <v>331</v>
      </c>
      <c r="AB17" s="109" t="n">
        <v>318</v>
      </c>
      <c r="AC17" s="109" t="n">
        <v>345</v>
      </c>
      <c r="AD17" s="109" t="n">
        <v>314</v>
      </c>
      <c r="AE17" s="109" t="n">
        <v>337</v>
      </c>
      <c r="AF17" s="109" t="n">
        <v>343</v>
      </c>
      <c r="AG17" s="109" t="n">
        <v>357</v>
      </c>
      <c r="AH17" s="109" t="n">
        <v>344</v>
      </c>
      <c r="AI17" s="109" t="n">
        <v>325</v>
      </c>
      <c r="AJ17" s="109" t="n">
        <v>357</v>
      </c>
      <c r="AK17" s="109" t="n">
        <v>330</v>
      </c>
      <c r="AL17" s="109" t="n">
        <v>341</v>
      </c>
      <c r="AM17" s="109" t="n">
        <v>349</v>
      </c>
      <c r="AN17" s="91" t="n"/>
    </row>
    <row r="18">
      <c r="B18" s="91" t="n"/>
      <c r="C18" s="108">
        <f>IFERROR(IF(LANG="EN",INDEX(I18N_EN,MATCH("kpi.rec.promises",I18N_KEY,0)),INDEX(I18N_FR,MATCH("kpi.rec.promises",I18N_KEY,0))),"kpi.rec.promises")</f>
        <v/>
      </c>
      <c r="D18" s="109" t="n">
        <v>93381068</v>
      </c>
      <c r="E18" s="109" t="n">
        <v>95323186</v>
      </c>
      <c r="F18" s="109" t="n">
        <v>95188859</v>
      </c>
      <c r="G18" s="109" t="n">
        <v>96820275</v>
      </c>
      <c r="H18" s="109" t="n">
        <v>96742369</v>
      </c>
      <c r="I18" s="109" t="n">
        <v>96800200</v>
      </c>
      <c r="J18" s="109" t="n">
        <v>96459579</v>
      </c>
      <c r="K18" s="109" t="n">
        <v>95394957</v>
      </c>
      <c r="L18" s="109" t="n">
        <v>96219189</v>
      </c>
      <c r="M18" s="109" t="n">
        <v>95207955</v>
      </c>
      <c r="N18" s="109" t="n">
        <v>99656838</v>
      </c>
      <c r="O18" s="109" t="n">
        <v>96853626</v>
      </c>
      <c r="P18" s="109" t="n">
        <v>99398115</v>
      </c>
      <c r="Q18" s="109" t="n">
        <v>92393357</v>
      </c>
      <c r="R18" s="109" t="n">
        <v>97052571</v>
      </c>
      <c r="S18" s="109" t="n">
        <v>97977258</v>
      </c>
      <c r="T18" s="109" t="n">
        <v>96286786</v>
      </c>
      <c r="U18" s="109" t="n">
        <v>100157114</v>
      </c>
      <c r="V18" s="109" t="n">
        <v>96858285</v>
      </c>
      <c r="W18" s="109" t="n">
        <v>91172062</v>
      </c>
      <c r="X18" s="109" t="n">
        <v>98556585</v>
      </c>
      <c r="Y18" s="109" t="n">
        <v>95147760</v>
      </c>
      <c r="Z18" s="109" t="n">
        <v>92991475</v>
      </c>
      <c r="AA18" s="109" t="n">
        <v>96449820</v>
      </c>
      <c r="AB18" s="109" t="n">
        <v>97944111</v>
      </c>
      <c r="AC18" s="109" t="n">
        <v>98301381</v>
      </c>
      <c r="AD18" s="109" t="n">
        <v>95213612</v>
      </c>
      <c r="AE18" s="109" t="n">
        <v>101748049</v>
      </c>
      <c r="AF18" s="109" t="n">
        <v>104669822</v>
      </c>
      <c r="AG18" s="109" t="n">
        <v>100448939</v>
      </c>
      <c r="AH18" s="109" t="n">
        <v>105978963</v>
      </c>
      <c r="AI18" s="109" t="n">
        <v>92437172</v>
      </c>
      <c r="AJ18" s="109" t="n">
        <v>102124677</v>
      </c>
      <c r="AK18" s="109" t="n">
        <v>94314135</v>
      </c>
      <c r="AL18" s="109" t="n">
        <v>94323987</v>
      </c>
      <c r="AM18" s="109" t="n">
        <v>96671485</v>
      </c>
      <c r="AN18" s="91" t="n"/>
    </row>
    <row r="19">
      <c r="B19" s="91" t="n"/>
      <c r="C19" s="108">
        <f>IFERROR(IF(LANG="EN",INDEX(I18N_EN,MATCH("kpi.rec.promise_kept",I18N_KEY,0)),INDEX(I18N_FR,MATCH("kpi.rec.promise_kept",I18N_KEY,0))),"kpi.rec.promise_kept")</f>
        <v/>
      </c>
      <c r="D19" s="110" t="n">
        <v>0.7113</v>
      </c>
      <c r="E19" s="110" t="n">
        <v>0.7181999999999999</v>
      </c>
      <c r="F19" s="110" t="n">
        <v>0.7153</v>
      </c>
      <c r="G19" s="110" t="n">
        <v>0.7351</v>
      </c>
      <c r="H19" s="110" t="n">
        <v>0.7054</v>
      </c>
      <c r="I19" s="110" t="n">
        <v>0.7238</v>
      </c>
      <c r="J19" s="110" t="n">
        <v>0.7207</v>
      </c>
      <c r="K19" s="110" t="n">
        <v>0.7308</v>
      </c>
      <c r="L19" s="110" t="n">
        <v>0.7331</v>
      </c>
      <c r="M19" s="110" t="n">
        <v>0.7361</v>
      </c>
      <c r="N19" s="110" t="n">
        <v>0.7295</v>
      </c>
      <c r="O19" s="110" t="n">
        <v>0.7503</v>
      </c>
      <c r="P19" s="110" t="n">
        <v>0.7538</v>
      </c>
      <c r="Q19" s="110" t="n">
        <v>0.7258</v>
      </c>
      <c r="R19" s="110" t="n">
        <v>0.6999</v>
      </c>
      <c r="S19" s="110" t="n">
        <v>0.7062</v>
      </c>
      <c r="T19" s="110" t="n">
        <v>0.7212</v>
      </c>
      <c r="U19" s="110" t="n">
        <v>0.7359</v>
      </c>
      <c r="V19" s="110" t="n">
        <v>0.7083</v>
      </c>
      <c r="W19" s="110" t="n">
        <v>0.7189</v>
      </c>
      <c r="X19" s="110" t="n">
        <v>0.7607</v>
      </c>
      <c r="Y19" s="110" t="n">
        <v>0.7864</v>
      </c>
      <c r="Z19" s="110" t="n">
        <v>0.7313</v>
      </c>
      <c r="AA19" s="110" t="n">
        <v>0.7247</v>
      </c>
      <c r="AB19" s="110" t="n">
        <v>0.6965</v>
      </c>
      <c r="AC19" s="110" t="n">
        <v>0.6848</v>
      </c>
      <c r="AD19" s="110" t="n">
        <v>0.7938</v>
      </c>
      <c r="AE19" s="110" t="n">
        <v>0.7482</v>
      </c>
      <c r="AF19" s="110" t="n">
        <v>0.7675999999999999</v>
      </c>
      <c r="AG19" s="110" t="n">
        <v>0.7901</v>
      </c>
      <c r="AH19" s="110" t="n">
        <v>0.6858</v>
      </c>
      <c r="AI19" s="110" t="n">
        <v>0.7792</v>
      </c>
      <c r="AJ19" s="110" t="n">
        <v>0.7244</v>
      </c>
      <c r="AK19" s="110" t="n">
        <v>0.7077</v>
      </c>
      <c r="AL19" s="110" t="n">
        <v>0.7966</v>
      </c>
      <c r="AM19" s="110" t="n">
        <v>0.752</v>
      </c>
      <c r="AN19" s="91" t="n"/>
    </row>
    <row r="20">
      <c r="B20" s="91" t="n"/>
      <c r="C20" s="108">
        <f>IFERROR(IF(LANG="EN",INDEX(I18N_EN,MATCH("kpi.rec.collected_dun",I18N_KEY,0)),INDEX(I18N_FR,MATCH("kpi.rec.collected_dun",I18N_KEY,0))),"kpi.rec.collected_dun")</f>
        <v/>
      </c>
      <c r="D20" s="109" t="n">
        <v>60660271</v>
      </c>
      <c r="E20" s="109" t="n">
        <v>59877022</v>
      </c>
      <c r="F20" s="109" t="n">
        <v>59292513</v>
      </c>
      <c r="G20" s="109" t="n">
        <v>60593628</v>
      </c>
      <c r="H20" s="109" t="n">
        <v>60060349</v>
      </c>
      <c r="I20" s="109" t="n">
        <v>61597636</v>
      </c>
      <c r="J20" s="109" t="n">
        <v>61296495</v>
      </c>
      <c r="K20" s="109" t="n">
        <v>60115942</v>
      </c>
      <c r="L20" s="109" t="n">
        <v>61408223</v>
      </c>
      <c r="M20" s="109" t="n">
        <v>62957157</v>
      </c>
      <c r="N20" s="109" t="n">
        <v>60700930</v>
      </c>
      <c r="O20" s="109" t="n">
        <v>60915970</v>
      </c>
      <c r="P20" s="109" t="n">
        <v>62214323</v>
      </c>
      <c r="Q20" s="109" t="n">
        <v>58759682</v>
      </c>
      <c r="R20" s="109" t="n">
        <v>59088437</v>
      </c>
      <c r="S20" s="109" t="n">
        <v>58661512</v>
      </c>
      <c r="T20" s="109" t="n">
        <v>60263568</v>
      </c>
      <c r="U20" s="109" t="n">
        <v>60919024</v>
      </c>
      <c r="V20" s="109" t="n">
        <v>59684366</v>
      </c>
      <c r="W20" s="109" t="n">
        <v>65125967</v>
      </c>
      <c r="X20" s="109" t="n">
        <v>61972307</v>
      </c>
      <c r="Y20" s="109" t="n">
        <v>65817617</v>
      </c>
      <c r="Z20" s="109" t="n">
        <v>66226394</v>
      </c>
      <c r="AA20" s="109" t="n">
        <v>63970393</v>
      </c>
      <c r="AB20" s="109" t="n">
        <v>64468674</v>
      </c>
      <c r="AC20" s="109" t="n">
        <v>64743169</v>
      </c>
      <c r="AD20" s="109" t="n">
        <v>64982385</v>
      </c>
      <c r="AE20" s="109" t="n">
        <v>62402525</v>
      </c>
      <c r="AF20" s="109" t="n">
        <v>59973825</v>
      </c>
      <c r="AG20" s="109" t="n">
        <v>62329081</v>
      </c>
      <c r="AH20" s="109" t="n">
        <v>65504714</v>
      </c>
      <c r="AI20" s="109" t="n">
        <v>62290833</v>
      </c>
      <c r="AJ20" s="109" t="n">
        <v>67215858</v>
      </c>
      <c r="AK20" s="109" t="n">
        <v>67508369</v>
      </c>
      <c r="AL20" s="109" t="n">
        <v>57772468</v>
      </c>
      <c r="AM20" s="109" t="n">
        <v>66346925</v>
      </c>
      <c r="AN20" s="91" t="n"/>
    </row>
    <row r="21">
      <c r="B21" s="91" t="n"/>
      <c r="C21" s="108">
        <f>IFERROR(IF(LANG="EN",INDEX(I18N_EN,MATCH("kpi.rec.provision",I18N_KEY,0)),INDEX(I18N_FR,MATCH("kpi.rec.provision",I18N_KEY,0))),"kpi.rec.provision")</f>
        <v/>
      </c>
      <c r="D21" s="110" t="n">
        <v>0.0906</v>
      </c>
      <c r="E21" s="110" t="n">
        <v>0.0885</v>
      </c>
      <c r="F21" s="110" t="n">
        <v>0.0893</v>
      </c>
      <c r="G21" s="110" t="n">
        <v>0.0892</v>
      </c>
      <c r="H21" s="110" t="n">
        <v>0.0912</v>
      </c>
      <c r="I21" s="110" t="n">
        <v>0.0905</v>
      </c>
      <c r="J21" s="110" t="n">
        <v>0.09089999999999999</v>
      </c>
      <c r="K21" s="110" t="n">
        <v>0.091</v>
      </c>
      <c r="L21" s="110" t="n">
        <v>0.0877</v>
      </c>
      <c r="M21" s="110" t="n">
        <v>0.09229999999999999</v>
      </c>
      <c r="N21" s="110" t="n">
        <v>0.0906</v>
      </c>
      <c r="O21" s="110" t="n">
        <v>0.0893</v>
      </c>
      <c r="P21" s="110" t="n">
        <v>0.09329999999999999</v>
      </c>
      <c r="Q21" s="110" t="n">
        <v>0.0916</v>
      </c>
      <c r="R21" s="110" t="n">
        <v>0.0917</v>
      </c>
      <c r="S21" s="110" t="n">
        <v>0.0945</v>
      </c>
      <c r="T21" s="110" t="n">
        <v>0.0924</v>
      </c>
      <c r="U21" s="110" t="n">
        <v>0.0925</v>
      </c>
      <c r="V21" s="110" t="n">
        <v>0.0888</v>
      </c>
      <c r="W21" s="110" t="n">
        <v>0.09130000000000001</v>
      </c>
      <c r="X21" s="110" t="n">
        <v>0.09039999999999999</v>
      </c>
      <c r="Y21" s="110" t="n">
        <v>0.0931</v>
      </c>
      <c r="Z21" s="110" t="n">
        <v>0.0912</v>
      </c>
      <c r="AA21" s="110" t="n">
        <v>0.09039999999999999</v>
      </c>
      <c r="AB21" s="110" t="n">
        <v>0.0877</v>
      </c>
      <c r="AC21" s="110" t="n">
        <v>0.099</v>
      </c>
      <c r="AD21" s="110" t="n">
        <v>0.091</v>
      </c>
      <c r="AE21" s="110" t="n">
        <v>0.0871</v>
      </c>
      <c r="AF21" s="110" t="n">
        <v>0.0955</v>
      </c>
      <c r="AG21" s="110" t="n">
        <v>0.09229999999999999</v>
      </c>
      <c r="AH21" s="110" t="n">
        <v>0.0892</v>
      </c>
      <c r="AI21" s="110" t="n">
        <v>0.09669999999999999</v>
      </c>
      <c r="AJ21" s="110" t="n">
        <v>0.1009</v>
      </c>
      <c r="AK21" s="110" t="n">
        <v>0.093</v>
      </c>
      <c r="AL21" s="110" t="n">
        <v>0.0968</v>
      </c>
      <c r="AM21" s="110" t="n">
        <v>0.099</v>
      </c>
      <c r="AN21" s="91" t="n"/>
    </row>
    <row r="22">
      <c r="B22" s="91" t="n"/>
      <c r="C22" s="108">
        <f>IFERROR(IF(LANG="EN",INDEX(I18N_EN,MATCH("kpi.rec.litige_count",I18N_KEY,0)),INDEX(I18N_FR,MATCH("kpi.rec.litige_count",I18N_KEY,0))),"kpi.rec.litige_count")</f>
        <v/>
      </c>
      <c r="D22" s="109" t="n">
        <v>14</v>
      </c>
      <c r="E22" s="109" t="n">
        <v>14</v>
      </c>
      <c r="F22" s="109" t="n">
        <v>14</v>
      </c>
      <c r="G22" s="109" t="n">
        <v>14</v>
      </c>
      <c r="H22" s="109" t="n">
        <v>14</v>
      </c>
      <c r="I22" s="109" t="n">
        <v>14</v>
      </c>
      <c r="J22" s="109" t="n">
        <v>14</v>
      </c>
      <c r="K22" s="109" t="n">
        <v>14</v>
      </c>
      <c r="L22" s="109" t="n">
        <v>14</v>
      </c>
      <c r="M22" s="109" t="n">
        <v>15</v>
      </c>
      <c r="N22" s="109" t="n">
        <v>14</v>
      </c>
      <c r="O22" s="109" t="n">
        <v>14</v>
      </c>
      <c r="P22" s="109" t="n">
        <v>14</v>
      </c>
      <c r="Q22" s="109" t="n">
        <v>14</v>
      </c>
      <c r="R22" s="109" t="n">
        <v>15</v>
      </c>
      <c r="S22" s="109" t="n">
        <v>14</v>
      </c>
      <c r="T22" s="109" t="n">
        <v>14</v>
      </c>
      <c r="U22" s="109" t="n">
        <v>15</v>
      </c>
      <c r="V22" s="109" t="n">
        <v>15</v>
      </c>
      <c r="W22" s="109" t="n">
        <v>15</v>
      </c>
      <c r="X22" s="109" t="n">
        <v>14</v>
      </c>
      <c r="Y22" s="109" t="n">
        <v>15</v>
      </c>
      <c r="Z22" s="109" t="n">
        <v>15</v>
      </c>
      <c r="AA22" s="109" t="n">
        <v>14</v>
      </c>
      <c r="AB22" s="109" t="n">
        <v>13</v>
      </c>
      <c r="AC22" s="109" t="n">
        <v>15</v>
      </c>
      <c r="AD22" s="109" t="n">
        <v>15</v>
      </c>
      <c r="AE22" s="109" t="n">
        <v>14</v>
      </c>
      <c r="AF22" s="109" t="n">
        <v>14</v>
      </c>
      <c r="AG22" s="109" t="n">
        <v>15</v>
      </c>
      <c r="AH22" s="109" t="n">
        <v>14</v>
      </c>
      <c r="AI22" s="109" t="n">
        <v>14</v>
      </c>
      <c r="AJ22" s="109" t="n">
        <v>15</v>
      </c>
      <c r="AK22" s="109" t="n">
        <v>15</v>
      </c>
      <c r="AL22" s="109" t="n">
        <v>15</v>
      </c>
      <c r="AM22" s="109" t="n">
        <v>15</v>
      </c>
      <c r="AN22" s="91" t="n"/>
    </row>
    <row r="23">
      <c r="B23" s="91" t="n"/>
      <c r="C23" s="108">
        <f>IFERROR(IF(LANG="EN",INDEX(I18N_EN,MATCH("kpi.rec.litige_amount",I18N_KEY,0)),INDEX(I18N_FR,MATCH("kpi.rec.litige_amount",I18N_KEY,0))),"kpi.rec.litige_amount")</f>
        <v/>
      </c>
      <c r="D23" s="109" t="n">
        <v>83496880</v>
      </c>
      <c r="E23" s="109" t="n">
        <v>84697690</v>
      </c>
      <c r="F23" s="109" t="n">
        <v>85567591</v>
      </c>
      <c r="G23" s="109" t="n">
        <v>85908152</v>
      </c>
      <c r="H23" s="109" t="n">
        <v>84659385</v>
      </c>
      <c r="I23" s="109" t="n">
        <v>86797143</v>
      </c>
      <c r="J23" s="109" t="n">
        <v>86289139</v>
      </c>
      <c r="K23" s="109" t="n">
        <v>86890374</v>
      </c>
      <c r="L23" s="109" t="n">
        <v>85696934</v>
      </c>
      <c r="M23" s="109" t="n">
        <v>85417832</v>
      </c>
      <c r="N23" s="109" t="n">
        <v>86404952</v>
      </c>
      <c r="O23" s="109" t="n">
        <v>86185739</v>
      </c>
      <c r="P23" s="109" t="n">
        <v>87471877</v>
      </c>
      <c r="Q23" s="109" t="n">
        <v>84546634</v>
      </c>
      <c r="R23" s="109" t="n">
        <v>85783269</v>
      </c>
      <c r="S23" s="109" t="n">
        <v>86019434</v>
      </c>
      <c r="T23" s="109" t="n">
        <v>87167239</v>
      </c>
      <c r="U23" s="109" t="n">
        <v>85139159</v>
      </c>
      <c r="V23" s="109" t="n">
        <v>83965271</v>
      </c>
      <c r="W23" s="109" t="n">
        <v>88439644</v>
      </c>
      <c r="X23" s="109" t="n">
        <v>85964028</v>
      </c>
      <c r="Y23" s="109" t="n">
        <v>90383346</v>
      </c>
      <c r="Z23" s="109" t="n">
        <v>86971843</v>
      </c>
      <c r="AA23" s="109" t="n">
        <v>85349747</v>
      </c>
      <c r="AB23" s="109" t="n">
        <v>92261282</v>
      </c>
      <c r="AC23" s="109" t="n">
        <v>93880486</v>
      </c>
      <c r="AD23" s="109" t="n">
        <v>86533019</v>
      </c>
      <c r="AE23" s="109" t="n">
        <v>87929315</v>
      </c>
      <c r="AF23" s="109" t="n">
        <v>83853924</v>
      </c>
      <c r="AG23" s="109" t="n">
        <v>86736780</v>
      </c>
      <c r="AH23" s="109" t="n">
        <v>93409483</v>
      </c>
      <c r="AI23" s="109" t="n">
        <v>94983554</v>
      </c>
      <c r="AJ23" s="109" t="n">
        <v>94477756</v>
      </c>
      <c r="AK23" s="109" t="n">
        <v>87707496</v>
      </c>
      <c r="AL23" s="109" t="n">
        <v>94236288</v>
      </c>
      <c r="AM23" s="109" t="n">
        <v>88479649</v>
      </c>
      <c r="AN23" s="91" t="n"/>
    </row>
    <row r="24">
      <c r="B24" s="91" t="n"/>
      <c r="C24" s="108">
        <f>IFERROR(IF(LANG="EN",INDEX(I18N_EN,MATCH("kpi.rec.litige_resolved",I18N_KEY,0)),INDEX(I18N_FR,MATCH("kpi.rec.litige_resolved",I18N_KEY,0))),"kpi.rec.litige_resolved")</f>
        <v/>
      </c>
      <c r="D24" s="110" t="n">
        <v>0.5514</v>
      </c>
      <c r="E24" s="110" t="n">
        <v>0.5528999999999999</v>
      </c>
      <c r="F24" s="110" t="n">
        <v>0.5534</v>
      </c>
      <c r="G24" s="110" t="n">
        <v>0.5583</v>
      </c>
      <c r="H24" s="110" t="n">
        <v>0.5581</v>
      </c>
      <c r="I24" s="110" t="n">
        <v>0.5524</v>
      </c>
      <c r="J24" s="110" t="n">
        <v>0.5434</v>
      </c>
      <c r="K24" s="110" t="n">
        <v>0.5462</v>
      </c>
      <c r="L24" s="110" t="n">
        <v>0.5731000000000001</v>
      </c>
      <c r="M24" s="110" t="n">
        <v>0.5589</v>
      </c>
      <c r="N24" s="110" t="n">
        <v>0.5705</v>
      </c>
      <c r="O24" s="110" t="n">
        <v>0.5578</v>
      </c>
      <c r="P24" s="110" t="n">
        <v>0.5548</v>
      </c>
      <c r="Q24" s="110" t="n">
        <v>0.5502</v>
      </c>
      <c r="R24" s="110" t="n">
        <v>0.5875</v>
      </c>
      <c r="S24" s="110" t="n">
        <v>0.5518999999999999</v>
      </c>
      <c r="T24" s="110" t="n">
        <v>0.583</v>
      </c>
      <c r="U24" s="110" t="n">
        <v>0.5713</v>
      </c>
      <c r="V24" s="110" t="n">
        <v>0.5819</v>
      </c>
      <c r="W24" s="110" t="n">
        <v>0.5327</v>
      </c>
      <c r="X24" s="110" t="n">
        <v>0.5765</v>
      </c>
      <c r="Y24" s="110" t="n">
        <v>0.5695</v>
      </c>
      <c r="Z24" s="110" t="n">
        <v>0.5936</v>
      </c>
      <c r="AA24" s="110" t="n">
        <v>0.5467</v>
      </c>
      <c r="AB24" s="110" t="n">
        <v>0.596</v>
      </c>
      <c r="AC24" s="110" t="n">
        <v>0.5841</v>
      </c>
      <c r="AD24" s="110" t="n">
        <v>0.5424</v>
      </c>
      <c r="AE24" s="110" t="n">
        <v>0.5521</v>
      </c>
      <c r="AF24" s="110" t="n">
        <v>0.5719</v>
      </c>
      <c r="AG24" s="110" t="n">
        <v>0.5414</v>
      </c>
      <c r="AH24" s="110" t="n">
        <v>0.5655</v>
      </c>
      <c r="AI24" s="110" t="n">
        <v>0.6132</v>
      </c>
      <c r="AJ24" s="110" t="n">
        <v>0.5507</v>
      </c>
      <c r="AK24" s="110" t="n">
        <v>0.529</v>
      </c>
      <c r="AL24" s="110" t="n">
        <v>0.6038</v>
      </c>
      <c r="AM24" s="110" t="n">
        <v>0.589</v>
      </c>
      <c r="AN24" s="91" t="n"/>
    </row>
    <row r="25">
      <c r="B25" s="91" t="n"/>
      <c r="C25" s="108">
        <f>IFERROR(IF(LANG="EN",INDEX(I18N_EN,MATCH("kpi.rec.litige_age",I18N_KEY,0)),INDEX(I18N_FR,MATCH("kpi.rec.litige_age",I18N_KEY,0))),"kpi.rec.litige_age")</f>
        <v/>
      </c>
      <c r="D25" s="109" t="n">
        <v>6.95</v>
      </c>
      <c r="E25" s="109" t="n">
        <v>6.92</v>
      </c>
      <c r="F25" s="109" t="n">
        <v>7.01</v>
      </c>
      <c r="G25" s="109" t="n">
        <v>6.98</v>
      </c>
      <c r="H25" s="109" t="n">
        <v>6.99</v>
      </c>
      <c r="I25" s="109" t="n">
        <v>7.02</v>
      </c>
      <c r="J25" s="109" t="n">
        <v>7.05</v>
      </c>
      <c r="K25" s="109" t="n">
        <v>7.14</v>
      </c>
      <c r="L25" s="109" t="n">
        <v>6.83</v>
      </c>
      <c r="M25" s="109" t="n">
        <v>7.34</v>
      </c>
      <c r="N25" s="109" t="n">
        <v>7.04</v>
      </c>
      <c r="O25" s="109" t="n">
        <v>7.09</v>
      </c>
      <c r="P25" s="109" t="n">
        <v>7.21</v>
      </c>
      <c r="Q25" s="109" t="n">
        <v>7.09</v>
      </c>
      <c r="R25" s="109" t="n">
        <v>6.75</v>
      </c>
      <c r="S25" s="109" t="n">
        <v>7.38</v>
      </c>
      <c r="T25" s="109" t="n">
        <v>7.04</v>
      </c>
      <c r="U25" s="109" t="n">
        <v>7.35</v>
      </c>
      <c r="V25" s="109" t="n">
        <v>6.84</v>
      </c>
      <c r="W25" s="109" t="n">
        <v>6.96</v>
      </c>
      <c r="X25" s="109" t="n">
        <v>7.43</v>
      </c>
      <c r="Y25" s="109" t="n">
        <v>6.87</v>
      </c>
      <c r="Z25" s="109" t="n">
        <v>6.85</v>
      </c>
      <c r="AA25" s="109" t="n">
        <v>6.88</v>
      </c>
      <c r="AB25" s="109" t="n">
        <v>7.48</v>
      </c>
      <c r="AC25" s="109" t="n">
        <v>7.3</v>
      </c>
      <c r="AD25" s="109" t="n">
        <v>7.02</v>
      </c>
      <c r="AE25" s="109" t="n">
        <v>7.2</v>
      </c>
      <c r="AF25" s="109" t="n">
        <v>6.93</v>
      </c>
      <c r="AG25" s="109" t="n">
        <v>7.05</v>
      </c>
      <c r="AH25" s="109" t="n">
        <v>7.37</v>
      </c>
      <c r="AI25" s="109" t="n">
        <v>7.77</v>
      </c>
      <c r="AJ25" s="109" t="n">
        <v>8.029999999999999</v>
      </c>
      <c r="AK25" s="109" t="n">
        <v>7.16</v>
      </c>
      <c r="AL25" s="109" t="n">
        <v>7.43</v>
      </c>
      <c r="AM25" s="109" t="n">
        <v>7.32</v>
      </c>
      <c r="AN25" s="91" t="n"/>
    </row>
    <row r="26">
      <c r="B26" s="91" t="n"/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  <c r="AB26" s="91" t="n"/>
      <c r="AC26" s="91" t="n"/>
      <c r="AD26" s="91" t="n"/>
      <c r="AE26" s="91" t="n"/>
      <c r="AF26" s="91" t="n"/>
      <c r="AG26" s="91" t="n"/>
      <c r="AH26" s="91" t="n"/>
      <c r="AI26" s="91" t="n"/>
      <c r="AJ26" s="91" t="n"/>
      <c r="AK26" s="91" t="n"/>
      <c r="AL26" s="91" t="n"/>
      <c r="AM26" s="91" t="n"/>
      <c r="AN26" s="91" t="n"/>
    </row>
    <row r="27">
      <c r="B27" s="91" t="n"/>
      <c r="C27" s="99" t="inlineStr">
        <is>
          <t>💬 Commentaires (KPI × mois)</t>
        </is>
      </c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  <c r="AK27" s="91" t="n"/>
      <c r="AL27" s="91" t="n"/>
      <c r="AM27" s="91" t="n"/>
      <c r="AN27" s="91" t="n"/>
    </row>
    <row r="28">
      <c r="B28" s="91" t="n"/>
      <c r="C28" s="111">
        <f>IFERROR(IF(LANG="EN",INDEX(I18N_EN,MATCH("kpi.rec.ar",I18N_KEY,0)),INDEX(I18N_FR,MATCH("kpi.rec.ar",I18N_KEY,0))),"kpi.rec.ar")</f>
        <v/>
      </c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91" t="n"/>
    </row>
    <row r="29">
      <c r="B29" s="91" t="n"/>
      <c r="C29" s="111">
        <f>IFERROR(IF(LANG="EN",INDEX(I18N_EN,MATCH("kpi.rec.aged_0_30",I18N_KEY,0)),INDEX(I18N_FR,MATCH("kpi.rec.aged_0_30",I18N_KEY,0))),"kpi.rec.aged_0_30")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111">
        <f>IFERROR(IF(LANG="EN",INDEX(I18N_EN,MATCH("kpi.rec.aged_30_60",I18N_KEY,0)),INDEX(I18N_FR,MATCH("kpi.rec.aged_30_60",I18N_KEY,0))),"kpi.rec.aged_30_60")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IFERROR(IF(LANG="EN",INDEX(I18N_EN,MATCH("kpi.rec.aged_60_90",I18N_KEY,0)),INDEX(I18N_FR,MATCH("kpi.rec.aged_60_90",I18N_KEY,0))),"kpi.rec.aged_60_90")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IFERROR(IF(LANG="EN",INDEX(I18N_EN,MATCH("kpi.rec.aged_90p",I18N_KEY,0)),INDEX(I18N_FR,MATCH("kpi.rec.aged_90p",I18N_KEY,0))),"kpi.rec.aged_90p")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IFERROR(IF(LANG="EN",INDEX(I18N_EN,MATCH("kpi.rec.dso",I18N_KEY,0)),INDEX(I18N_FR,MATCH("kpi.rec.dso",I18N_KEY,0))),"kpi.rec.dso")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111">
        <f>IFERROR(IF(LANG="EN",INDEX(I18N_EN,MATCH("kpi.rec.recovery",I18N_KEY,0)),INDEX(I18N_FR,MATCH("kpi.rec.recovery",I18N_KEY,0))),"kpi.rec.recovery")</f>
        <v/>
      </c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91" t="n"/>
    </row>
    <row r="35">
      <c r="B35" s="91" t="n"/>
      <c r="C35" s="111">
        <f>IFERROR(IF(LANG="EN",INDEX(I18N_EN,MATCH("kpi.rec.collected",I18N_KEY,0)),INDEX(I18N_FR,MATCH("kpi.rec.collected",I18N_KEY,0))),"kpi.rec.collected")</f>
        <v/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91" t="n"/>
    </row>
    <row r="36">
      <c r="B36" s="91" t="n"/>
      <c r="C36" s="111">
        <f>IFERROR(IF(LANG="EN",INDEX(I18N_EN,MATCH("kpi.rec.billed",I18N_KEY,0)),INDEX(I18N_FR,MATCH("kpi.rec.billed",I18N_KEY,0))),"kpi.rec.billed")</f>
        <v/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91" t="n"/>
    </row>
    <row r="37">
      <c r="B37" s="91" t="n"/>
      <c r="C37" s="111">
        <f>IFERROR(IF(LANG="EN",INDEX(I18N_EN,MATCH("kpi.rec.dunning",I18N_KEY,0)),INDEX(I18N_FR,MATCH("kpi.rec.dunning",I18N_KEY,0))),"kpi.rec.dunning")</f>
        <v/>
      </c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91" t="n"/>
    </row>
    <row r="38">
      <c r="B38" s="91" t="n"/>
      <c r="C38" s="111">
        <f>IFERROR(IF(LANG="EN",INDEX(I18N_EN,MATCH("kpi.rec.promises",I18N_KEY,0)),INDEX(I18N_FR,MATCH("kpi.rec.promises",I18N_KEY,0))),"kpi.rec.promises")</f>
        <v/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91" t="n"/>
    </row>
    <row r="39">
      <c r="B39" s="91" t="n"/>
      <c r="C39" s="111">
        <f>IFERROR(IF(LANG="EN",INDEX(I18N_EN,MATCH("kpi.rec.promise_kept",I18N_KEY,0)),INDEX(I18N_FR,MATCH("kpi.rec.promise_kept",I18N_KEY,0))),"kpi.rec.promise_kept")</f>
        <v/>
      </c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91" t="n"/>
    </row>
    <row r="40">
      <c r="B40" s="91" t="n"/>
      <c r="C40" s="111">
        <f>IFERROR(IF(LANG="EN",INDEX(I18N_EN,MATCH("kpi.rec.collected_dun",I18N_KEY,0)),INDEX(I18N_FR,MATCH("kpi.rec.collected_dun",I18N_KEY,0))),"kpi.rec.collected_dun")</f>
        <v/>
      </c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91" t="n"/>
    </row>
    <row r="41">
      <c r="B41" s="91" t="n"/>
      <c r="C41" s="111">
        <f>IFERROR(IF(LANG="EN",INDEX(I18N_EN,MATCH("kpi.rec.provision",I18N_KEY,0)),INDEX(I18N_FR,MATCH("kpi.rec.provision",I18N_KEY,0))),"kpi.rec.provision")</f>
        <v/>
      </c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91" t="n"/>
    </row>
    <row r="42">
      <c r="B42" s="91" t="n"/>
      <c r="C42" s="111">
        <f>IFERROR(IF(LANG="EN",INDEX(I18N_EN,MATCH("kpi.rec.litige_count",I18N_KEY,0)),INDEX(I18N_FR,MATCH("kpi.rec.litige_count",I18N_KEY,0))),"kpi.rec.litige_count")</f>
        <v/>
      </c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91" t="n"/>
    </row>
    <row r="43">
      <c r="B43" s="91" t="n"/>
      <c r="C43" s="111">
        <f>IFERROR(IF(LANG="EN",INDEX(I18N_EN,MATCH("kpi.rec.litige_amount",I18N_KEY,0)),INDEX(I18N_FR,MATCH("kpi.rec.litige_amount",I18N_KEY,0))),"kpi.rec.litige_amount")</f>
        <v/>
      </c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91" t="n"/>
    </row>
    <row r="44">
      <c r="B44" s="91" t="n"/>
      <c r="C44" s="111">
        <f>IFERROR(IF(LANG="EN",INDEX(I18N_EN,MATCH("kpi.rec.litige_resolved",I18N_KEY,0)),INDEX(I18N_FR,MATCH("kpi.rec.litige_resolved",I18N_KEY,0))),"kpi.rec.litige_resolved")</f>
        <v/>
      </c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91" t="n"/>
    </row>
    <row r="45">
      <c r="B45" s="91" t="n"/>
      <c r="C45" s="111">
        <f>IFERROR(IF(LANG="EN",INDEX(I18N_EN,MATCH("kpi.rec.litige_age",I18N_KEY,0)),INDEX(I18N_FR,MATCH("kpi.rec.litige_age",I18N_KEY,0))),"kpi.rec.litige_age")</f>
        <v/>
      </c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91" t="n"/>
    </row>
    <row r="46">
      <c r="B46" s="91" t="n"/>
      <c r="C46" s="91" t="n"/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  <c r="AB46" s="91" t="n"/>
      <c r="AC46" s="91" t="n"/>
      <c r="AD46" s="91" t="n"/>
      <c r="AE46" s="91" t="n"/>
      <c r="AF46" s="91" t="n"/>
      <c r="AG46" s="91" t="n"/>
      <c r="AH46" s="91" t="n"/>
      <c r="AI46" s="91" t="n"/>
      <c r="AJ46" s="91" t="n"/>
      <c r="AK46" s="91" t="n"/>
      <c r="AL46" s="91" t="n"/>
      <c r="AM46" s="91" t="n"/>
      <c r="AN46" s="91" t="n"/>
    </row>
    <row r="47"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  <c r="AB47" s="91" t="n"/>
      <c r="AC47" s="91" t="n"/>
      <c r="AD47" s="91" t="n"/>
      <c r="AE47" s="91" t="n"/>
      <c r="AF47" s="91" t="n"/>
      <c r="AG47" s="91" t="n"/>
      <c r="AH47" s="91" t="n"/>
      <c r="AI47" s="91" t="n"/>
      <c r="AJ47" s="91" t="n"/>
      <c r="AK47" s="91" t="n"/>
      <c r="AL47" s="91" t="n"/>
      <c r="AM47" s="91" t="n"/>
      <c r="AN47" s="91" t="n"/>
    </row>
    <row r="48">
      <c r="B48" s="91" t="n"/>
      <c r="C48" s="91" t="n"/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  <c r="AB48" s="91" t="n"/>
      <c r="AC48" s="91" t="n"/>
      <c r="AD48" s="91" t="n"/>
      <c r="AE48" s="91" t="n"/>
      <c r="AF48" s="91" t="n"/>
      <c r="AG48" s="91" t="n"/>
      <c r="AH48" s="91" t="n"/>
      <c r="AI48" s="91" t="n"/>
      <c r="AJ48" s="91" t="n"/>
      <c r="AK48" s="91" t="n"/>
      <c r="AL48" s="91" t="n"/>
      <c r="AM48" s="91" t="n"/>
      <c r="AN48" s="91" t="n"/>
    </row>
    <row r="49"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  <c r="AB49" s="91" t="n"/>
      <c r="AC49" s="91" t="n"/>
      <c r="AD49" s="91" t="n"/>
      <c r="AE49" s="91" t="n"/>
      <c r="AF49" s="91" t="n"/>
      <c r="AG49" s="91" t="n"/>
      <c r="AH49" s="91" t="n"/>
      <c r="AI49" s="91" t="n"/>
      <c r="AJ49" s="91" t="n"/>
      <c r="AK49" s="91" t="n"/>
      <c r="AL49" s="91" t="n"/>
      <c r="AM49" s="91" t="n"/>
      <c r="AN49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25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34155"/>
    <outlinePr summaryBelow="1" summaryRight="1"/>
    <pageSetUpPr/>
  </sheetPr>
  <dimension ref="B1:AN2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"&amp;IFERROR(IF(LANG="EN",INDEX(I18N_EN,MATCH("dept.foot",I18N_KEY,0)),INDEX(I18N_FR,MATCH("dept.foot",I18N_KEY,0))),"dept.foot")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IFERROR(IF(LANG="EN",INDEX(I18N_EN,MATCH("kpi.foot.total",I18N_KEY,0)),INDEX(I18N_FR,MATCH("kpi.foot.total",I18N_KEY,0))),"kpi.foot.total")</f>
        <v/>
      </c>
      <c r="D8" s="109" t="n">
        <v>476522</v>
      </c>
      <c r="E8" s="109" t="n">
        <v>487514</v>
      </c>
      <c r="F8" s="109" t="n">
        <v>474424</v>
      </c>
      <c r="G8" s="109" t="n">
        <v>486667</v>
      </c>
      <c r="H8" s="109" t="n">
        <v>495263</v>
      </c>
      <c r="I8" s="109" t="n">
        <v>482251</v>
      </c>
      <c r="J8" s="109" t="n">
        <v>482213</v>
      </c>
      <c r="K8" s="109" t="n">
        <v>498884</v>
      </c>
      <c r="L8" s="109" t="n">
        <v>485272</v>
      </c>
      <c r="M8" s="109" t="n">
        <v>485898</v>
      </c>
      <c r="N8" s="109" t="n">
        <v>492226</v>
      </c>
      <c r="O8" s="109" t="n">
        <v>504406</v>
      </c>
      <c r="P8" s="109" t="n">
        <v>479344</v>
      </c>
      <c r="Q8" s="109" t="n">
        <v>503627</v>
      </c>
      <c r="R8" s="109" t="n">
        <v>496438</v>
      </c>
      <c r="S8" s="109" t="n">
        <v>507130</v>
      </c>
      <c r="T8" s="109" t="n">
        <v>494975</v>
      </c>
      <c r="U8" s="109" t="n">
        <v>486490</v>
      </c>
      <c r="V8" s="109" t="n">
        <v>511035</v>
      </c>
      <c r="W8" s="109" t="n">
        <v>482894</v>
      </c>
      <c r="X8" s="109" t="n">
        <v>466103</v>
      </c>
      <c r="Y8" s="109" t="n">
        <v>478711</v>
      </c>
      <c r="Z8" s="109" t="n">
        <v>472979</v>
      </c>
      <c r="AA8" s="109" t="n">
        <v>469843</v>
      </c>
      <c r="AB8" s="109" t="n">
        <v>518778</v>
      </c>
      <c r="AC8" s="109" t="n">
        <v>517364</v>
      </c>
      <c r="AD8" s="109" t="n">
        <v>465397</v>
      </c>
      <c r="AE8" s="109" t="n">
        <v>534681</v>
      </c>
      <c r="AF8" s="109" t="n">
        <v>532735</v>
      </c>
      <c r="AG8" s="109" t="n">
        <v>534093</v>
      </c>
      <c r="AH8" s="109" t="n">
        <v>534931</v>
      </c>
      <c r="AI8" s="109" t="n">
        <v>463527</v>
      </c>
      <c r="AJ8" s="109" t="n">
        <v>463458</v>
      </c>
      <c r="AK8" s="109" t="n">
        <v>548845</v>
      </c>
      <c r="AL8" s="109" t="n">
        <v>549139</v>
      </c>
      <c r="AM8" s="109" t="n">
        <v>481723</v>
      </c>
      <c r="AN8" s="91" t="n"/>
    </row>
    <row r="9">
      <c r="B9" s="91" t="n"/>
      <c r="C9" s="108">
        <f>IFERROR(IF(LANG="EN",INDEX(I18N_EN,MATCH("kpi.foot.vs_budget",I18N_KEY,0)),INDEX(I18N_FR,MATCH("kpi.foot.vs_budget",I18N_KEY,0))),"kpi.foot.vs_budget")</f>
        <v/>
      </c>
      <c r="D9" s="110" t="n">
        <v>0.9866</v>
      </c>
      <c r="E9" s="110" t="n">
        <v>0.9622000000000001</v>
      </c>
      <c r="F9" s="110" t="n">
        <v>0.9612000000000001</v>
      </c>
      <c r="G9" s="110" t="n">
        <v>0.9782999999999999</v>
      </c>
      <c r="H9" s="110" t="n">
        <v>0.9762</v>
      </c>
      <c r="I9" s="110" t="n">
        <v>1.0068</v>
      </c>
      <c r="J9" s="110" t="n">
        <v>0.9939</v>
      </c>
      <c r="K9" s="110" t="n">
        <v>0.9796</v>
      </c>
      <c r="L9" s="110" t="n">
        <v>1.002</v>
      </c>
      <c r="M9" s="110" t="n">
        <v>0.995</v>
      </c>
      <c r="N9" s="110" t="n">
        <v>1.0044</v>
      </c>
      <c r="O9" s="110" t="n">
        <v>0.9729</v>
      </c>
      <c r="P9" s="110" t="n">
        <v>0.9879</v>
      </c>
      <c r="Q9" s="110" t="n">
        <v>0.979</v>
      </c>
      <c r="R9" s="110" t="n">
        <v>0.9656</v>
      </c>
      <c r="S9" s="110" t="n">
        <v>1.0174</v>
      </c>
      <c r="T9" s="110" t="n">
        <v>0.9782999999999999</v>
      </c>
      <c r="U9" s="110" t="n">
        <v>0.9532</v>
      </c>
      <c r="V9" s="110" t="n">
        <v>0.9555</v>
      </c>
      <c r="W9" s="110" t="n">
        <v>0.9394</v>
      </c>
      <c r="X9" s="110" t="n">
        <v>1.0417</v>
      </c>
      <c r="Y9" s="110" t="n">
        <v>1.0436</v>
      </c>
      <c r="Z9" s="110" t="n">
        <v>0.9875</v>
      </c>
      <c r="AA9" s="110" t="n">
        <v>0.9503</v>
      </c>
      <c r="AB9" s="110" t="n">
        <v>1.0575</v>
      </c>
      <c r="AC9" s="110" t="n">
        <v>1.0175</v>
      </c>
      <c r="AD9" s="110" t="n">
        <v>0.958</v>
      </c>
      <c r="AE9" s="110" t="n">
        <v>0.9697</v>
      </c>
      <c r="AF9" s="110" t="n">
        <v>1.0624</v>
      </c>
      <c r="AG9" s="110" t="n">
        <v>0.9523</v>
      </c>
      <c r="AH9" s="110" t="n">
        <v>1.052</v>
      </c>
      <c r="AI9" s="110" t="n">
        <v>1.0656</v>
      </c>
      <c r="AJ9" s="110" t="n">
        <v>1.0354</v>
      </c>
      <c r="AK9" s="110" t="n">
        <v>0.9944</v>
      </c>
      <c r="AL9" s="110" t="n">
        <v>1.0875</v>
      </c>
      <c r="AM9" s="110" t="n">
        <v>1.0808</v>
      </c>
      <c r="AN9" s="91" t="n"/>
    </row>
    <row r="10">
      <c r="B10" s="91" t="n"/>
      <c r="C10" s="108">
        <f>IFERROR(IF(LANG="EN",INDEX(I18N_EN,MATCH("kpi.foot.per_sqm",I18N_KEY,0)),INDEX(I18N_FR,MATCH("kpi.foot.per_sqm",I18N_KEY,0))),"kpi.foot.per_sqm")</f>
        <v/>
      </c>
      <c r="D10" s="109" t="n">
        <v>11.86</v>
      </c>
      <c r="E10" s="109" t="n">
        <v>12.09</v>
      </c>
      <c r="F10" s="109" t="n">
        <v>12.18</v>
      </c>
      <c r="G10" s="109" t="n">
        <v>11.9</v>
      </c>
      <c r="H10" s="109" t="n">
        <v>11.78</v>
      </c>
      <c r="I10" s="109" t="n">
        <v>12.27</v>
      </c>
      <c r="J10" s="109" t="n">
        <v>11.89</v>
      </c>
      <c r="K10" s="109" t="n">
        <v>11.99</v>
      </c>
      <c r="L10" s="109" t="n">
        <v>12.27</v>
      </c>
      <c r="M10" s="109" t="n">
        <v>11.74</v>
      </c>
      <c r="N10" s="109" t="n">
        <v>11.85</v>
      </c>
      <c r="O10" s="109" t="n">
        <v>12.04</v>
      </c>
      <c r="P10" s="109" t="n">
        <v>12</v>
      </c>
      <c r="Q10" s="109" t="n">
        <v>12.29</v>
      </c>
      <c r="R10" s="109" t="n">
        <v>11.87</v>
      </c>
      <c r="S10" s="109" t="n">
        <v>12.12</v>
      </c>
      <c r="T10" s="109" t="n">
        <v>12.1</v>
      </c>
      <c r="U10" s="109" t="n">
        <v>12</v>
      </c>
      <c r="V10" s="109" t="n">
        <v>11.86</v>
      </c>
      <c r="W10" s="109" t="n">
        <v>11.88</v>
      </c>
      <c r="X10" s="109" t="n">
        <v>12.37</v>
      </c>
      <c r="Y10" s="109" t="n">
        <v>12.15</v>
      </c>
      <c r="Z10" s="109" t="n">
        <v>13.13</v>
      </c>
      <c r="AA10" s="109" t="n">
        <v>12.64</v>
      </c>
      <c r="AB10" s="109" t="n">
        <v>12.9</v>
      </c>
      <c r="AC10" s="109" t="n">
        <v>12.67</v>
      </c>
      <c r="AD10" s="109" t="n">
        <v>12.58</v>
      </c>
      <c r="AE10" s="109" t="n">
        <v>12.22</v>
      </c>
      <c r="AF10" s="109" t="n">
        <v>13.36</v>
      </c>
      <c r="AG10" s="109" t="n">
        <v>12.69</v>
      </c>
      <c r="AH10" s="109" t="n">
        <v>13.22</v>
      </c>
      <c r="AI10" s="109" t="n">
        <v>12.6</v>
      </c>
      <c r="AJ10" s="109" t="n">
        <v>12.96</v>
      </c>
      <c r="AK10" s="109" t="n">
        <v>13.89</v>
      </c>
      <c r="AL10" s="109" t="n">
        <v>13.12</v>
      </c>
      <c r="AM10" s="109" t="n">
        <v>12.65</v>
      </c>
      <c r="AN10" s="91" t="n"/>
    </row>
    <row r="11">
      <c r="B11" s="91" t="n"/>
      <c r="C11" s="108">
        <f>IFERROR(IF(LANG="EN",INDEX(I18N_EN,MATCH("kpi.foot.conversion",I18N_KEY,0)),INDEX(I18N_FR,MATCH("kpi.foot.conversion",I18N_KEY,0))),"kpi.foot.conversion")</f>
        <v/>
      </c>
      <c r="D11" s="110" t="n">
        <v>0.2244</v>
      </c>
      <c r="E11" s="110" t="n">
        <v>0.2234</v>
      </c>
      <c r="F11" s="110" t="n">
        <v>0.2236</v>
      </c>
      <c r="G11" s="110" t="n">
        <v>0.2187</v>
      </c>
      <c r="H11" s="110" t="n">
        <v>0.2198</v>
      </c>
      <c r="I11" s="110" t="n">
        <v>0.2185</v>
      </c>
      <c r="J11" s="110" t="n">
        <v>0.2249</v>
      </c>
      <c r="K11" s="110" t="n">
        <v>0.2258</v>
      </c>
      <c r="L11" s="110" t="n">
        <v>0.222</v>
      </c>
      <c r="M11" s="110" t="n">
        <v>0.2188</v>
      </c>
      <c r="N11" s="110" t="n">
        <v>0.2265</v>
      </c>
      <c r="O11" s="110" t="n">
        <v>0.2333</v>
      </c>
      <c r="P11" s="110" t="n">
        <v>0.2212</v>
      </c>
      <c r="Q11" s="110" t="n">
        <v>0.2209</v>
      </c>
      <c r="R11" s="110" t="n">
        <v>0.2209</v>
      </c>
      <c r="S11" s="110" t="n">
        <v>0.2224</v>
      </c>
      <c r="T11" s="110" t="n">
        <v>0.2231</v>
      </c>
      <c r="U11" s="110" t="n">
        <v>0.2174</v>
      </c>
      <c r="V11" s="110" t="n">
        <v>0.2298</v>
      </c>
      <c r="W11" s="110" t="n">
        <v>0.2184</v>
      </c>
      <c r="X11" s="110" t="n">
        <v>0.2197</v>
      </c>
      <c r="Y11" s="110" t="n">
        <v>0.2368</v>
      </c>
      <c r="Z11" s="110" t="n">
        <v>0.2337</v>
      </c>
      <c r="AA11" s="110" t="n">
        <v>0.2347</v>
      </c>
      <c r="AB11" s="110" t="n">
        <v>0.2208</v>
      </c>
      <c r="AC11" s="110" t="n">
        <v>0.2305</v>
      </c>
      <c r="AD11" s="110" t="n">
        <v>0.237</v>
      </c>
      <c r="AE11" s="110" t="n">
        <v>0.2441</v>
      </c>
      <c r="AF11" s="110" t="n">
        <v>0.2382</v>
      </c>
      <c r="AG11" s="110" t="n">
        <v>0.2274</v>
      </c>
      <c r="AH11" s="110" t="n">
        <v>0.2151</v>
      </c>
      <c r="AI11" s="110" t="n">
        <v>0.2445</v>
      </c>
      <c r="AJ11" s="110" t="n">
        <v>0.2437</v>
      </c>
      <c r="AK11" s="110" t="n">
        <v>0.2438</v>
      </c>
      <c r="AL11" s="110" t="n">
        <v>0.2144</v>
      </c>
      <c r="AM11" s="110" t="n">
        <v>0.2281</v>
      </c>
      <c r="AN11" s="91" t="n"/>
    </row>
    <row r="12">
      <c r="B12" s="91" t="n"/>
      <c r="C12" s="108">
        <f>IFERROR(IF(LANG="EN",INDEX(I18N_EN,MATCH("kpi.foot.dwell",I18N_KEY,0)),INDEX(I18N_FR,MATCH("kpi.foot.dwell",I18N_KEY,0))),"kpi.foot.dwell")</f>
        <v/>
      </c>
      <c r="D12" s="109" t="n">
        <v>47.71</v>
      </c>
      <c r="E12" s="109" t="n">
        <v>46.36</v>
      </c>
      <c r="F12" s="109" t="n">
        <v>47.95</v>
      </c>
      <c r="G12" s="109" t="n">
        <v>46.92</v>
      </c>
      <c r="H12" s="109" t="n">
        <v>48.1</v>
      </c>
      <c r="I12" s="109" t="n">
        <v>47.64</v>
      </c>
      <c r="J12" s="109" t="n">
        <v>47.67</v>
      </c>
      <c r="K12" s="109" t="n">
        <v>45.88</v>
      </c>
      <c r="L12" s="109" t="n">
        <v>47.44</v>
      </c>
      <c r="M12" s="109" t="n">
        <v>47.52</v>
      </c>
      <c r="N12" s="109" t="n">
        <v>47.62</v>
      </c>
      <c r="O12" s="109" t="n">
        <v>47.49</v>
      </c>
      <c r="P12" s="109" t="n">
        <v>48.96</v>
      </c>
      <c r="Q12" s="109" t="n">
        <v>46.91</v>
      </c>
      <c r="R12" s="109" t="n">
        <v>46.81</v>
      </c>
      <c r="S12" s="109" t="n">
        <v>50.55</v>
      </c>
      <c r="T12" s="109" t="n">
        <v>49.04</v>
      </c>
      <c r="U12" s="109" t="n">
        <v>46.92</v>
      </c>
      <c r="V12" s="109" t="n">
        <v>46.42</v>
      </c>
      <c r="W12" s="109" t="n">
        <v>48.72</v>
      </c>
      <c r="X12" s="109" t="n">
        <v>50.83</v>
      </c>
      <c r="Y12" s="109" t="n">
        <v>48.06</v>
      </c>
      <c r="Z12" s="109" t="n">
        <v>47.59</v>
      </c>
      <c r="AA12" s="109" t="n">
        <v>48.22</v>
      </c>
      <c r="AB12" s="109" t="n">
        <v>49.39</v>
      </c>
      <c r="AC12" s="109" t="n">
        <v>47.56</v>
      </c>
      <c r="AD12" s="109" t="n">
        <v>46.95</v>
      </c>
      <c r="AE12" s="109" t="n">
        <v>50.71</v>
      </c>
      <c r="AF12" s="109" t="n">
        <v>47.36</v>
      </c>
      <c r="AG12" s="109" t="n">
        <v>49.34</v>
      </c>
      <c r="AH12" s="109" t="n">
        <v>51.54</v>
      </c>
      <c r="AI12" s="109" t="n">
        <v>50.51</v>
      </c>
      <c r="AJ12" s="109" t="n">
        <v>46.68</v>
      </c>
      <c r="AK12" s="109" t="n">
        <v>46.27</v>
      </c>
      <c r="AL12" s="109" t="n">
        <v>51.25</v>
      </c>
      <c r="AM12" s="109" t="n">
        <v>47.5</v>
      </c>
      <c r="AN12" s="91" t="n"/>
    </row>
    <row r="13">
      <c r="B13" s="91" t="n"/>
      <c r="C13" s="108">
        <f>IFERROR(IF(LANG="EN",INDEX(I18N_EN,MATCH("kpi.foot.peak_share",I18N_KEY,0)),INDEX(I18N_FR,MATCH("kpi.foot.peak_share",I18N_KEY,0))),"kpi.foot.peak_share")</f>
        <v/>
      </c>
      <c r="D13" s="110" t="n">
        <v>0.1786</v>
      </c>
      <c r="E13" s="110" t="n">
        <v>0.1818</v>
      </c>
      <c r="F13" s="110" t="n">
        <v>0.1835</v>
      </c>
      <c r="G13" s="110" t="n">
        <v>0.1824</v>
      </c>
      <c r="H13" s="110" t="n">
        <v>0.183</v>
      </c>
      <c r="I13" s="110" t="n">
        <v>0.1835</v>
      </c>
      <c r="J13" s="110" t="n">
        <v>0.1829</v>
      </c>
      <c r="K13" s="110" t="n">
        <v>0.1804</v>
      </c>
      <c r="L13" s="110" t="n">
        <v>0.1797</v>
      </c>
      <c r="M13" s="110" t="n">
        <v>0.1807</v>
      </c>
      <c r="N13" s="110" t="n">
        <v>0.1829</v>
      </c>
      <c r="O13" s="110" t="n">
        <v>0.1853</v>
      </c>
      <c r="P13" s="110" t="n">
        <v>0.1893</v>
      </c>
      <c r="Q13" s="110" t="n">
        <v>0.1859</v>
      </c>
      <c r="R13" s="110" t="n">
        <v>0.1912</v>
      </c>
      <c r="S13" s="110" t="n">
        <v>0.176</v>
      </c>
      <c r="T13" s="110" t="n">
        <v>0.1763</v>
      </c>
      <c r="U13" s="110" t="n">
        <v>0.1917</v>
      </c>
      <c r="V13" s="110" t="n">
        <v>0.1801</v>
      </c>
      <c r="W13" s="110" t="n">
        <v>0.1787</v>
      </c>
      <c r="X13" s="110" t="n">
        <v>0.1839</v>
      </c>
      <c r="Y13" s="110" t="n">
        <v>0.1833</v>
      </c>
      <c r="Z13" s="110" t="n">
        <v>0.1801</v>
      </c>
      <c r="AA13" s="110" t="n">
        <v>0.1836</v>
      </c>
      <c r="AB13" s="110" t="n">
        <v>0.1881</v>
      </c>
      <c r="AC13" s="110" t="n">
        <v>0.1918</v>
      </c>
      <c r="AD13" s="110" t="n">
        <v>0.178</v>
      </c>
      <c r="AE13" s="110" t="n">
        <v>0.1896</v>
      </c>
      <c r="AF13" s="110" t="n">
        <v>0.1823</v>
      </c>
      <c r="AG13" s="110" t="n">
        <v>0.1767</v>
      </c>
      <c r="AH13" s="110" t="n">
        <v>0.1744</v>
      </c>
      <c r="AI13" s="110" t="n">
        <v>0.1856</v>
      </c>
      <c r="AJ13" s="110" t="n">
        <v>0.2013</v>
      </c>
      <c r="AK13" s="110" t="n">
        <v>0.1838</v>
      </c>
      <c r="AL13" s="110" t="n">
        <v>0.1984</v>
      </c>
      <c r="AM13" s="110" t="n">
        <v>0.1914</v>
      </c>
      <c r="AN13" s="91" t="n"/>
    </row>
    <row r="14">
      <c r="B14" s="91" t="n"/>
      <c r="C14" s="108">
        <f>IFERROR(IF(LANG="EN",INDEX(I18N_EN,MATCH("kpi.foot.weekend_share",I18N_KEY,0)),INDEX(I18N_FR,MATCH("kpi.foot.weekend_share",I18N_KEY,0))),"kpi.foot.weekend_share")</f>
        <v/>
      </c>
      <c r="D14" s="110" t="n">
        <v>0.4117</v>
      </c>
      <c r="E14" s="110" t="n">
        <v>0.4244</v>
      </c>
      <c r="F14" s="110" t="n">
        <v>0.4241</v>
      </c>
      <c r="G14" s="110" t="n">
        <v>0.4262</v>
      </c>
      <c r="H14" s="110" t="n">
        <v>0.4204</v>
      </c>
      <c r="I14" s="110" t="n">
        <v>0.423</v>
      </c>
      <c r="J14" s="110" t="n">
        <v>0.4283</v>
      </c>
      <c r="K14" s="110" t="n">
        <v>0.4114</v>
      </c>
      <c r="L14" s="110" t="n">
        <v>0.4142</v>
      </c>
      <c r="M14" s="110" t="n">
        <v>0.4272</v>
      </c>
      <c r="N14" s="110" t="n">
        <v>0.4215</v>
      </c>
      <c r="O14" s="110" t="n">
        <v>0.4257</v>
      </c>
      <c r="P14" s="110" t="n">
        <v>0.4302</v>
      </c>
      <c r="Q14" s="110" t="n">
        <v>0.4143</v>
      </c>
      <c r="R14" s="110" t="n">
        <v>0.4258</v>
      </c>
      <c r="S14" s="110" t="n">
        <v>0.4373</v>
      </c>
      <c r="T14" s="110" t="n">
        <v>0.4254</v>
      </c>
      <c r="U14" s="110" t="n">
        <v>0.4314</v>
      </c>
      <c r="V14" s="110" t="n">
        <v>0.4559</v>
      </c>
      <c r="W14" s="110" t="n">
        <v>0.431</v>
      </c>
      <c r="X14" s="110" t="n">
        <v>0.42</v>
      </c>
      <c r="Y14" s="110" t="n">
        <v>0.4622</v>
      </c>
      <c r="Z14" s="110" t="n">
        <v>0.4235</v>
      </c>
      <c r="AA14" s="110" t="n">
        <v>0.4401</v>
      </c>
      <c r="AB14" s="110" t="n">
        <v>0.4494</v>
      </c>
      <c r="AC14" s="110" t="n">
        <v>0.4129</v>
      </c>
      <c r="AD14" s="110" t="n">
        <v>0.4372</v>
      </c>
      <c r="AE14" s="110" t="n">
        <v>0.4565</v>
      </c>
      <c r="AF14" s="110" t="n">
        <v>0.4316</v>
      </c>
      <c r="AG14" s="110" t="n">
        <v>0.4746</v>
      </c>
      <c r="AH14" s="110" t="n">
        <v>0.441</v>
      </c>
      <c r="AI14" s="110" t="n">
        <v>0.4513</v>
      </c>
      <c r="AJ14" s="110" t="n">
        <v>0.4308</v>
      </c>
      <c r="AK14" s="110" t="n">
        <v>0.4319</v>
      </c>
      <c r="AL14" s="110" t="n">
        <v>0.4585</v>
      </c>
      <c r="AM14" s="110" t="n">
        <v>0.427</v>
      </c>
      <c r="AN14" s="91" t="n"/>
    </row>
    <row r="15">
      <c r="B15" s="91" t="n"/>
      <c r="C15" s="91" t="n"/>
      <c r="D15" s="91" t="n"/>
      <c r="E15" s="91" t="n"/>
      <c r="F15" s="91" t="n"/>
      <c r="G15" s="91" t="n"/>
      <c r="H15" s="91" t="n"/>
      <c r="I15" s="91" t="n"/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  <c r="T15" s="91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  <c r="AM15" s="91" t="n"/>
      <c r="AN15" s="91" t="n"/>
    </row>
    <row r="16">
      <c r="B16" s="91" t="n"/>
      <c r="C16" s="99" t="inlineStr">
        <is>
          <t>💬 Commentaires (KPI × mois)</t>
        </is>
      </c>
      <c r="D16" s="91" t="n"/>
      <c r="E16" s="91" t="n"/>
      <c r="F16" s="91" t="n"/>
      <c r="G16" s="91" t="n"/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  <c r="X16" s="91" t="n"/>
      <c r="Y16" s="91" t="n"/>
      <c r="Z16" s="91" t="n"/>
      <c r="AA16" s="91" t="n"/>
      <c r="AB16" s="91" t="n"/>
      <c r="AC16" s="91" t="n"/>
      <c r="AD16" s="91" t="n"/>
      <c r="AE16" s="91" t="n"/>
      <c r="AF16" s="91" t="n"/>
      <c r="AG16" s="91" t="n"/>
      <c r="AH16" s="91" t="n"/>
      <c r="AI16" s="91" t="n"/>
      <c r="AJ16" s="91" t="n"/>
      <c r="AK16" s="91" t="n"/>
      <c r="AL16" s="91" t="n"/>
      <c r="AM16" s="91" t="n"/>
      <c r="AN16" s="91" t="n"/>
    </row>
    <row r="17">
      <c r="B17" s="91" t="n"/>
      <c r="C17" s="111">
        <f>IFERROR(IF(LANG="EN",INDEX(I18N_EN,MATCH("kpi.foot.total",I18N_KEY,0)),INDEX(I18N_FR,MATCH("kpi.foot.total",I18N_KEY,0))),"kpi.foot.total")</f>
        <v/>
      </c>
      <c r="D17" s="112" t="n"/>
      <c r="E17" s="112" t="n"/>
      <c r="F17" s="112" t="n"/>
      <c r="G17" s="112" t="n"/>
      <c r="H17" s="112" t="n"/>
      <c r="I17" s="112" t="n"/>
      <c r="J17" s="112" t="n"/>
      <c r="K17" s="112" t="n"/>
      <c r="L17" s="112" t="n"/>
      <c r="M17" s="112" t="n"/>
      <c r="N17" s="112" t="n"/>
      <c r="O17" s="112" t="n"/>
      <c r="P17" s="112" t="n"/>
      <c r="Q17" s="112" t="n"/>
      <c r="R17" s="112" t="n"/>
      <c r="S17" s="112" t="n"/>
      <c r="T17" s="112" t="n"/>
      <c r="U17" s="112" t="n"/>
      <c r="V17" s="112" t="n"/>
      <c r="W17" s="112" t="n"/>
      <c r="X17" s="112" t="n"/>
      <c r="Y17" s="112" t="n"/>
      <c r="Z17" s="112" t="n"/>
      <c r="AA17" s="11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12" t="n"/>
      <c r="AK17" s="112" t="n"/>
      <c r="AL17" s="112" t="n"/>
      <c r="AM17" s="112" t="n"/>
      <c r="AN17" s="91" t="n"/>
    </row>
    <row r="18">
      <c r="B18" s="91" t="n"/>
      <c r="C18" s="111">
        <f>IFERROR(IF(LANG="EN",INDEX(I18N_EN,MATCH("kpi.foot.vs_budget",I18N_KEY,0)),INDEX(I18N_FR,MATCH("kpi.foot.vs_budget",I18N_KEY,0))),"kpi.foot.vs_budget")</f>
        <v/>
      </c>
      <c r="D18" s="112" t="n"/>
      <c r="E18" s="112" t="n"/>
      <c r="F18" s="112" t="n"/>
      <c r="G18" s="112" t="n"/>
      <c r="H18" s="112" t="n"/>
      <c r="I18" s="112" t="n"/>
      <c r="J18" s="112" t="n"/>
      <c r="K18" s="112" t="n"/>
      <c r="L18" s="112" t="n"/>
      <c r="M18" s="112" t="n"/>
      <c r="N18" s="112" t="n"/>
      <c r="O18" s="112" t="n"/>
      <c r="P18" s="112" t="n"/>
      <c r="Q18" s="112" t="n"/>
      <c r="R18" s="112" t="n"/>
      <c r="S18" s="112" t="n"/>
      <c r="T18" s="112" t="n"/>
      <c r="U18" s="112" t="n"/>
      <c r="V18" s="112" t="n"/>
      <c r="W18" s="112" t="n"/>
      <c r="X18" s="112" t="n"/>
      <c r="Y18" s="112" t="n"/>
      <c r="Z18" s="112" t="n"/>
      <c r="AA18" s="112" t="n"/>
      <c r="AB18" s="112" t="n"/>
      <c r="AC18" s="112" t="n"/>
      <c r="AD18" s="112" t="n"/>
      <c r="AE18" s="112" t="n"/>
      <c r="AF18" s="112" t="n"/>
      <c r="AG18" s="112" t="n"/>
      <c r="AH18" s="112" t="n"/>
      <c r="AI18" s="112" t="n"/>
      <c r="AJ18" s="112" t="n"/>
      <c r="AK18" s="112" t="n"/>
      <c r="AL18" s="112" t="n"/>
      <c r="AM18" s="112" t="n"/>
      <c r="AN18" s="91" t="n"/>
    </row>
    <row r="19">
      <c r="B19" s="91" t="n"/>
      <c r="C19" s="111">
        <f>IFERROR(IF(LANG="EN",INDEX(I18N_EN,MATCH("kpi.foot.per_sqm",I18N_KEY,0)),INDEX(I18N_FR,MATCH("kpi.foot.per_sqm",I18N_KEY,0))),"kpi.foot.per_sqm")</f>
        <v/>
      </c>
      <c r="D19" s="112" t="n"/>
      <c r="E19" s="112" t="n"/>
      <c r="F19" s="112" t="n"/>
      <c r="G19" s="112" t="n"/>
      <c r="H19" s="112" t="n"/>
      <c r="I19" s="112" t="n"/>
      <c r="J19" s="112" t="n"/>
      <c r="K19" s="112" t="n"/>
      <c r="L19" s="112" t="n"/>
      <c r="M19" s="112" t="n"/>
      <c r="N19" s="112" t="n"/>
      <c r="O19" s="112" t="n"/>
      <c r="P19" s="112" t="n"/>
      <c r="Q19" s="112" t="n"/>
      <c r="R19" s="112" t="n"/>
      <c r="S19" s="112" t="n"/>
      <c r="T19" s="112" t="n"/>
      <c r="U19" s="112" t="n"/>
      <c r="V19" s="112" t="n"/>
      <c r="W19" s="112" t="n"/>
      <c r="X19" s="112" t="n"/>
      <c r="Y19" s="112" t="n"/>
      <c r="Z19" s="112" t="n"/>
      <c r="AA19" s="112" t="n"/>
      <c r="AB19" s="112" t="n"/>
      <c r="AC19" s="112" t="n"/>
      <c r="AD19" s="112" t="n"/>
      <c r="AE19" s="112" t="n"/>
      <c r="AF19" s="112" t="n"/>
      <c r="AG19" s="112" t="n"/>
      <c r="AH19" s="112" t="n"/>
      <c r="AI19" s="112" t="n"/>
      <c r="AJ19" s="112" t="n"/>
      <c r="AK19" s="112" t="n"/>
      <c r="AL19" s="112" t="n"/>
      <c r="AM19" s="112" t="n"/>
      <c r="AN19" s="91" t="n"/>
    </row>
    <row r="20">
      <c r="B20" s="91" t="n"/>
      <c r="C20" s="111">
        <f>IFERROR(IF(LANG="EN",INDEX(I18N_EN,MATCH("kpi.foot.conversion",I18N_KEY,0)),INDEX(I18N_FR,MATCH("kpi.foot.conversion",I18N_KEY,0))),"kpi.foot.conversion")</f>
        <v/>
      </c>
      <c r="D20" s="112" t="n"/>
      <c r="E20" s="112" t="n"/>
      <c r="F20" s="112" t="n"/>
      <c r="G20" s="112" t="n"/>
      <c r="H20" s="112" t="n"/>
      <c r="I20" s="112" t="n"/>
      <c r="J20" s="112" t="n"/>
      <c r="K20" s="112" t="n"/>
      <c r="L20" s="112" t="n"/>
      <c r="M20" s="112" t="n"/>
      <c r="N20" s="112" t="n"/>
      <c r="O20" s="112" t="n"/>
      <c r="P20" s="112" t="n"/>
      <c r="Q20" s="112" t="n"/>
      <c r="R20" s="112" t="n"/>
      <c r="S20" s="112" t="n"/>
      <c r="T20" s="112" t="n"/>
      <c r="U20" s="112" t="n"/>
      <c r="V20" s="112" t="n"/>
      <c r="W20" s="112" t="n"/>
      <c r="X20" s="112" t="n"/>
      <c r="Y20" s="112" t="n"/>
      <c r="Z20" s="112" t="n"/>
      <c r="AA20" s="112" t="n"/>
      <c r="AB20" s="112" t="n"/>
      <c r="AC20" s="112" t="n"/>
      <c r="AD20" s="112" t="n"/>
      <c r="AE20" s="112" t="n"/>
      <c r="AF20" s="112" t="n"/>
      <c r="AG20" s="112" t="n"/>
      <c r="AH20" s="112" t="n"/>
      <c r="AI20" s="112" t="n"/>
      <c r="AJ20" s="112" t="n"/>
      <c r="AK20" s="112" t="n"/>
      <c r="AL20" s="112" t="n"/>
      <c r="AM20" s="112" t="n"/>
      <c r="AN20" s="91" t="n"/>
    </row>
    <row r="21">
      <c r="B21" s="91" t="n"/>
      <c r="C21" s="111">
        <f>IFERROR(IF(LANG="EN",INDEX(I18N_EN,MATCH("kpi.foot.dwell",I18N_KEY,0)),INDEX(I18N_FR,MATCH("kpi.foot.dwell",I18N_KEY,0))),"kpi.foot.dwell")</f>
        <v/>
      </c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91" t="n"/>
    </row>
    <row r="22">
      <c r="B22" s="91" t="n"/>
      <c r="C22" s="111">
        <f>IFERROR(IF(LANG="EN",INDEX(I18N_EN,MATCH("kpi.foot.peak_share",I18N_KEY,0)),INDEX(I18N_FR,MATCH("kpi.foot.peak_share",I18N_KEY,0))),"kpi.foot.peak_share")</f>
        <v/>
      </c>
      <c r="D22" s="112" t="n"/>
      <c r="E22" s="112" t="n"/>
      <c r="F22" s="112" t="n"/>
      <c r="G22" s="112" t="n"/>
      <c r="H22" s="112" t="n"/>
      <c r="I22" s="112" t="n"/>
      <c r="J22" s="112" t="n"/>
      <c r="K22" s="112" t="n"/>
      <c r="L22" s="112" t="n"/>
      <c r="M22" s="112" t="n"/>
      <c r="N22" s="112" t="n"/>
      <c r="O22" s="112" t="n"/>
      <c r="P22" s="112" t="n"/>
      <c r="Q22" s="112" t="n"/>
      <c r="R22" s="112" t="n"/>
      <c r="S22" s="112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91" t="n"/>
    </row>
    <row r="23">
      <c r="B23" s="91" t="n"/>
      <c r="C23" s="111">
        <f>IFERROR(IF(LANG="EN",INDEX(I18N_EN,MATCH("kpi.foot.weekend_share",I18N_KEY,0)),INDEX(I18N_FR,MATCH("kpi.foot.weekend_share",I18N_KEY,0))),"kpi.foot.weekend_share")</f>
        <v/>
      </c>
      <c r="D23" s="112" t="n"/>
      <c r="E23" s="112" t="n"/>
      <c r="F23" s="112" t="n"/>
      <c r="G23" s="112" t="n"/>
      <c r="H23" s="112" t="n"/>
      <c r="I23" s="112" t="n"/>
      <c r="J23" s="112" t="n"/>
      <c r="K23" s="112" t="n"/>
      <c r="L23" s="112" t="n"/>
      <c r="M23" s="112" t="n"/>
      <c r="N23" s="112" t="n"/>
      <c r="O23" s="112" t="n"/>
      <c r="P23" s="112" t="n"/>
      <c r="Q23" s="112" t="n"/>
      <c r="R23" s="112" t="n"/>
      <c r="S23" s="112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91" t="n"/>
    </row>
    <row r="24">
      <c r="B24" s="91" t="n"/>
      <c r="C24" s="91" t="n"/>
      <c r="D24" s="91" t="n"/>
      <c r="E24" s="91" t="n"/>
      <c r="F24" s="91" t="n"/>
      <c r="G24" s="91" t="n"/>
      <c r="H24" s="91" t="n"/>
      <c r="I24" s="91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  <c r="Z24" s="91" t="n"/>
      <c r="AA24" s="91" t="n"/>
      <c r="AB24" s="91" t="n"/>
      <c r="AC24" s="91" t="n"/>
      <c r="AD24" s="91" t="n"/>
      <c r="AE24" s="91" t="n"/>
      <c r="AF24" s="91" t="n"/>
      <c r="AG24" s="91" t="n"/>
      <c r="AH24" s="91" t="n"/>
      <c r="AI24" s="91" t="n"/>
      <c r="AJ24" s="91" t="n"/>
      <c r="AK24" s="91" t="n"/>
      <c r="AL24" s="91" t="n"/>
      <c r="AM24" s="91" t="n"/>
      <c r="AN24" s="91" t="n"/>
    </row>
    <row r="25"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  <c r="AB25" s="91" t="n"/>
      <c r="AC25" s="91" t="n"/>
      <c r="AD25" s="91" t="n"/>
      <c r="AE25" s="91" t="n"/>
      <c r="AF25" s="91" t="n"/>
      <c r="AG25" s="91" t="n"/>
      <c r="AH25" s="91" t="n"/>
      <c r="AI25" s="91" t="n"/>
      <c r="AJ25" s="91" t="n"/>
      <c r="AK25" s="91" t="n"/>
      <c r="AL25" s="91" t="n"/>
      <c r="AM25" s="91" t="n"/>
      <c r="AN25" s="91" t="n"/>
    </row>
    <row r="26">
      <c r="B26" s="91" t="n"/>
      <c r="C26" s="91" t="n"/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  <c r="AB26" s="91" t="n"/>
      <c r="AC26" s="91" t="n"/>
      <c r="AD26" s="91" t="n"/>
      <c r="AE26" s="91" t="n"/>
      <c r="AF26" s="91" t="n"/>
      <c r="AG26" s="91" t="n"/>
      <c r="AH26" s="91" t="n"/>
      <c r="AI26" s="91" t="n"/>
      <c r="AJ26" s="91" t="n"/>
      <c r="AK26" s="91" t="n"/>
      <c r="AL26" s="91" t="n"/>
      <c r="AM26" s="91" t="n"/>
      <c r="AN26" s="91" t="n"/>
    </row>
    <row r="27"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  <c r="AK27" s="91" t="n"/>
      <c r="AL27" s="91" t="n"/>
      <c r="AM27" s="91" t="n"/>
      <c r="AN27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14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34155"/>
    <outlinePr summaryBelow="1" summaryRight="1"/>
    <pageSetUpPr/>
  </sheetPr>
  <dimension ref="B1:AN47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"&amp;IFERROR(IF(LANG="EN",INDEX(I18N_EN,MATCH("dept.mkt",I18N_KEY,0)),INDEX(I18N_FR,MATCH("dept.mkt",I18N_KEY,0))),"dept.mkt")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IFERROR(IF(LANG="EN",INDEX(I18N_EN,MATCH("kpi.mkt.events",I18N_KEY,0)),INDEX(I18N_FR,MATCH("kpi.mkt.events",I18N_KEY,0))),"kpi.mkt.events")</f>
        <v/>
      </c>
      <c r="D8" s="109" t="n">
        <v>4</v>
      </c>
      <c r="E8" s="109" t="n">
        <v>4</v>
      </c>
      <c r="F8" s="109" t="n">
        <v>4</v>
      </c>
      <c r="G8" s="109" t="n">
        <v>4</v>
      </c>
      <c r="H8" s="109" t="n">
        <v>4</v>
      </c>
      <c r="I8" s="109" t="n">
        <v>4</v>
      </c>
      <c r="J8" s="109" t="n">
        <v>4</v>
      </c>
      <c r="K8" s="109" t="n">
        <v>4</v>
      </c>
      <c r="L8" s="109" t="n">
        <v>4</v>
      </c>
      <c r="M8" s="109" t="n">
        <v>4</v>
      </c>
      <c r="N8" s="109" t="n">
        <v>4</v>
      </c>
      <c r="O8" s="109" t="n">
        <v>4</v>
      </c>
      <c r="P8" s="109" t="n">
        <v>4</v>
      </c>
      <c r="Q8" s="109" t="n">
        <v>4</v>
      </c>
      <c r="R8" s="109" t="n">
        <v>4</v>
      </c>
      <c r="S8" s="109" t="n">
        <v>4</v>
      </c>
      <c r="T8" s="109" t="n">
        <v>4</v>
      </c>
      <c r="U8" s="109" t="n">
        <v>4</v>
      </c>
      <c r="V8" s="109" t="n">
        <v>4</v>
      </c>
      <c r="W8" s="109" t="n">
        <v>4</v>
      </c>
      <c r="X8" s="109" t="n">
        <v>4</v>
      </c>
      <c r="Y8" s="109" t="n">
        <v>4</v>
      </c>
      <c r="Z8" s="109" t="n">
        <v>4</v>
      </c>
      <c r="AA8" s="109" t="n">
        <v>4</v>
      </c>
      <c r="AB8" s="109" t="n">
        <v>4</v>
      </c>
      <c r="AC8" s="109" t="n">
        <v>4</v>
      </c>
      <c r="AD8" s="109" t="n">
        <v>4</v>
      </c>
      <c r="AE8" s="109" t="n">
        <v>4</v>
      </c>
      <c r="AF8" s="109" t="n">
        <v>4</v>
      </c>
      <c r="AG8" s="109" t="n">
        <v>4</v>
      </c>
      <c r="AH8" s="109" t="n">
        <v>4</v>
      </c>
      <c r="AI8" s="109" t="n">
        <v>4</v>
      </c>
      <c r="AJ8" s="109" t="n">
        <v>4</v>
      </c>
      <c r="AK8" s="109" t="n">
        <v>4</v>
      </c>
      <c r="AL8" s="109" t="n">
        <v>4</v>
      </c>
      <c r="AM8" s="109" t="n">
        <v>4</v>
      </c>
      <c r="AN8" s="91" t="n"/>
    </row>
    <row r="9">
      <c r="B9" s="91" t="n"/>
      <c r="C9" s="108">
        <f>IFERROR(IF(LANG="EN",INDEX(I18N_EN,MATCH("kpi.mkt.event_att",I18N_KEY,0)),INDEX(I18N_FR,MATCH("kpi.mkt.event_att",I18N_KEY,0))),"kpi.mkt.event_att")</f>
        <v/>
      </c>
      <c r="D9" s="109" t="n">
        <v>12086</v>
      </c>
      <c r="E9" s="109" t="n">
        <v>11938</v>
      </c>
      <c r="F9" s="109" t="n">
        <v>11789</v>
      </c>
      <c r="G9" s="109" t="n">
        <v>12252</v>
      </c>
      <c r="H9" s="109" t="n">
        <v>12021</v>
      </c>
      <c r="I9" s="109" t="n">
        <v>12044</v>
      </c>
      <c r="J9" s="109" t="n">
        <v>11848</v>
      </c>
      <c r="K9" s="109" t="n">
        <v>11916</v>
      </c>
      <c r="L9" s="109" t="n">
        <v>12335</v>
      </c>
      <c r="M9" s="109" t="n">
        <v>12356</v>
      </c>
      <c r="N9" s="109" t="n">
        <v>12445</v>
      </c>
      <c r="O9" s="109" t="n">
        <v>12239</v>
      </c>
      <c r="P9" s="109" t="n">
        <v>12321</v>
      </c>
      <c r="Q9" s="109" t="n">
        <v>11940</v>
      </c>
      <c r="R9" s="109" t="n">
        <v>11925</v>
      </c>
      <c r="S9" s="109" t="n">
        <v>12383</v>
      </c>
      <c r="T9" s="109" t="n">
        <v>12674</v>
      </c>
      <c r="U9" s="109" t="n">
        <v>12646</v>
      </c>
      <c r="V9" s="109" t="n">
        <v>12321</v>
      </c>
      <c r="W9" s="109" t="n">
        <v>12949</v>
      </c>
      <c r="X9" s="109" t="n">
        <v>12645</v>
      </c>
      <c r="Y9" s="109" t="n">
        <v>12224</v>
      </c>
      <c r="Z9" s="109" t="n">
        <v>12871</v>
      </c>
      <c r="AA9" s="109" t="n">
        <v>12026</v>
      </c>
      <c r="AB9" s="109" t="n">
        <v>12125</v>
      </c>
      <c r="AC9" s="109" t="n">
        <v>12503</v>
      </c>
      <c r="AD9" s="109" t="n">
        <v>12524</v>
      </c>
      <c r="AE9" s="109" t="n">
        <v>12182</v>
      </c>
      <c r="AF9" s="109" t="n">
        <v>12549</v>
      </c>
      <c r="AG9" s="109" t="n">
        <v>11665</v>
      </c>
      <c r="AH9" s="109" t="n">
        <v>12392</v>
      </c>
      <c r="AI9" s="109" t="n">
        <v>11712</v>
      </c>
      <c r="AJ9" s="109" t="n">
        <v>12716</v>
      </c>
      <c r="AK9" s="109" t="n">
        <v>12444</v>
      </c>
      <c r="AL9" s="109" t="n">
        <v>13199</v>
      </c>
      <c r="AM9" s="109" t="n">
        <v>12058</v>
      </c>
      <c r="AN9" s="91" t="n"/>
    </row>
    <row r="10">
      <c r="B10" s="91" t="n"/>
      <c r="C10" s="108">
        <f>IFERROR(IF(LANG="EN",INDEX(I18N_EN,MATCH("kpi.mkt.event_roi",I18N_KEY,0)),INDEX(I18N_FR,MATCH("kpi.mkt.event_roi",I18N_KEY,0))),"kpi.mkt.event_roi")</f>
        <v/>
      </c>
      <c r="D10" s="110" t="n">
        <v>1.3</v>
      </c>
      <c r="E10" s="110" t="n">
        <v>1.3</v>
      </c>
      <c r="F10" s="110" t="n">
        <v>1.3</v>
      </c>
      <c r="G10" s="110" t="n">
        <v>1.3</v>
      </c>
      <c r="H10" s="110" t="n">
        <v>1.3</v>
      </c>
      <c r="I10" s="110" t="n">
        <v>1.3</v>
      </c>
      <c r="J10" s="110" t="n">
        <v>1.3</v>
      </c>
      <c r="K10" s="110" t="n">
        <v>1.3</v>
      </c>
      <c r="L10" s="110" t="n">
        <v>1.3</v>
      </c>
      <c r="M10" s="110" t="n">
        <v>1.3</v>
      </c>
      <c r="N10" s="110" t="n">
        <v>1.3</v>
      </c>
      <c r="O10" s="110" t="n">
        <v>1.3</v>
      </c>
      <c r="P10" s="110" t="n">
        <v>1.3</v>
      </c>
      <c r="Q10" s="110" t="n">
        <v>1.3</v>
      </c>
      <c r="R10" s="110" t="n">
        <v>1.3</v>
      </c>
      <c r="S10" s="110" t="n">
        <v>1.3</v>
      </c>
      <c r="T10" s="110" t="n">
        <v>1.3</v>
      </c>
      <c r="U10" s="110" t="n">
        <v>1.3</v>
      </c>
      <c r="V10" s="110" t="n">
        <v>1.3</v>
      </c>
      <c r="W10" s="110" t="n">
        <v>1.3</v>
      </c>
      <c r="X10" s="110" t="n">
        <v>1.3</v>
      </c>
      <c r="Y10" s="110" t="n">
        <v>1.3</v>
      </c>
      <c r="Z10" s="110" t="n">
        <v>1.3</v>
      </c>
      <c r="AA10" s="110" t="n">
        <v>1.3</v>
      </c>
      <c r="AB10" s="110" t="n">
        <v>1.3</v>
      </c>
      <c r="AC10" s="110" t="n">
        <v>1.3</v>
      </c>
      <c r="AD10" s="110" t="n">
        <v>1.3</v>
      </c>
      <c r="AE10" s="110" t="n">
        <v>1.3</v>
      </c>
      <c r="AF10" s="110" t="n">
        <v>1.3</v>
      </c>
      <c r="AG10" s="110" t="n">
        <v>1.3</v>
      </c>
      <c r="AH10" s="110" t="n">
        <v>1.3</v>
      </c>
      <c r="AI10" s="110" t="n">
        <v>1.3</v>
      </c>
      <c r="AJ10" s="110" t="n">
        <v>1.3</v>
      </c>
      <c r="AK10" s="110" t="n">
        <v>1.3</v>
      </c>
      <c r="AL10" s="110" t="n">
        <v>1.3</v>
      </c>
      <c r="AM10" s="110" t="n">
        <v>1.3</v>
      </c>
      <c r="AN10" s="91" t="n"/>
    </row>
    <row r="11">
      <c r="B11" s="91" t="n"/>
      <c r="C11" s="108">
        <f>IFERROR(IF(LANG="EN",INDEX(I18N_EN,MATCH("kpi.mkt.event_sat",I18N_KEY,0)),INDEX(I18N_FR,MATCH("kpi.mkt.event_sat",I18N_KEY,0))),"kpi.mkt.event_sat")</f>
        <v/>
      </c>
      <c r="D11" s="109" t="n">
        <v>8.1</v>
      </c>
      <c r="E11" s="109" t="n">
        <v>8.15</v>
      </c>
      <c r="F11" s="109" t="n">
        <v>8.27</v>
      </c>
      <c r="G11" s="109" t="n">
        <v>8.35</v>
      </c>
      <c r="H11" s="109" t="n">
        <v>8.33</v>
      </c>
      <c r="I11" s="109" t="n">
        <v>8.25</v>
      </c>
      <c r="J11" s="109" t="n">
        <v>8.109999999999999</v>
      </c>
      <c r="K11" s="109" t="n">
        <v>8.300000000000001</v>
      </c>
      <c r="L11" s="109" t="n">
        <v>8.33</v>
      </c>
      <c r="M11" s="109" t="n">
        <v>8.52</v>
      </c>
      <c r="N11" s="109" t="n">
        <v>8.33</v>
      </c>
      <c r="O11" s="109" t="n">
        <v>8.5</v>
      </c>
      <c r="P11" s="109" t="n">
        <v>7.96</v>
      </c>
      <c r="Q11" s="109" t="n">
        <v>8.359999999999999</v>
      </c>
      <c r="R11" s="109" t="n">
        <v>8.42</v>
      </c>
      <c r="S11" s="109" t="n">
        <v>8.140000000000001</v>
      </c>
      <c r="T11" s="109" t="n">
        <v>8.699999999999999</v>
      </c>
      <c r="U11" s="109" t="n">
        <v>8.32</v>
      </c>
      <c r="V11" s="109" t="n">
        <v>8.119999999999999</v>
      </c>
      <c r="W11" s="109" t="n">
        <v>8.19</v>
      </c>
      <c r="X11" s="109" t="n">
        <v>8.779999999999999</v>
      </c>
      <c r="Y11" s="109" t="n">
        <v>8.699999999999999</v>
      </c>
      <c r="Z11" s="109" t="n">
        <v>8.279999999999999</v>
      </c>
      <c r="AA11" s="109" t="n">
        <v>8.720000000000001</v>
      </c>
      <c r="AB11" s="109" t="n">
        <v>8.81</v>
      </c>
      <c r="AC11" s="109" t="n">
        <v>8.51</v>
      </c>
      <c r="AD11" s="109" t="n">
        <v>9.02</v>
      </c>
      <c r="AE11" s="109" t="n">
        <v>8.42</v>
      </c>
      <c r="AF11" s="109" t="n">
        <v>8.24</v>
      </c>
      <c r="AG11" s="109" t="n">
        <v>9.039999999999999</v>
      </c>
      <c r="AH11" s="109" t="n">
        <v>9.15</v>
      </c>
      <c r="AI11" s="109" t="n">
        <v>8.91</v>
      </c>
      <c r="AJ11" s="109" t="n">
        <v>8.970000000000001</v>
      </c>
      <c r="AK11" s="109" t="n">
        <v>8.84</v>
      </c>
      <c r="AL11" s="109" t="n">
        <v>9.27</v>
      </c>
      <c r="AM11" s="109" t="n">
        <v>8.140000000000001</v>
      </c>
      <c r="AN11" s="91" t="n"/>
    </row>
    <row r="12">
      <c r="B12" s="91" t="n"/>
      <c r="C12" s="108">
        <f>IFERROR(IF(LANG="EN",INDEX(I18N_EN,MATCH("kpi.mkt.engagement",I18N_KEY,0)),INDEX(I18N_FR,MATCH("kpi.mkt.engagement",I18N_KEY,0))),"kpi.mkt.engagement")</f>
        <v/>
      </c>
      <c r="D12" s="110" t="n">
        <v>0.0444</v>
      </c>
      <c r="E12" s="110" t="n">
        <v>0.0448</v>
      </c>
      <c r="F12" s="110" t="n">
        <v>0.0452</v>
      </c>
      <c r="G12" s="110" t="n">
        <v>0.0451</v>
      </c>
      <c r="H12" s="110" t="n">
        <v>0.0447</v>
      </c>
      <c r="I12" s="110" t="n">
        <v>0.045</v>
      </c>
      <c r="J12" s="110" t="n">
        <v>0.0445</v>
      </c>
      <c r="K12" s="110" t="n">
        <v>0.0454</v>
      </c>
      <c r="L12" s="110" t="n">
        <v>0.046</v>
      </c>
      <c r="M12" s="110" t="n">
        <v>0.0457</v>
      </c>
      <c r="N12" s="110" t="n">
        <v>0.0458</v>
      </c>
      <c r="O12" s="110" t="n">
        <v>0.0447</v>
      </c>
      <c r="P12" s="110" t="n">
        <v>0.044</v>
      </c>
      <c r="Q12" s="110" t="n">
        <v>0.0457</v>
      </c>
      <c r="R12" s="110" t="n">
        <v>0.0453</v>
      </c>
      <c r="S12" s="110" t="n">
        <v>0.0444</v>
      </c>
      <c r="T12" s="110" t="n">
        <v>0.0451</v>
      </c>
      <c r="U12" s="110" t="n">
        <v>0.0453</v>
      </c>
      <c r="V12" s="110" t="n">
        <v>0.0472</v>
      </c>
      <c r="W12" s="110" t="n">
        <v>0.0487</v>
      </c>
      <c r="X12" s="110" t="n">
        <v>0.0441</v>
      </c>
      <c r="Y12" s="110" t="n">
        <v>0.0468</v>
      </c>
      <c r="Z12" s="110" t="n">
        <v>0.0473</v>
      </c>
      <c r="AA12" s="110" t="n">
        <v>0.0495</v>
      </c>
      <c r="AB12" s="110" t="n">
        <v>0.0462</v>
      </c>
      <c r="AC12" s="110" t="n">
        <v>0.0493</v>
      </c>
      <c r="AD12" s="110" t="n">
        <v>0.0465</v>
      </c>
      <c r="AE12" s="110" t="n">
        <v>0.0502</v>
      </c>
      <c r="AF12" s="110" t="n">
        <v>0.0464</v>
      </c>
      <c r="AG12" s="110" t="n">
        <v>0.0456</v>
      </c>
      <c r="AH12" s="110" t="n">
        <v>0.0494</v>
      </c>
      <c r="AI12" s="110" t="n">
        <v>0.0479</v>
      </c>
      <c r="AJ12" s="110" t="n">
        <v>0.0451</v>
      </c>
      <c r="AK12" s="110" t="n">
        <v>0.0466</v>
      </c>
      <c r="AL12" s="110" t="n">
        <v>0.0437</v>
      </c>
      <c r="AM12" s="110" t="n">
        <v>0.0504</v>
      </c>
      <c r="AN12" s="91" t="n"/>
    </row>
    <row r="13">
      <c r="B13" s="91" t="n"/>
      <c r="C13" s="108">
        <f>IFERROR(IF(LANG="EN",INDEX(I18N_EN,MATCH("kpi.mkt.followers",I18N_KEY,0)),INDEX(I18N_FR,MATCH("kpi.mkt.followers",I18N_KEY,0))),"kpi.mkt.followers")</f>
        <v/>
      </c>
      <c r="D13" s="109" t="n">
        <v>76764</v>
      </c>
      <c r="E13" s="109" t="n">
        <v>78761</v>
      </c>
      <c r="F13" s="109" t="n">
        <v>79506</v>
      </c>
      <c r="G13" s="109" t="n">
        <v>79902</v>
      </c>
      <c r="H13" s="109" t="n">
        <v>77806</v>
      </c>
      <c r="I13" s="109" t="n">
        <v>77941</v>
      </c>
      <c r="J13" s="109" t="n">
        <v>76175</v>
      </c>
      <c r="K13" s="109" t="n">
        <v>79879</v>
      </c>
      <c r="L13" s="109" t="n">
        <v>78309</v>
      </c>
      <c r="M13" s="109" t="n">
        <v>77685</v>
      </c>
      <c r="N13" s="109" t="n">
        <v>79486</v>
      </c>
      <c r="O13" s="109" t="n">
        <v>77398</v>
      </c>
      <c r="P13" s="109" t="n">
        <v>79965</v>
      </c>
      <c r="Q13" s="109" t="n">
        <v>80933</v>
      </c>
      <c r="R13" s="109" t="n">
        <v>80721</v>
      </c>
      <c r="S13" s="109" t="n">
        <v>78149</v>
      </c>
      <c r="T13" s="109" t="n">
        <v>77869</v>
      </c>
      <c r="U13" s="109" t="n">
        <v>77099</v>
      </c>
      <c r="V13" s="109" t="n">
        <v>81940</v>
      </c>
      <c r="W13" s="109" t="n">
        <v>79730</v>
      </c>
      <c r="X13" s="109" t="n">
        <v>80101</v>
      </c>
      <c r="Y13" s="109" t="n">
        <v>76596</v>
      </c>
      <c r="Z13" s="109" t="n">
        <v>83511</v>
      </c>
      <c r="AA13" s="109" t="n">
        <v>84169</v>
      </c>
      <c r="AB13" s="109" t="n">
        <v>83863</v>
      </c>
      <c r="AC13" s="109" t="n">
        <v>84789</v>
      </c>
      <c r="AD13" s="109" t="n">
        <v>80829</v>
      </c>
      <c r="AE13" s="109" t="n">
        <v>81825</v>
      </c>
      <c r="AF13" s="109" t="n">
        <v>74874</v>
      </c>
      <c r="AG13" s="109" t="n">
        <v>82597</v>
      </c>
      <c r="AH13" s="109" t="n">
        <v>86710</v>
      </c>
      <c r="AI13" s="109" t="n">
        <v>86144</v>
      </c>
      <c r="AJ13" s="109" t="n">
        <v>79066</v>
      </c>
      <c r="AK13" s="109" t="n">
        <v>83863</v>
      </c>
      <c r="AL13" s="109" t="n">
        <v>75779</v>
      </c>
      <c r="AM13" s="109" t="n">
        <v>86168</v>
      </c>
      <c r="AN13" s="91" t="n"/>
    </row>
    <row r="14">
      <c r="B14" s="91" t="n"/>
      <c r="C14" s="108">
        <f>IFERROR(IF(LANG="EN",INDEX(I18N_EN,MATCH("kpi.mkt.reach",I18N_KEY,0)),INDEX(I18N_FR,MATCH("kpi.mkt.reach",I18N_KEY,0))),"kpi.mkt.reach")</f>
        <v/>
      </c>
      <c r="D14" s="109" t="n">
        <v>546473</v>
      </c>
      <c r="E14" s="109" t="n">
        <v>549448</v>
      </c>
      <c r="F14" s="109" t="n">
        <v>554888</v>
      </c>
      <c r="G14" s="109" t="n">
        <v>543028</v>
      </c>
      <c r="H14" s="109" t="n">
        <v>531157</v>
      </c>
      <c r="I14" s="109" t="n">
        <v>542531</v>
      </c>
      <c r="J14" s="109" t="n">
        <v>540738</v>
      </c>
      <c r="K14" s="109" t="n">
        <v>540728</v>
      </c>
      <c r="L14" s="109" t="n">
        <v>538880</v>
      </c>
      <c r="M14" s="109" t="n">
        <v>554119</v>
      </c>
      <c r="N14" s="109" t="n">
        <v>548704</v>
      </c>
      <c r="O14" s="109" t="n">
        <v>543708</v>
      </c>
      <c r="P14" s="109" t="n">
        <v>548757</v>
      </c>
      <c r="Q14" s="109" t="n">
        <v>541112</v>
      </c>
      <c r="R14" s="109" t="n">
        <v>523926</v>
      </c>
      <c r="S14" s="109" t="n">
        <v>543862</v>
      </c>
      <c r="T14" s="109" t="n">
        <v>556536</v>
      </c>
      <c r="U14" s="109" t="n">
        <v>538963</v>
      </c>
      <c r="V14" s="109" t="n">
        <v>574072</v>
      </c>
      <c r="W14" s="109" t="n">
        <v>542174</v>
      </c>
      <c r="X14" s="109" t="n">
        <v>551614</v>
      </c>
      <c r="Y14" s="109" t="n">
        <v>570492</v>
      </c>
      <c r="Z14" s="109" t="n">
        <v>573547</v>
      </c>
      <c r="AA14" s="109" t="n">
        <v>555370</v>
      </c>
      <c r="AB14" s="109" t="n">
        <v>577977</v>
      </c>
      <c r="AC14" s="109" t="n">
        <v>516133</v>
      </c>
      <c r="AD14" s="109" t="n">
        <v>550507</v>
      </c>
      <c r="AE14" s="109" t="n">
        <v>565602</v>
      </c>
      <c r="AF14" s="109" t="n">
        <v>578155</v>
      </c>
      <c r="AG14" s="109" t="n">
        <v>567927</v>
      </c>
      <c r="AH14" s="109" t="n">
        <v>608708</v>
      </c>
      <c r="AI14" s="109" t="n">
        <v>587341</v>
      </c>
      <c r="AJ14" s="109" t="n">
        <v>543243</v>
      </c>
      <c r="AK14" s="109" t="n">
        <v>584692</v>
      </c>
      <c r="AL14" s="109" t="n">
        <v>562750</v>
      </c>
      <c r="AM14" s="109" t="n">
        <v>555900</v>
      </c>
      <c r="AN14" s="91" t="n"/>
    </row>
    <row r="15">
      <c r="B15" s="91" t="n"/>
      <c r="C15" s="108">
        <f>IFERROR(IF(LANG="EN",INDEX(I18N_EN,MATCH("kpi.mkt.cpa",I18N_KEY,0)),INDEX(I18N_FR,MATCH("kpi.mkt.cpa",I18N_KEY,0))),"kpi.mkt.cpa")</f>
        <v/>
      </c>
      <c r="D15" s="109" t="n">
        <v>3548.72</v>
      </c>
      <c r="E15" s="109" t="n">
        <v>3527.1</v>
      </c>
      <c r="F15" s="109" t="n">
        <v>3498.61</v>
      </c>
      <c r="G15" s="109" t="n">
        <v>3466.85</v>
      </c>
      <c r="H15" s="109" t="n">
        <v>3578.21</v>
      </c>
      <c r="I15" s="109" t="n">
        <v>3604.8</v>
      </c>
      <c r="J15" s="109" t="n">
        <v>3508.25</v>
      </c>
      <c r="K15" s="109" t="n">
        <v>3493.9</v>
      </c>
      <c r="L15" s="109" t="n">
        <v>3451.78</v>
      </c>
      <c r="M15" s="109" t="n">
        <v>3421.65</v>
      </c>
      <c r="N15" s="109" t="n">
        <v>3612.12</v>
      </c>
      <c r="O15" s="109" t="n">
        <v>3541.98</v>
      </c>
      <c r="P15" s="109" t="n">
        <v>3518.43</v>
      </c>
      <c r="Q15" s="109" t="n">
        <v>3547.78</v>
      </c>
      <c r="R15" s="109" t="n">
        <v>3622.14</v>
      </c>
      <c r="S15" s="109" t="n">
        <v>3642.33</v>
      </c>
      <c r="T15" s="109" t="n">
        <v>3548.53</v>
      </c>
      <c r="U15" s="109" t="n">
        <v>3618.39</v>
      </c>
      <c r="V15" s="109" t="n">
        <v>3692.17</v>
      </c>
      <c r="W15" s="109" t="n">
        <v>3584.02</v>
      </c>
      <c r="X15" s="109" t="n">
        <v>3765.19</v>
      </c>
      <c r="Y15" s="109" t="n">
        <v>3594.7</v>
      </c>
      <c r="Z15" s="109" t="n">
        <v>3601.71</v>
      </c>
      <c r="AA15" s="109" t="n">
        <v>3663.19</v>
      </c>
      <c r="AB15" s="109" t="n">
        <v>3399.89</v>
      </c>
      <c r="AC15" s="109" t="n">
        <v>3433.63</v>
      </c>
      <c r="AD15" s="109" t="n">
        <v>3436.16</v>
      </c>
      <c r="AE15" s="109" t="n">
        <v>3591.02</v>
      </c>
      <c r="AF15" s="109" t="n">
        <v>3388.51</v>
      </c>
      <c r="AG15" s="109" t="n">
        <v>3856.32</v>
      </c>
      <c r="AH15" s="109" t="n">
        <v>3635.94</v>
      </c>
      <c r="AI15" s="109" t="n">
        <v>3428.21</v>
      </c>
      <c r="AJ15" s="109" t="n">
        <v>3806.5</v>
      </c>
      <c r="AK15" s="109" t="n">
        <v>3373.76</v>
      </c>
      <c r="AL15" s="109" t="n">
        <v>3457.7</v>
      </c>
      <c r="AM15" s="109" t="n">
        <v>3362.55</v>
      </c>
      <c r="AN15" s="91" t="n"/>
    </row>
    <row r="16">
      <c r="B16" s="91" t="n"/>
      <c r="C16" s="108">
        <f>IFERROR(IF(LANG="EN",INDEX(I18N_EN,MATCH("kpi.mkt.digital_conv",I18N_KEY,0)),INDEX(I18N_FR,MATCH("kpi.mkt.digital_conv",I18N_KEY,0))),"kpi.mkt.digital_conv")</f>
        <v/>
      </c>
      <c r="D16" s="110" t="n">
        <v>0.0297</v>
      </c>
      <c r="E16" s="110" t="n">
        <v>0.0305</v>
      </c>
      <c r="F16" s="110" t="n">
        <v>0.0302</v>
      </c>
      <c r="G16" s="110" t="n">
        <v>0.0301</v>
      </c>
      <c r="H16" s="110" t="n">
        <v>0.03</v>
      </c>
      <c r="I16" s="110" t="n">
        <v>0.0298</v>
      </c>
      <c r="J16" s="110" t="n">
        <v>0.0312</v>
      </c>
      <c r="K16" s="110" t="n">
        <v>0.0303</v>
      </c>
      <c r="L16" s="110" t="n">
        <v>0.0308</v>
      </c>
      <c r="M16" s="110" t="n">
        <v>0.0305</v>
      </c>
      <c r="N16" s="110" t="n">
        <v>0.0304</v>
      </c>
      <c r="O16" s="110" t="n">
        <v>0.0307</v>
      </c>
      <c r="P16" s="110" t="n">
        <v>0.0305</v>
      </c>
      <c r="Q16" s="110" t="n">
        <v>0.0298</v>
      </c>
      <c r="R16" s="110" t="n">
        <v>0.0293</v>
      </c>
      <c r="S16" s="110" t="n">
        <v>0.0316</v>
      </c>
      <c r="T16" s="110" t="n">
        <v>0.03</v>
      </c>
      <c r="U16" s="110" t="n">
        <v>0.0295</v>
      </c>
      <c r="V16" s="110" t="n">
        <v>0.0306</v>
      </c>
      <c r="W16" s="110" t="n">
        <v>0.0317</v>
      </c>
      <c r="X16" s="110" t="n">
        <v>0.0295</v>
      </c>
      <c r="Y16" s="110" t="n">
        <v>0.0297</v>
      </c>
      <c r="Z16" s="110" t="n">
        <v>0.0327</v>
      </c>
      <c r="AA16" s="110" t="n">
        <v>0.0322</v>
      </c>
      <c r="AB16" s="110" t="n">
        <v>0.031</v>
      </c>
      <c r="AC16" s="110" t="n">
        <v>0.0292</v>
      </c>
      <c r="AD16" s="110" t="n">
        <v>0.0303</v>
      </c>
      <c r="AE16" s="110" t="n">
        <v>0.0324</v>
      </c>
      <c r="AF16" s="110" t="n">
        <v>0.0319</v>
      </c>
      <c r="AG16" s="110" t="n">
        <v>0.0328</v>
      </c>
      <c r="AH16" s="110" t="n">
        <v>0.0288</v>
      </c>
      <c r="AI16" s="110" t="n">
        <v>0.0309</v>
      </c>
      <c r="AJ16" s="110" t="n">
        <v>0.0331</v>
      </c>
      <c r="AK16" s="110" t="n">
        <v>0.0334</v>
      </c>
      <c r="AL16" s="110" t="n">
        <v>0.0299</v>
      </c>
      <c r="AM16" s="110" t="n">
        <v>0.0333</v>
      </c>
      <c r="AN16" s="91" t="n"/>
    </row>
    <row r="17">
      <c r="B17" s="91" t="n"/>
      <c r="C17" s="108">
        <f>IFERROR(IF(LANG="EN",INDEX(I18N_EN,MATCH("kpi.mkt.spend",I18N_KEY,0)),INDEX(I18N_FR,MATCH("kpi.mkt.spend",I18N_KEY,0))),"kpi.mkt.spend")</f>
        <v/>
      </c>
      <c r="D17" s="109" t="n">
        <v>21566331</v>
      </c>
      <c r="E17" s="109" t="n">
        <v>22216092</v>
      </c>
      <c r="F17" s="109" t="n">
        <v>21895367</v>
      </c>
      <c r="G17" s="109" t="n">
        <v>22097475</v>
      </c>
      <c r="H17" s="109" t="n">
        <v>22314206</v>
      </c>
      <c r="I17" s="109" t="n">
        <v>21990863</v>
      </c>
      <c r="J17" s="109" t="n">
        <v>22178213</v>
      </c>
      <c r="K17" s="109" t="n">
        <v>22368016</v>
      </c>
      <c r="L17" s="109" t="n">
        <v>22521410</v>
      </c>
      <c r="M17" s="109" t="n">
        <v>22184334</v>
      </c>
      <c r="N17" s="109" t="n">
        <v>21834604</v>
      </c>
      <c r="O17" s="109" t="n">
        <v>22311317</v>
      </c>
      <c r="P17" s="109" t="n">
        <v>23045237</v>
      </c>
      <c r="Q17" s="109" t="n">
        <v>22886962</v>
      </c>
      <c r="R17" s="109" t="n">
        <v>22521401</v>
      </c>
      <c r="S17" s="109" t="n">
        <v>21582394</v>
      </c>
      <c r="T17" s="109" t="n">
        <v>22160668</v>
      </c>
      <c r="U17" s="109" t="n">
        <v>22815785</v>
      </c>
      <c r="V17" s="109" t="n">
        <v>22735100</v>
      </c>
      <c r="W17" s="109" t="n">
        <v>23271458</v>
      </c>
      <c r="X17" s="109" t="n">
        <v>21288340</v>
      </c>
      <c r="Y17" s="109" t="n">
        <v>23727407</v>
      </c>
      <c r="Z17" s="109" t="n">
        <v>21240957</v>
      </c>
      <c r="AA17" s="109" t="n">
        <v>21101797</v>
      </c>
      <c r="AB17" s="109" t="n">
        <v>22831595</v>
      </c>
      <c r="AC17" s="109" t="n">
        <v>23162377</v>
      </c>
      <c r="AD17" s="109" t="n">
        <v>23594567</v>
      </c>
      <c r="AE17" s="109" t="n">
        <v>24643260</v>
      </c>
      <c r="AF17" s="109" t="n">
        <v>23320121</v>
      </c>
      <c r="AG17" s="109" t="n">
        <v>21961997</v>
      </c>
      <c r="AH17" s="109" t="n">
        <v>23900717</v>
      </c>
      <c r="AI17" s="109" t="n">
        <v>21244268</v>
      </c>
      <c r="AJ17" s="109" t="n">
        <v>22833201</v>
      </c>
      <c r="AK17" s="109" t="n">
        <v>21257703</v>
      </c>
      <c r="AL17" s="109" t="n">
        <v>21514333</v>
      </c>
      <c r="AM17" s="109" t="n">
        <v>22029956</v>
      </c>
      <c r="AN17" s="91" t="n"/>
    </row>
    <row r="18">
      <c r="B18" s="91" t="n"/>
      <c r="C18" s="108">
        <f>IFERROR(IF(LANG="EN",INDEX(I18N_EN,MATCH("kpi.mkt.spend_pct",I18N_KEY,0)),INDEX(I18N_FR,MATCH("kpi.mkt.spend_pct",I18N_KEY,0))),"kpi.mkt.spend_pct")</f>
        <v/>
      </c>
      <c r="D18" s="110" t="n">
        <v>0.0298</v>
      </c>
      <c r="E18" s="110" t="n">
        <v>0.0301</v>
      </c>
      <c r="F18" s="110" t="n">
        <v>0.0304</v>
      </c>
      <c r="G18" s="110" t="n">
        <v>0.0294</v>
      </c>
      <c r="H18" s="110" t="n">
        <v>0.0304</v>
      </c>
      <c r="I18" s="110" t="n">
        <v>0.0304</v>
      </c>
      <c r="J18" s="110" t="n">
        <v>0.0305</v>
      </c>
      <c r="K18" s="110" t="n">
        <v>0.0301</v>
      </c>
      <c r="L18" s="110" t="n">
        <v>0.031</v>
      </c>
      <c r="M18" s="110" t="n">
        <v>0.0299</v>
      </c>
      <c r="N18" s="110" t="n">
        <v>0.0292</v>
      </c>
      <c r="O18" s="110" t="n">
        <v>0.0306</v>
      </c>
      <c r="P18" s="110" t="n">
        <v>0.0317</v>
      </c>
      <c r="Q18" s="110" t="n">
        <v>0.0318</v>
      </c>
      <c r="R18" s="110" t="n">
        <v>0.031</v>
      </c>
      <c r="S18" s="110" t="n">
        <v>0.0319</v>
      </c>
      <c r="T18" s="110" t="n">
        <v>0.0317</v>
      </c>
      <c r="U18" s="110" t="n">
        <v>0.032</v>
      </c>
      <c r="V18" s="110" t="n">
        <v>0.0308</v>
      </c>
      <c r="W18" s="110" t="n">
        <v>0.0288</v>
      </c>
      <c r="X18" s="110" t="n">
        <v>0.0295</v>
      </c>
      <c r="Y18" s="110" t="n">
        <v>0.0329</v>
      </c>
      <c r="Z18" s="110" t="n">
        <v>0.0297</v>
      </c>
      <c r="AA18" s="110" t="n">
        <v>0.0328</v>
      </c>
      <c r="AB18" s="110" t="n">
        <v>0.0294</v>
      </c>
      <c r="AC18" s="110" t="n">
        <v>0.0295</v>
      </c>
      <c r="AD18" s="110" t="n">
        <v>0.0323</v>
      </c>
      <c r="AE18" s="110" t="n">
        <v>0.0297</v>
      </c>
      <c r="AF18" s="110" t="n">
        <v>0.0309</v>
      </c>
      <c r="AG18" s="110" t="n">
        <v>0.0329</v>
      </c>
      <c r="AH18" s="110" t="n">
        <v>0.0338</v>
      </c>
      <c r="AI18" s="110" t="n">
        <v>0.0335</v>
      </c>
      <c r="AJ18" s="110" t="n">
        <v>0.03</v>
      </c>
      <c r="AK18" s="110" t="n">
        <v>0.0332</v>
      </c>
      <c r="AL18" s="110" t="n">
        <v>0.0294</v>
      </c>
      <c r="AM18" s="110" t="n">
        <v>0.0318</v>
      </c>
      <c r="AN18" s="91" t="n"/>
    </row>
    <row r="19">
      <c r="B19" s="91" t="n"/>
      <c r="C19" s="108">
        <f>IFERROR(IF(LANG="EN",INDEX(I18N_EN,MATCH("kpi.mkt.impressions",I18N_KEY,0)),INDEX(I18N_FR,MATCH("kpi.mkt.impressions",I18N_KEY,0))),"kpi.mkt.impressions")</f>
        <v/>
      </c>
      <c r="D19" s="109" t="n">
        <v>1525211</v>
      </c>
      <c r="E19" s="109" t="n">
        <v>1513455</v>
      </c>
      <c r="F19" s="109" t="n">
        <v>1522092</v>
      </c>
      <c r="G19" s="109" t="n">
        <v>1480031</v>
      </c>
      <c r="H19" s="109" t="n">
        <v>1515204</v>
      </c>
      <c r="I19" s="109" t="n">
        <v>1539508</v>
      </c>
      <c r="J19" s="109" t="n">
        <v>1555400</v>
      </c>
      <c r="K19" s="109" t="n">
        <v>1543512</v>
      </c>
      <c r="L19" s="109" t="n">
        <v>1532485</v>
      </c>
      <c r="M19" s="109" t="n">
        <v>1502447</v>
      </c>
      <c r="N19" s="109" t="n">
        <v>1501169</v>
      </c>
      <c r="O19" s="109" t="n">
        <v>1523973</v>
      </c>
      <c r="P19" s="109" t="n">
        <v>1519592</v>
      </c>
      <c r="Q19" s="109" t="n">
        <v>1529109</v>
      </c>
      <c r="R19" s="109" t="n">
        <v>1599076</v>
      </c>
      <c r="S19" s="109" t="n">
        <v>1538362</v>
      </c>
      <c r="T19" s="109" t="n">
        <v>1449980</v>
      </c>
      <c r="U19" s="109" t="n">
        <v>1537759</v>
      </c>
      <c r="V19" s="109" t="n">
        <v>1541554</v>
      </c>
      <c r="W19" s="109" t="n">
        <v>1532852</v>
      </c>
      <c r="X19" s="109" t="n">
        <v>1544730</v>
      </c>
      <c r="Y19" s="109" t="n">
        <v>1520793</v>
      </c>
      <c r="Z19" s="109" t="n">
        <v>1504600</v>
      </c>
      <c r="AA19" s="109" t="n">
        <v>1545372</v>
      </c>
      <c r="AB19" s="109" t="n">
        <v>1486889</v>
      </c>
      <c r="AC19" s="109" t="n">
        <v>1479083</v>
      </c>
      <c r="AD19" s="109" t="n">
        <v>1471216</v>
      </c>
      <c r="AE19" s="109" t="n">
        <v>1488765</v>
      </c>
      <c r="AF19" s="109" t="n">
        <v>1536586</v>
      </c>
      <c r="AG19" s="109" t="n">
        <v>1501659</v>
      </c>
      <c r="AH19" s="109" t="n">
        <v>1492510</v>
      </c>
      <c r="AI19" s="109" t="n">
        <v>1480474</v>
      </c>
      <c r="AJ19" s="109" t="n">
        <v>1725460</v>
      </c>
      <c r="AK19" s="109" t="n">
        <v>1588758</v>
      </c>
      <c r="AL19" s="109" t="n">
        <v>1644013</v>
      </c>
      <c r="AM19" s="109" t="n">
        <v>1597712</v>
      </c>
      <c r="AN19" s="91" t="n"/>
    </row>
    <row r="20">
      <c r="B20" s="91" t="n"/>
      <c r="C20" s="108">
        <f>IFERROR(IF(LANG="EN",INDEX(I18N_EN,MATCH("kpi.mkt.campaigns",I18N_KEY,0)),INDEX(I18N_FR,MATCH("kpi.mkt.campaigns",I18N_KEY,0))),"kpi.mkt.campaigns")</f>
        <v/>
      </c>
      <c r="D20" s="109" t="n">
        <v>3</v>
      </c>
      <c r="E20" s="109" t="n">
        <v>3</v>
      </c>
      <c r="F20" s="109" t="n">
        <v>3</v>
      </c>
      <c r="G20" s="109" t="n">
        <v>3</v>
      </c>
      <c r="H20" s="109" t="n">
        <v>3</v>
      </c>
      <c r="I20" s="109" t="n">
        <v>3</v>
      </c>
      <c r="J20" s="109" t="n">
        <v>3</v>
      </c>
      <c r="K20" s="109" t="n">
        <v>3</v>
      </c>
      <c r="L20" s="109" t="n">
        <v>3</v>
      </c>
      <c r="M20" s="109" t="n">
        <v>3</v>
      </c>
      <c r="N20" s="109" t="n">
        <v>3</v>
      </c>
      <c r="O20" s="109" t="n">
        <v>3</v>
      </c>
      <c r="P20" s="109" t="n">
        <v>3</v>
      </c>
      <c r="Q20" s="109" t="n">
        <v>3</v>
      </c>
      <c r="R20" s="109" t="n">
        <v>3</v>
      </c>
      <c r="S20" s="109" t="n">
        <v>3</v>
      </c>
      <c r="T20" s="109" t="n">
        <v>3</v>
      </c>
      <c r="U20" s="109" t="n">
        <v>3</v>
      </c>
      <c r="V20" s="109" t="n">
        <v>3</v>
      </c>
      <c r="W20" s="109" t="n">
        <v>3</v>
      </c>
      <c r="X20" s="109" t="n">
        <v>3</v>
      </c>
      <c r="Y20" s="109" t="n">
        <v>3</v>
      </c>
      <c r="Z20" s="109" t="n">
        <v>3</v>
      </c>
      <c r="AA20" s="109" t="n">
        <v>3</v>
      </c>
      <c r="AB20" s="109" t="n">
        <v>3</v>
      </c>
      <c r="AC20" s="109" t="n">
        <v>3</v>
      </c>
      <c r="AD20" s="109" t="n">
        <v>3</v>
      </c>
      <c r="AE20" s="109" t="n">
        <v>3</v>
      </c>
      <c r="AF20" s="109" t="n">
        <v>3</v>
      </c>
      <c r="AG20" s="109" t="n">
        <v>3</v>
      </c>
      <c r="AH20" s="109" t="n">
        <v>3</v>
      </c>
      <c r="AI20" s="109" t="n">
        <v>3</v>
      </c>
      <c r="AJ20" s="109" t="n">
        <v>3</v>
      </c>
      <c r="AK20" s="109" t="n">
        <v>3</v>
      </c>
      <c r="AL20" s="109" t="n">
        <v>3</v>
      </c>
      <c r="AM20" s="109" t="n">
        <v>3</v>
      </c>
      <c r="AN20" s="91" t="n"/>
    </row>
    <row r="21">
      <c r="B21" s="91" t="n"/>
      <c r="C21" s="108">
        <f>IFERROR(IF(LANG="EN",INDEX(I18N_EN,MATCH("kpi.mkt.nps",I18N_KEY,0)),INDEX(I18N_FR,MATCH("kpi.mkt.nps",I18N_KEY,0))),"kpi.mkt.nps")</f>
        <v/>
      </c>
      <c r="D21" s="109" t="n">
        <v>42.21</v>
      </c>
      <c r="E21" s="109" t="n">
        <v>42.54</v>
      </c>
      <c r="F21" s="109" t="n">
        <v>42.17</v>
      </c>
      <c r="G21" s="109" t="n">
        <v>42.15</v>
      </c>
      <c r="H21" s="109" t="n">
        <v>43.02</v>
      </c>
      <c r="I21" s="109" t="n">
        <v>41.97</v>
      </c>
      <c r="J21" s="109" t="n">
        <v>43.07</v>
      </c>
      <c r="K21" s="109" t="n">
        <v>42.21</v>
      </c>
      <c r="L21" s="109" t="n">
        <v>42.89</v>
      </c>
      <c r="M21" s="109" t="n">
        <v>42.94</v>
      </c>
      <c r="N21" s="109" t="n">
        <v>42.89</v>
      </c>
      <c r="O21" s="109" t="n">
        <v>41.9</v>
      </c>
      <c r="P21" s="109" t="n">
        <v>43.35</v>
      </c>
      <c r="Q21" s="109" t="n">
        <v>42.37</v>
      </c>
      <c r="R21" s="109" t="n">
        <v>41.7</v>
      </c>
      <c r="S21" s="109" t="n">
        <v>41.63</v>
      </c>
      <c r="T21" s="109" t="n">
        <v>44.03</v>
      </c>
      <c r="U21" s="109" t="n">
        <v>42.07</v>
      </c>
      <c r="V21" s="109" t="n">
        <v>45.65</v>
      </c>
      <c r="W21" s="109" t="n">
        <v>42.21</v>
      </c>
      <c r="X21" s="109" t="n">
        <v>42.52</v>
      </c>
      <c r="Y21" s="109" t="n">
        <v>41.08</v>
      </c>
      <c r="Z21" s="109" t="n">
        <v>42.5</v>
      </c>
      <c r="AA21" s="109" t="n">
        <v>43.54</v>
      </c>
      <c r="AB21" s="109" t="n">
        <v>41.9</v>
      </c>
      <c r="AC21" s="109" t="n">
        <v>42.63</v>
      </c>
      <c r="AD21" s="109" t="n">
        <v>41.95</v>
      </c>
      <c r="AE21" s="109" t="n">
        <v>42.38</v>
      </c>
      <c r="AF21" s="109" t="n">
        <v>46.95</v>
      </c>
      <c r="AG21" s="109" t="n">
        <v>44.66</v>
      </c>
      <c r="AH21" s="109" t="n">
        <v>46.07</v>
      </c>
      <c r="AI21" s="109" t="n">
        <v>43.81</v>
      </c>
      <c r="AJ21" s="109" t="n">
        <v>41.13</v>
      </c>
      <c r="AK21" s="109" t="n">
        <v>45.26</v>
      </c>
      <c r="AL21" s="109" t="n">
        <v>42.39</v>
      </c>
      <c r="AM21" s="109" t="n">
        <v>40.67</v>
      </c>
      <c r="AN21" s="91" t="n"/>
    </row>
    <row r="22">
      <c r="B22" s="91" t="n"/>
      <c r="C22" s="108">
        <f>IFERROR(IF(LANG="EN",INDEX(I18N_EN,MATCH("kpi.mkt.members",I18N_KEY,0)),INDEX(I18N_FR,MATCH("kpi.mkt.members",I18N_KEY,0))),"kpi.mkt.members")</f>
        <v/>
      </c>
      <c r="D22" s="109" t="n">
        <v>26036</v>
      </c>
      <c r="E22" s="109" t="n">
        <v>25577</v>
      </c>
      <c r="F22" s="109" t="n">
        <v>26230</v>
      </c>
      <c r="G22" s="109" t="n">
        <v>25935</v>
      </c>
      <c r="H22" s="109" t="n">
        <v>25934</v>
      </c>
      <c r="I22" s="109" t="n">
        <v>25872</v>
      </c>
      <c r="J22" s="109" t="n">
        <v>27008</v>
      </c>
      <c r="K22" s="109" t="n">
        <v>26525</v>
      </c>
      <c r="L22" s="109" t="n">
        <v>26453</v>
      </c>
      <c r="M22" s="109" t="n">
        <v>26476</v>
      </c>
      <c r="N22" s="109" t="n">
        <v>26335</v>
      </c>
      <c r="O22" s="109" t="n">
        <v>26040</v>
      </c>
      <c r="P22" s="109" t="n">
        <v>27385</v>
      </c>
      <c r="Q22" s="109" t="n">
        <v>26724</v>
      </c>
      <c r="R22" s="109" t="n">
        <v>26817</v>
      </c>
      <c r="S22" s="109" t="n">
        <v>27102</v>
      </c>
      <c r="T22" s="109" t="n">
        <v>26674</v>
      </c>
      <c r="U22" s="109" t="n">
        <v>26814</v>
      </c>
      <c r="V22" s="109" t="n">
        <v>27227</v>
      </c>
      <c r="W22" s="109" t="n">
        <v>26818</v>
      </c>
      <c r="X22" s="109" t="n">
        <v>26001</v>
      </c>
      <c r="Y22" s="109" t="n">
        <v>26707</v>
      </c>
      <c r="Z22" s="109" t="n">
        <v>28269</v>
      </c>
      <c r="AA22" s="109" t="n">
        <v>26155</v>
      </c>
      <c r="AB22" s="109" t="n">
        <v>26220</v>
      </c>
      <c r="AC22" s="109" t="n">
        <v>27986</v>
      </c>
      <c r="AD22" s="109" t="n">
        <v>25609</v>
      </c>
      <c r="AE22" s="109" t="n">
        <v>25953</v>
      </c>
      <c r="AF22" s="109" t="n">
        <v>25713</v>
      </c>
      <c r="AG22" s="109" t="n">
        <v>27812</v>
      </c>
      <c r="AH22" s="109" t="n">
        <v>25368</v>
      </c>
      <c r="AI22" s="109" t="n">
        <v>27138</v>
      </c>
      <c r="AJ22" s="109" t="n">
        <v>26150</v>
      </c>
      <c r="AK22" s="109" t="n">
        <v>25123</v>
      </c>
      <c r="AL22" s="109" t="n">
        <v>28310</v>
      </c>
      <c r="AM22" s="109" t="n">
        <v>30014</v>
      </c>
      <c r="AN22" s="91" t="n"/>
    </row>
    <row r="23">
      <c r="B23" s="91" t="n"/>
      <c r="C23" s="108">
        <f>IFERROR(IF(LANG="EN",INDEX(I18N_EN,MATCH("kpi.mkt.member_act",I18N_KEY,0)),INDEX(I18N_FR,MATCH("kpi.mkt.member_act",I18N_KEY,0))),"kpi.mkt.member_act")</f>
        <v/>
      </c>
      <c r="D23" s="110" t="n">
        <v>0.3822</v>
      </c>
      <c r="E23" s="110" t="n">
        <v>0.3854</v>
      </c>
      <c r="F23" s="110" t="n">
        <v>0.3754</v>
      </c>
      <c r="G23" s="110" t="n">
        <v>0.3892</v>
      </c>
      <c r="H23" s="110" t="n">
        <v>0.389</v>
      </c>
      <c r="I23" s="110" t="n">
        <v>0.3774</v>
      </c>
      <c r="J23" s="110" t="n">
        <v>0.3836</v>
      </c>
      <c r="K23" s="110" t="n">
        <v>0.3843</v>
      </c>
      <c r="L23" s="110" t="n">
        <v>0.3831</v>
      </c>
      <c r="M23" s="110" t="n">
        <v>0.3839</v>
      </c>
      <c r="N23" s="110" t="n">
        <v>0.3739</v>
      </c>
      <c r="O23" s="110" t="n">
        <v>0.3859</v>
      </c>
      <c r="P23" s="110" t="n">
        <v>0.3857</v>
      </c>
      <c r="Q23" s="110" t="n">
        <v>0.3996</v>
      </c>
      <c r="R23" s="110" t="n">
        <v>0.3693</v>
      </c>
      <c r="S23" s="110" t="n">
        <v>0.3779</v>
      </c>
      <c r="T23" s="110" t="n">
        <v>0.3765</v>
      </c>
      <c r="U23" s="110" t="n">
        <v>0.3925</v>
      </c>
      <c r="V23" s="110" t="n">
        <v>0.3702</v>
      </c>
      <c r="W23" s="110" t="n">
        <v>0.4092</v>
      </c>
      <c r="X23" s="110" t="n">
        <v>0.3829</v>
      </c>
      <c r="Y23" s="110" t="n">
        <v>0.3992</v>
      </c>
      <c r="Z23" s="110" t="n">
        <v>0.3869</v>
      </c>
      <c r="AA23" s="110" t="n">
        <v>0.3931</v>
      </c>
      <c r="AB23" s="110" t="n">
        <v>0.3962</v>
      </c>
      <c r="AC23" s="110" t="n">
        <v>0.3953</v>
      </c>
      <c r="AD23" s="110" t="n">
        <v>0.3888</v>
      </c>
      <c r="AE23" s="110" t="n">
        <v>0.4087</v>
      </c>
      <c r="AF23" s="110" t="n">
        <v>0.4134</v>
      </c>
      <c r="AG23" s="110" t="n">
        <v>0.3887</v>
      </c>
      <c r="AH23" s="110" t="n">
        <v>0.406</v>
      </c>
      <c r="AI23" s="110" t="n">
        <v>0.4079</v>
      </c>
      <c r="AJ23" s="110" t="n">
        <v>0.4077</v>
      </c>
      <c r="AK23" s="110" t="n">
        <v>0.3899</v>
      </c>
      <c r="AL23" s="110" t="n">
        <v>0.3733</v>
      </c>
      <c r="AM23" s="110" t="n">
        <v>0.3767</v>
      </c>
      <c r="AN23" s="91" t="n"/>
    </row>
    <row r="24">
      <c r="B24" s="91" t="n"/>
      <c r="C24" s="108">
        <f>IFERROR(IF(LANG="EN",INDEX(I18N_EN,MATCH("kpi.mkt.basket_member",I18N_KEY,0)),INDEX(I18N_FR,MATCH("kpi.mkt.basket_member",I18N_KEY,0))),"kpi.mkt.basket_member")</f>
        <v/>
      </c>
      <c r="D24" s="109" t="n">
        <v>18189</v>
      </c>
      <c r="E24" s="109" t="n">
        <v>18233</v>
      </c>
      <c r="F24" s="109" t="n">
        <v>18889</v>
      </c>
      <c r="G24" s="109" t="n">
        <v>18456</v>
      </c>
      <c r="H24" s="109" t="n">
        <v>18933</v>
      </c>
      <c r="I24" s="109" t="n">
        <v>18168</v>
      </c>
      <c r="J24" s="109" t="n">
        <v>18241</v>
      </c>
      <c r="K24" s="109" t="n">
        <v>19355</v>
      </c>
      <c r="L24" s="109" t="n">
        <v>18537</v>
      </c>
      <c r="M24" s="109" t="n">
        <v>18538</v>
      </c>
      <c r="N24" s="109" t="n">
        <v>18606</v>
      </c>
      <c r="O24" s="109" t="n">
        <v>18699</v>
      </c>
      <c r="P24" s="109" t="n">
        <v>19071</v>
      </c>
      <c r="Q24" s="109" t="n">
        <v>18404</v>
      </c>
      <c r="R24" s="109" t="n">
        <v>18629</v>
      </c>
      <c r="S24" s="109" t="n">
        <v>19442</v>
      </c>
      <c r="T24" s="109" t="n">
        <v>18123</v>
      </c>
      <c r="U24" s="109" t="n">
        <v>18652</v>
      </c>
      <c r="V24" s="109" t="n">
        <v>18694</v>
      </c>
      <c r="W24" s="109" t="n">
        <v>18778</v>
      </c>
      <c r="X24" s="109" t="n">
        <v>19001</v>
      </c>
      <c r="Y24" s="109" t="n">
        <v>18571</v>
      </c>
      <c r="Z24" s="109" t="n">
        <v>19644</v>
      </c>
      <c r="AA24" s="109" t="n">
        <v>19737</v>
      </c>
      <c r="AB24" s="109" t="n">
        <v>19083</v>
      </c>
      <c r="AC24" s="109" t="n">
        <v>20178</v>
      </c>
      <c r="AD24" s="109" t="n">
        <v>18853</v>
      </c>
      <c r="AE24" s="109" t="n">
        <v>18988</v>
      </c>
      <c r="AF24" s="109" t="n">
        <v>20267</v>
      </c>
      <c r="AG24" s="109" t="n">
        <v>19573</v>
      </c>
      <c r="AH24" s="109" t="n">
        <v>20711</v>
      </c>
      <c r="AI24" s="109" t="n">
        <v>18459</v>
      </c>
      <c r="AJ24" s="109" t="n">
        <v>20195</v>
      </c>
      <c r="AK24" s="109" t="n">
        <v>20636</v>
      </c>
      <c r="AL24" s="109" t="n">
        <v>18633</v>
      </c>
      <c r="AM24" s="109" t="n">
        <v>19949</v>
      </c>
      <c r="AN24" s="91" t="n"/>
    </row>
    <row r="25">
      <c r="B25" s="91" t="n"/>
      <c r="C25" s="91" t="n"/>
      <c r="D25" s="91" t="n"/>
      <c r="E25" s="91" t="n"/>
      <c r="F25" s="91" t="n"/>
      <c r="G25" s="91" t="n"/>
      <c r="H25" s="91" t="n"/>
      <c r="I25" s="91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  <c r="Z25" s="91" t="n"/>
      <c r="AA25" s="91" t="n"/>
      <c r="AB25" s="91" t="n"/>
      <c r="AC25" s="91" t="n"/>
      <c r="AD25" s="91" t="n"/>
      <c r="AE25" s="91" t="n"/>
      <c r="AF25" s="91" t="n"/>
      <c r="AG25" s="91" t="n"/>
      <c r="AH25" s="91" t="n"/>
      <c r="AI25" s="91" t="n"/>
      <c r="AJ25" s="91" t="n"/>
      <c r="AK25" s="91" t="n"/>
      <c r="AL25" s="91" t="n"/>
      <c r="AM25" s="91" t="n"/>
      <c r="AN25" s="91" t="n"/>
    </row>
    <row r="26">
      <c r="B26" s="91" t="n"/>
      <c r="C26" s="99" t="inlineStr">
        <is>
          <t>💬 Commentaires (KPI × mois)</t>
        </is>
      </c>
      <c r="D26" s="91" t="n"/>
      <c r="E26" s="91" t="n"/>
      <c r="F26" s="91" t="n"/>
      <c r="G26" s="91" t="n"/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  <c r="Z26" s="91" t="n"/>
      <c r="AA26" s="91" t="n"/>
      <c r="AB26" s="91" t="n"/>
      <c r="AC26" s="91" t="n"/>
      <c r="AD26" s="91" t="n"/>
      <c r="AE26" s="91" t="n"/>
      <c r="AF26" s="91" t="n"/>
      <c r="AG26" s="91" t="n"/>
      <c r="AH26" s="91" t="n"/>
      <c r="AI26" s="91" t="n"/>
      <c r="AJ26" s="91" t="n"/>
      <c r="AK26" s="91" t="n"/>
      <c r="AL26" s="91" t="n"/>
      <c r="AM26" s="91" t="n"/>
      <c r="AN26" s="91" t="n"/>
    </row>
    <row r="27">
      <c r="B27" s="91" t="n"/>
      <c r="C27" s="111">
        <f>IFERROR(IF(LANG="EN",INDEX(I18N_EN,MATCH("kpi.mkt.events",I18N_KEY,0)),INDEX(I18N_FR,MATCH("kpi.mkt.events",I18N_KEY,0))),"kpi.mkt.events")</f>
        <v/>
      </c>
      <c r="D27" s="112" t="n"/>
      <c r="E27" s="112" t="n"/>
      <c r="F27" s="112" t="n"/>
      <c r="G27" s="112" t="n"/>
      <c r="H27" s="112" t="n"/>
      <c r="I27" s="112" t="n"/>
      <c r="J27" s="112" t="n"/>
      <c r="K27" s="112" t="n"/>
      <c r="L27" s="112" t="n"/>
      <c r="M27" s="112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91" t="n"/>
    </row>
    <row r="28">
      <c r="B28" s="91" t="n"/>
      <c r="C28" s="111">
        <f>IFERROR(IF(LANG="EN",INDEX(I18N_EN,MATCH("kpi.mkt.event_att",I18N_KEY,0)),INDEX(I18N_FR,MATCH("kpi.mkt.event_att",I18N_KEY,0))),"kpi.mkt.event_att")</f>
        <v/>
      </c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  <c r="T28" s="112" t="n"/>
      <c r="U28" s="112" t="n"/>
      <c r="V28" s="112" t="n"/>
      <c r="W28" s="112" t="n"/>
      <c r="X28" s="112" t="n"/>
      <c r="Y28" s="112" t="n"/>
      <c r="Z28" s="112" t="n"/>
      <c r="AA28" s="112" t="n"/>
      <c r="AB28" s="112" t="n"/>
      <c r="AC28" s="112" t="n"/>
      <c r="AD28" s="112" t="n"/>
      <c r="AE28" s="112" t="n"/>
      <c r="AF28" s="112" t="n"/>
      <c r="AG28" s="112" t="n"/>
      <c r="AH28" s="112" t="n"/>
      <c r="AI28" s="112" t="n"/>
      <c r="AJ28" s="112" t="n"/>
      <c r="AK28" s="112" t="n"/>
      <c r="AL28" s="112" t="n"/>
      <c r="AM28" s="112" t="n"/>
      <c r="AN28" s="91" t="n"/>
    </row>
    <row r="29">
      <c r="B29" s="91" t="n"/>
      <c r="C29" s="111">
        <f>IFERROR(IF(LANG="EN",INDEX(I18N_EN,MATCH("kpi.mkt.event_roi",I18N_KEY,0)),INDEX(I18N_FR,MATCH("kpi.mkt.event_roi",I18N_KEY,0))),"kpi.mkt.event_roi")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111">
        <f>IFERROR(IF(LANG="EN",INDEX(I18N_EN,MATCH("kpi.mkt.event_sat",I18N_KEY,0)),INDEX(I18N_FR,MATCH("kpi.mkt.event_sat",I18N_KEY,0))),"kpi.mkt.event_sat")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IFERROR(IF(LANG="EN",INDEX(I18N_EN,MATCH("kpi.mkt.engagement",I18N_KEY,0)),INDEX(I18N_FR,MATCH("kpi.mkt.engagement",I18N_KEY,0))),"kpi.mkt.engagement")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IFERROR(IF(LANG="EN",INDEX(I18N_EN,MATCH("kpi.mkt.followers",I18N_KEY,0)),INDEX(I18N_FR,MATCH("kpi.mkt.followers",I18N_KEY,0))),"kpi.mkt.followers")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IFERROR(IF(LANG="EN",INDEX(I18N_EN,MATCH("kpi.mkt.reach",I18N_KEY,0)),INDEX(I18N_FR,MATCH("kpi.mkt.reach",I18N_KEY,0))),"kpi.mkt.reach")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111">
        <f>IFERROR(IF(LANG="EN",INDEX(I18N_EN,MATCH("kpi.mkt.cpa",I18N_KEY,0)),INDEX(I18N_FR,MATCH("kpi.mkt.cpa",I18N_KEY,0))),"kpi.mkt.cpa")</f>
        <v/>
      </c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91" t="n"/>
    </row>
    <row r="35">
      <c r="B35" s="91" t="n"/>
      <c r="C35" s="111">
        <f>IFERROR(IF(LANG="EN",INDEX(I18N_EN,MATCH("kpi.mkt.digital_conv",I18N_KEY,0)),INDEX(I18N_FR,MATCH("kpi.mkt.digital_conv",I18N_KEY,0))),"kpi.mkt.digital_conv")</f>
        <v/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91" t="n"/>
    </row>
    <row r="36">
      <c r="B36" s="91" t="n"/>
      <c r="C36" s="111">
        <f>IFERROR(IF(LANG="EN",INDEX(I18N_EN,MATCH("kpi.mkt.spend",I18N_KEY,0)),INDEX(I18N_FR,MATCH("kpi.mkt.spend",I18N_KEY,0))),"kpi.mkt.spend")</f>
        <v/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91" t="n"/>
    </row>
    <row r="37">
      <c r="B37" s="91" t="n"/>
      <c r="C37" s="111">
        <f>IFERROR(IF(LANG="EN",INDEX(I18N_EN,MATCH("kpi.mkt.spend_pct",I18N_KEY,0)),INDEX(I18N_FR,MATCH("kpi.mkt.spend_pct",I18N_KEY,0))),"kpi.mkt.spend_pct")</f>
        <v/>
      </c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91" t="n"/>
    </row>
    <row r="38">
      <c r="B38" s="91" t="n"/>
      <c r="C38" s="111">
        <f>IFERROR(IF(LANG="EN",INDEX(I18N_EN,MATCH("kpi.mkt.impressions",I18N_KEY,0)),INDEX(I18N_FR,MATCH("kpi.mkt.impressions",I18N_KEY,0))),"kpi.mkt.impressions")</f>
        <v/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91" t="n"/>
    </row>
    <row r="39">
      <c r="B39" s="91" t="n"/>
      <c r="C39" s="111">
        <f>IFERROR(IF(LANG="EN",INDEX(I18N_EN,MATCH("kpi.mkt.campaigns",I18N_KEY,0)),INDEX(I18N_FR,MATCH("kpi.mkt.campaigns",I18N_KEY,0))),"kpi.mkt.campaigns")</f>
        <v/>
      </c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91" t="n"/>
    </row>
    <row r="40">
      <c r="B40" s="91" t="n"/>
      <c r="C40" s="111">
        <f>IFERROR(IF(LANG="EN",INDEX(I18N_EN,MATCH("kpi.mkt.nps",I18N_KEY,0)),INDEX(I18N_FR,MATCH("kpi.mkt.nps",I18N_KEY,0))),"kpi.mkt.nps")</f>
        <v/>
      </c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91" t="n"/>
    </row>
    <row r="41">
      <c r="B41" s="91" t="n"/>
      <c r="C41" s="111">
        <f>IFERROR(IF(LANG="EN",INDEX(I18N_EN,MATCH("kpi.mkt.members",I18N_KEY,0)),INDEX(I18N_FR,MATCH("kpi.mkt.members",I18N_KEY,0))),"kpi.mkt.members")</f>
        <v/>
      </c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91" t="n"/>
    </row>
    <row r="42">
      <c r="B42" s="91" t="n"/>
      <c r="C42" s="111">
        <f>IFERROR(IF(LANG="EN",INDEX(I18N_EN,MATCH("kpi.mkt.member_act",I18N_KEY,0)),INDEX(I18N_FR,MATCH("kpi.mkt.member_act",I18N_KEY,0))),"kpi.mkt.member_act")</f>
        <v/>
      </c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91" t="n"/>
    </row>
    <row r="43">
      <c r="B43" s="91" t="n"/>
      <c r="C43" s="111">
        <f>IFERROR(IF(LANG="EN",INDEX(I18N_EN,MATCH("kpi.mkt.basket_member",I18N_KEY,0)),INDEX(I18N_FR,MATCH("kpi.mkt.basket_member",I18N_KEY,0))),"kpi.mkt.basket_member")</f>
        <v/>
      </c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91" t="n"/>
    </row>
    <row r="44">
      <c r="B44" s="91" t="n"/>
      <c r="C44" s="91" t="n"/>
      <c r="D44" s="91" t="n"/>
      <c r="E44" s="91" t="n"/>
      <c r="F44" s="91" t="n"/>
      <c r="G44" s="91" t="n"/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  <c r="Z44" s="91" t="n"/>
      <c r="AA44" s="91" t="n"/>
      <c r="AB44" s="91" t="n"/>
      <c r="AC44" s="91" t="n"/>
      <c r="AD44" s="91" t="n"/>
      <c r="AE44" s="91" t="n"/>
      <c r="AF44" s="91" t="n"/>
      <c r="AG44" s="91" t="n"/>
      <c r="AH44" s="91" t="n"/>
      <c r="AI44" s="91" t="n"/>
      <c r="AJ44" s="91" t="n"/>
      <c r="AK44" s="91" t="n"/>
      <c r="AL44" s="91" t="n"/>
      <c r="AM44" s="91" t="n"/>
      <c r="AN44" s="91" t="n"/>
    </row>
    <row r="45">
      <c r="B45" s="91" t="n"/>
      <c r="C45" s="91" t="n"/>
      <c r="D45" s="91" t="n"/>
      <c r="E45" s="91" t="n"/>
      <c r="F45" s="91" t="n"/>
      <c r="G45" s="91" t="n"/>
      <c r="H45" s="91" t="n"/>
      <c r="I45" s="91" t="n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91" t="n"/>
      <c r="T45" s="91" t="n"/>
      <c r="U45" s="91" t="n"/>
      <c r="V45" s="91" t="n"/>
      <c r="W45" s="91" t="n"/>
      <c r="X45" s="91" t="n"/>
      <c r="Y45" s="91" t="n"/>
      <c r="Z45" s="91" t="n"/>
      <c r="AA45" s="91" t="n"/>
      <c r="AB45" s="91" t="n"/>
      <c r="AC45" s="91" t="n"/>
      <c r="AD45" s="91" t="n"/>
      <c r="AE45" s="91" t="n"/>
      <c r="AF45" s="91" t="n"/>
      <c r="AG45" s="91" t="n"/>
      <c r="AH45" s="91" t="n"/>
      <c r="AI45" s="91" t="n"/>
      <c r="AJ45" s="91" t="n"/>
      <c r="AK45" s="91" t="n"/>
      <c r="AL45" s="91" t="n"/>
      <c r="AM45" s="91" t="n"/>
      <c r="AN45" s="91" t="n"/>
    </row>
    <row r="46">
      <c r="B46" s="91" t="n"/>
      <c r="C46" s="91" t="n"/>
      <c r="D46" s="91" t="n"/>
      <c r="E46" s="91" t="n"/>
      <c r="F46" s="91" t="n"/>
      <c r="G46" s="91" t="n"/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  <c r="Z46" s="91" t="n"/>
      <c r="AA46" s="91" t="n"/>
      <c r="AB46" s="91" t="n"/>
      <c r="AC46" s="91" t="n"/>
      <c r="AD46" s="91" t="n"/>
      <c r="AE46" s="91" t="n"/>
      <c r="AF46" s="91" t="n"/>
      <c r="AG46" s="91" t="n"/>
      <c r="AH46" s="91" t="n"/>
      <c r="AI46" s="91" t="n"/>
      <c r="AJ46" s="91" t="n"/>
      <c r="AK46" s="91" t="n"/>
      <c r="AL46" s="91" t="n"/>
      <c r="AM46" s="91" t="n"/>
      <c r="AN46" s="91" t="n"/>
    </row>
    <row r="47">
      <c r="B47" s="91" t="n"/>
      <c r="C47" s="91" t="n"/>
      <c r="D47" s="91" t="n"/>
      <c r="E47" s="91" t="n"/>
      <c r="F47" s="91" t="n"/>
      <c r="G47" s="91" t="n"/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  <c r="Z47" s="91" t="n"/>
      <c r="AA47" s="91" t="n"/>
      <c r="AB47" s="91" t="n"/>
      <c r="AC47" s="91" t="n"/>
      <c r="AD47" s="91" t="n"/>
      <c r="AE47" s="91" t="n"/>
      <c r="AF47" s="91" t="n"/>
      <c r="AG47" s="91" t="n"/>
      <c r="AH47" s="91" t="n"/>
      <c r="AI47" s="91" t="n"/>
      <c r="AJ47" s="91" t="n"/>
      <c r="AK47" s="91" t="n"/>
      <c r="AL47" s="91" t="n"/>
      <c r="AM47" s="91" t="n"/>
      <c r="AN47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24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34155"/>
    <outlinePr summaryBelow="1" summaryRight="1"/>
    <pageSetUpPr/>
  </sheetPr>
  <dimension ref="B1:AN5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"&amp;IFERROR(IF(LANG="EN",INDEX(I18N_EN,MATCH("dept.com",I18N_KEY,0)),INDEX(I18N_FR,MATCH("dept.com",I18N_KEY,0))),"dept.com")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IFERROR(IF(LANG="EN",INDEX(I18N_EN,MATCH("kpi.com.tenant_sales",I18N_KEY,0)),INDEX(I18N_FR,MATCH("kpi.com.tenant_sales",I18N_KEY,0))),"kpi.com.tenant_sales")</f>
        <v/>
      </c>
      <c r="D8" s="109" t="n">
        <v>1226886815</v>
      </c>
      <c r="E8" s="109" t="n">
        <v>1232675094</v>
      </c>
      <c r="F8" s="109" t="n">
        <v>1255780398</v>
      </c>
      <c r="G8" s="109" t="n">
        <v>1265189301</v>
      </c>
      <c r="H8" s="109" t="n">
        <v>1240472916</v>
      </c>
      <c r="I8" s="109" t="n">
        <v>1285566219</v>
      </c>
      <c r="J8" s="109" t="n">
        <v>1284941518</v>
      </c>
      <c r="K8" s="109" t="n">
        <v>1262430387</v>
      </c>
      <c r="L8" s="109" t="n">
        <v>1278931343</v>
      </c>
      <c r="M8" s="109" t="n">
        <v>1297039423</v>
      </c>
      <c r="N8" s="109" t="n">
        <v>1265138986</v>
      </c>
      <c r="O8" s="109" t="n">
        <v>1254560446</v>
      </c>
      <c r="P8" s="109" t="n">
        <v>1246909879</v>
      </c>
      <c r="Q8" s="109" t="n">
        <v>1274950604</v>
      </c>
      <c r="R8" s="109" t="n">
        <v>1285043726</v>
      </c>
      <c r="S8" s="109" t="n">
        <v>1302741582</v>
      </c>
      <c r="T8" s="109" t="n">
        <v>1301146988</v>
      </c>
      <c r="U8" s="109" t="n">
        <v>1234902249</v>
      </c>
      <c r="V8" s="109" t="n">
        <v>1257273208</v>
      </c>
      <c r="W8" s="109" t="n">
        <v>1223656935</v>
      </c>
      <c r="X8" s="109" t="n">
        <v>1235774369</v>
      </c>
      <c r="Y8" s="109" t="n">
        <v>1223145567</v>
      </c>
      <c r="Z8" s="109" t="n">
        <v>1320320768</v>
      </c>
      <c r="AA8" s="109" t="n">
        <v>1286893563</v>
      </c>
      <c r="AB8" s="109" t="n">
        <v>1279772169</v>
      </c>
      <c r="AC8" s="109" t="n">
        <v>1251820233</v>
      </c>
      <c r="AD8" s="109" t="n">
        <v>1207248078</v>
      </c>
      <c r="AE8" s="109" t="n">
        <v>1289457669</v>
      </c>
      <c r="AF8" s="109" t="n">
        <v>1259092209</v>
      </c>
      <c r="AG8" s="109" t="n">
        <v>1315854616</v>
      </c>
      <c r="AH8" s="109" t="n">
        <v>1206109647</v>
      </c>
      <c r="AI8" s="109" t="n">
        <v>1317880066</v>
      </c>
      <c r="AJ8" s="109" t="n">
        <v>1326747465</v>
      </c>
      <c r="AK8" s="109" t="n">
        <v>1348054071</v>
      </c>
      <c r="AL8" s="109" t="n">
        <v>1227670475</v>
      </c>
      <c r="AM8" s="109" t="n">
        <v>1372863557</v>
      </c>
      <c r="AN8" s="91" t="n"/>
    </row>
    <row r="9">
      <c r="B9" s="91" t="n"/>
      <c r="C9" s="108">
        <f>IFERROR(IF(LANG="EN",INDEX(I18N_EN,MATCH("kpi.com.total_sales",I18N_KEY,0)),INDEX(I18N_FR,MATCH("kpi.com.total_sales",I18N_KEY,0))),"kpi.com.total_sales")</f>
        <v/>
      </c>
      <c r="D9" s="109" t="n">
        <v>1278658922</v>
      </c>
      <c r="E9" s="109" t="n">
        <v>1299157093</v>
      </c>
      <c r="F9" s="109" t="n">
        <v>1292138969</v>
      </c>
      <c r="G9" s="109" t="n">
        <v>1282922303</v>
      </c>
      <c r="H9" s="109" t="n">
        <v>1326986803</v>
      </c>
      <c r="I9" s="109" t="n">
        <v>1339090772</v>
      </c>
      <c r="J9" s="109" t="n">
        <v>1290149640</v>
      </c>
      <c r="K9" s="109" t="n">
        <v>1305878572</v>
      </c>
      <c r="L9" s="109" t="n">
        <v>1290448545</v>
      </c>
      <c r="M9" s="109" t="n">
        <v>1352289366</v>
      </c>
      <c r="N9" s="109" t="n">
        <v>1266612163</v>
      </c>
      <c r="O9" s="109" t="n">
        <v>1379303402</v>
      </c>
      <c r="P9" s="109" t="n">
        <v>1371804318</v>
      </c>
      <c r="Q9" s="109" t="n">
        <v>1287260738</v>
      </c>
      <c r="R9" s="109" t="n">
        <v>1282976113</v>
      </c>
      <c r="S9" s="109" t="n">
        <v>1259546143</v>
      </c>
      <c r="T9" s="109" t="n">
        <v>1318829176</v>
      </c>
      <c r="U9" s="109" t="n">
        <v>1321959793</v>
      </c>
      <c r="V9" s="109" t="n">
        <v>1343114976</v>
      </c>
      <c r="W9" s="109" t="n">
        <v>1294999737</v>
      </c>
      <c r="X9" s="109" t="n">
        <v>1269905407</v>
      </c>
      <c r="Y9" s="109" t="n">
        <v>1340771486</v>
      </c>
      <c r="Z9" s="109" t="n">
        <v>1275746658</v>
      </c>
      <c r="AA9" s="109" t="n">
        <v>1398258374</v>
      </c>
      <c r="AB9" s="109" t="n">
        <v>1272940322</v>
      </c>
      <c r="AC9" s="109" t="n">
        <v>1249328752</v>
      </c>
      <c r="AD9" s="109" t="n">
        <v>1322424261</v>
      </c>
      <c r="AE9" s="109" t="n">
        <v>1401197096</v>
      </c>
      <c r="AF9" s="109" t="n">
        <v>1271073634</v>
      </c>
      <c r="AG9" s="109" t="n">
        <v>1372065341</v>
      </c>
      <c r="AH9" s="109" t="n">
        <v>1353911518</v>
      </c>
      <c r="AI9" s="109" t="n">
        <v>1255769594</v>
      </c>
      <c r="AJ9" s="109" t="n">
        <v>1448256846</v>
      </c>
      <c r="AK9" s="109" t="n">
        <v>1284447019</v>
      </c>
      <c r="AL9" s="109" t="n">
        <v>1374701586</v>
      </c>
      <c r="AM9" s="109" t="n">
        <v>1227451390</v>
      </c>
      <c r="AN9" s="91" t="n"/>
    </row>
    <row r="10">
      <c r="B10" s="91" t="n"/>
      <c r="C10" s="108">
        <f>IFERROR(IF(LANG="EN",INDEX(I18N_EN,MATCH("kpi.com.sales_sqm",I18N_KEY,0)),INDEX(I18N_FR,MATCH("kpi.com.sales_sqm",I18N_KEY,0))),"kpi.com.sales_sqm")</f>
        <v/>
      </c>
      <c r="D10" s="109" t="n">
        <v>61587.25</v>
      </c>
      <c r="E10" s="109" t="n">
        <v>61200.18</v>
      </c>
      <c r="F10" s="109" t="n">
        <v>61701.32</v>
      </c>
      <c r="G10" s="109" t="n">
        <v>61744.6</v>
      </c>
      <c r="H10" s="109" t="n">
        <v>63035.13</v>
      </c>
      <c r="I10" s="109" t="n">
        <v>63307.32</v>
      </c>
      <c r="J10" s="109" t="n">
        <v>64304.59</v>
      </c>
      <c r="K10" s="109" t="n">
        <v>62233.92</v>
      </c>
      <c r="L10" s="109" t="n">
        <v>62319.17</v>
      </c>
      <c r="M10" s="109" t="n">
        <v>62671.58</v>
      </c>
      <c r="N10" s="109" t="n">
        <v>62419.43</v>
      </c>
      <c r="O10" s="109" t="n">
        <v>63657.53</v>
      </c>
      <c r="P10" s="109" t="n">
        <v>63852.22</v>
      </c>
      <c r="Q10" s="109" t="n">
        <v>61252.13</v>
      </c>
      <c r="R10" s="109" t="n">
        <v>62684.57</v>
      </c>
      <c r="S10" s="109" t="n">
        <v>65082.65</v>
      </c>
      <c r="T10" s="109" t="n">
        <v>62929.31</v>
      </c>
      <c r="U10" s="109" t="n">
        <v>61431.47</v>
      </c>
      <c r="V10" s="109" t="n">
        <v>66407.32000000001</v>
      </c>
      <c r="W10" s="109" t="n">
        <v>62905.88</v>
      </c>
      <c r="X10" s="109" t="n">
        <v>63035.53</v>
      </c>
      <c r="Y10" s="109" t="n">
        <v>68727.83</v>
      </c>
      <c r="Z10" s="109" t="n">
        <v>62256.7</v>
      </c>
      <c r="AA10" s="109" t="n">
        <v>66983.39999999999</v>
      </c>
      <c r="AB10" s="109" t="n">
        <v>65725.8</v>
      </c>
      <c r="AC10" s="109" t="n">
        <v>60381.93</v>
      </c>
      <c r="AD10" s="109" t="n">
        <v>68363.02</v>
      </c>
      <c r="AE10" s="109" t="n">
        <v>67873.23</v>
      </c>
      <c r="AF10" s="109" t="n">
        <v>63407.18</v>
      </c>
      <c r="AG10" s="109" t="n">
        <v>65058.73</v>
      </c>
      <c r="AH10" s="109" t="n">
        <v>69920.64</v>
      </c>
      <c r="AI10" s="109" t="n">
        <v>62953.54</v>
      </c>
      <c r="AJ10" s="109" t="n">
        <v>59594.37</v>
      </c>
      <c r="AK10" s="109" t="n">
        <v>68268.96000000001</v>
      </c>
      <c r="AL10" s="109" t="n">
        <v>62369.39</v>
      </c>
      <c r="AM10" s="109" t="n">
        <v>61099.11</v>
      </c>
      <c r="AN10" s="91" t="n"/>
    </row>
    <row r="11">
      <c r="B11" s="91" t="n"/>
      <c r="C11" s="108">
        <f>IFERROR(IF(LANG="EN",INDEX(I18N_EN,MATCH("kpi.com.lfl",I18N_KEY,0)),INDEX(I18N_FR,MATCH("kpi.com.lfl",I18N_KEY,0))),"kpi.com.lfl")</f>
        <v/>
      </c>
      <c r="D11" s="110" t="n">
        <v>0.0597</v>
      </c>
      <c r="E11" s="110" t="n">
        <v>0.0601</v>
      </c>
      <c r="F11" s="110" t="n">
        <v>0.0604</v>
      </c>
      <c r="G11" s="110" t="n">
        <v>0.0602</v>
      </c>
      <c r="H11" s="110" t="n">
        <v>0.0608</v>
      </c>
      <c r="I11" s="110" t="n">
        <v>0.0591</v>
      </c>
      <c r="J11" s="110" t="n">
        <v>0.0602</v>
      </c>
      <c r="K11" s="110" t="n">
        <v>0.0589</v>
      </c>
      <c r="L11" s="110" t="n">
        <v>0.061</v>
      </c>
      <c r="M11" s="110" t="n">
        <v>0.0629</v>
      </c>
      <c r="N11" s="110" t="n">
        <v>0.0604</v>
      </c>
      <c r="O11" s="110" t="n">
        <v>0.06370000000000001</v>
      </c>
      <c r="P11" s="110" t="n">
        <v>0.0606</v>
      </c>
      <c r="Q11" s="110" t="n">
        <v>0.0603</v>
      </c>
      <c r="R11" s="110" t="n">
        <v>0.0596</v>
      </c>
      <c r="S11" s="110" t="n">
        <v>0.0622</v>
      </c>
      <c r="T11" s="110" t="n">
        <v>0.0606</v>
      </c>
      <c r="U11" s="110" t="n">
        <v>0.0631</v>
      </c>
      <c r="V11" s="110" t="n">
        <v>0.0626</v>
      </c>
      <c r="W11" s="110" t="n">
        <v>0.0635</v>
      </c>
      <c r="X11" s="110" t="n">
        <v>0.0622</v>
      </c>
      <c r="Y11" s="110" t="n">
        <v>0.0597</v>
      </c>
      <c r="Z11" s="110" t="n">
        <v>0.0618</v>
      </c>
      <c r="AA11" s="110" t="n">
        <v>0.064</v>
      </c>
      <c r="AB11" s="110" t="n">
        <v>0.0625</v>
      </c>
      <c r="AC11" s="110" t="n">
        <v>0.0578</v>
      </c>
      <c r="AD11" s="110" t="n">
        <v>0.0609</v>
      </c>
      <c r="AE11" s="110" t="n">
        <v>0.0653</v>
      </c>
      <c r="AF11" s="110" t="n">
        <v>0.0619</v>
      </c>
      <c r="AG11" s="110" t="n">
        <v>0.0581</v>
      </c>
      <c r="AH11" s="110" t="n">
        <v>0.0597</v>
      </c>
      <c r="AI11" s="110" t="n">
        <v>0.06270000000000001</v>
      </c>
      <c r="AJ11" s="110" t="n">
        <v>0.0592</v>
      </c>
      <c r="AK11" s="110" t="n">
        <v>0.0683</v>
      </c>
      <c r="AL11" s="110" t="n">
        <v>0.0585</v>
      </c>
      <c r="AM11" s="110" t="n">
        <v>0.0616</v>
      </c>
      <c r="AN11" s="91" t="n"/>
    </row>
    <row r="12">
      <c r="B12" s="91" t="n"/>
      <c r="C12" s="108">
        <f>IFERROR(IF(LANG="EN",INDEX(I18N_EN,MATCH("kpi.com.new_leases",I18N_KEY,0)),INDEX(I18N_FR,MATCH("kpi.com.new_leases",I18N_KEY,0))),"kpi.com.new_leases")</f>
        <v/>
      </c>
      <c r="D12" s="109" t="n">
        <v>3</v>
      </c>
      <c r="E12" s="109" t="n">
        <v>3</v>
      </c>
      <c r="F12" s="109" t="n">
        <v>3</v>
      </c>
      <c r="G12" s="109" t="n">
        <v>3</v>
      </c>
      <c r="H12" s="109" t="n">
        <v>3</v>
      </c>
      <c r="I12" s="109" t="n">
        <v>3</v>
      </c>
      <c r="J12" s="109" t="n">
        <v>3</v>
      </c>
      <c r="K12" s="109" t="n">
        <v>3</v>
      </c>
      <c r="L12" s="109" t="n">
        <v>3</v>
      </c>
      <c r="M12" s="109" t="n">
        <v>3</v>
      </c>
      <c r="N12" s="109" t="n">
        <v>3</v>
      </c>
      <c r="O12" s="109" t="n">
        <v>3</v>
      </c>
      <c r="P12" s="109" t="n">
        <v>3</v>
      </c>
      <c r="Q12" s="109" t="n">
        <v>3</v>
      </c>
      <c r="R12" s="109" t="n">
        <v>3</v>
      </c>
      <c r="S12" s="109" t="n">
        <v>3</v>
      </c>
      <c r="T12" s="109" t="n">
        <v>3</v>
      </c>
      <c r="U12" s="109" t="n">
        <v>3</v>
      </c>
      <c r="V12" s="109" t="n">
        <v>3</v>
      </c>
      <c r="W12" s="109" t="n">
        <v>3</v>
      </c>
      <c r="X12" s="109" t="n">
        <v>3</v>
      </c>
      <c r="Y12" s="109" t="n">
        <v>3</v>
      </c>
      <c r="Z12" s="109" t="n">
        <v>3</v>
      </c>
      <c r="AA12" s="109" t="n">
        <v>3</v>
      </c>
      <c r="AB12" s="109" t="n">
        <v>3</v>
      </c>
      <c r="AC12" s="109" t="n">
        <v>3</v>
      </c>
      <c r="AD12" s="109" t="n">
        <v>3</v>
      </c>
      <c r="AE12" s="109" t="n">
        <v>3</v>
      </c>
      <c r="AF12" s="109" t="n">
        <v>3</v>
      </c>
      <c r="AG12" s="109" t="n">
        <v>3</v>
      </c>
      <c r="AH12" s="109" t="n">
        <v>3</v>
      </c>
      <c r="AI12" s="109" t="n">
        <v>3</v>
      </c>
      <c r="AJ12" s="109" t="n">
        <v>3</v>
      </c>
      <c r="AK12" s="109" t="n">
        <v>3</v>
      </c>
      <c r="AL12" s="109" t="n">
        <v>3</v>
      </c>
      <c r="AM12" s="109" t="n">
        <v>3</v>
      </c>
      <c r="AN12" s="91" t="n"/>
    </row>
    <row r="13">
      <c r="B13" s="91" t="n"/>
      <c r="C13" s="108">
        <f>IFERROR(IF(LANG="EN",INDEX(I18N_EN,MATCH("kpi.com.pipeline",I18N_KEY,0)),INDEX(I18N_FR,MATCH("kpi.com.pipeline",I18N_KEY,0))),"kpi.com.pipeline")</f>
        <v/>
      </c>
      <c r="D13" s="109" t="n">
        <v>341073942</v>
      </c>
      <c r="E13" s="109" t="n">
        <v>335790535</v>
      </c>
      <c r="F13" s="109" t="n">
        <v>338404088</v>
      </c>
      <c r="G13" s="109" t="n">
        <v>334871799</v>
      </c>
      <c r="H13" s="109" t="n">
        <v>342064466</v>
      </c>
      <c r="I13" s="109" t="n">
        <v>335445912</v>
      </c>
      <c r="J13" s="109" t="n">
        <v>342115084</v>
      </c>
      <c r="K13" s="109" t="n">
        <v>344103106</v>
      </c>
      <c r="L13" s="109" t="n">
        <v>348453395</v>
      </c>
      <c r="M13" s="109" t="n">
        <v>340664107</v>
      </c>
      <c r="N13" s="109" t="n">
        <v>353988787</v>
      </c>
      <c r="O13" s="109" t="n">
        <v>347559410</v>
      </c>
      <c r="P13" s="109" t="n">
        <v>362557833</v>
      </c>
      <c r="Q13" s="109" t="n">
        <v>342419532</v>
      </c>
      <c r="R13" s="109" t="n">
        <v>342153809</v>
      </c>
      <c r="S13" s="109" t="n">
        <v>359724543</v>
      </c>
      <c r="T13" s="109" t="n">
        <v>337112624</v>
      </c>
      <c r="U13" s="109" t="n">
        <v>350701261</v>
      </c>
      <c r="V13" s="109" t="n">
        <v>344127466</v>
      </c>
      <c r="W13" s="109" t="n">
        <v>356103991</v>
      </c>
      <c r="X13" s="109" t="n">
        <v>361558370</v>
      </c>
      <c r="Y13" s="109" t="n">
        <v>332484927</v>
      </c>
      <c r="Z13" s="109" t="n">
        <v>339088517</v>
      </c>
      <c r="AA13" s="109" t="n">
        <v>371343899</v>
      </c>
      <c r="AB13" s="109" t="n">
        <v>345388579</v>
      </c>
      <c r="AC13" s="109" t="n">
        <v>356947373</v>
      </c>
      <c r="AD13" s="109" t="n">
        <v>323878247</v>
      </c>
      <c r="AE13" s="109" t="n">
        <v>345605705</v>
      </c>
      <c r="AF13" s="109" t="n">
        <v>343233806</v>
      </c>
      <c r="AG13" s="109" t="n">
        <v>337448465</v>
      </c>
      <c r="AH13" s="109" t="n">
        <v>363245518</v>
      </c>
      <c r="AI13" s="109" t="n">
        <v>370149742</v>
      </c>
      <c r="AJ13" s="109" t="n">
        <v>321855968</v>
      </c>
      <c r="AK13" s="109" t="n">
        <v>342958092</v>
      </c>
      <c r="AL13" s="109" t="n">
        <v>373567174</v>
      </c>
      <c r="AM13" s="109" t="n">
        <v>379194168</v>
      </c>
      <c r="AN13" s="91" t="n"/>
    </row>
    <row r="14">
      <c r="B14" s="91" t="n"/>
      <c r="C14" s="108">
        <f>IFERROR(IF(LANG="EN",INDEX(I18N_EN,MATCH("kpi.com.leases_renewed",I18N_KEY,0)),INDEX(I18N_FR,MATCH("kpi.com.leases_renewed",I18N_KEY,0))),"kpi.com.leases_renewed")</f>
        <v/>
      </c>
      <c r="D14" s="109" t="n">
        <v>2</v>
      </c>
      <c r="E14" s="109" t="n">
        <v>2</v>
      </c>
      <c r="F14" s="109" t="n">
        <v>2</v>
      </c>
      <c r="G14" s="109" t="n">
        <v>2</v>
      </c>
      <c r="H14" s="109" t="n">
        <v>2</v>
      </c>
      <c r="I14" s="109" t="n">
        <v>2</v>
      </c>
      <c r="J14" s="109" t="n">
        <v>2</v>
      </c>
      <c r="K14" s="109" t="n">
        <v>2</v>
      </c>
      <c r="L14" s="109" t="n">
        <v>2</v>
      </c>
      <c r="M14" s="109" t="n">
        <v>2</v>
      </c>
      <c r="N14" s="109" t="n">
        <v>2</v>
      </c>
      <c r="O14" s="109" t="n">
        <v>2</v>
      </c>
      <c r="P14" s="109" t="n">
        <v>2</v>
      </c>
      <c r="Q14" s="109" t="n">
        <v>2</v>
      </c>
      <c r="R14" s="109" t="n">
        <v>2</v>
      </c>
      <c r="S14" s="109" t="n">
        <v>2</v>
      </c>
      <c r="T14" s="109" t="n">
        <v>2</v>
      </c>
      <c r="U14" s="109" t="n">
        <v>2</v>
      </c>
      <c r="V14" s="109" t="n">
        <v>2</v>
      </c>
      <c r="W14" s="109" t="n">
        <v>2</v>
      </c>
      <c r="X14" s="109" t="n">
        <v>2</v>
      </c>
      <c r="Y14" s="109" t="n">
        <v>2</v>
      </c>
      <c r="Z14" s="109" t="n">
        <v>2</v>
      </c>
      <c r="AA14" s="109" t="n">
        <v>2</v>
      </c>
      <c r="AB14" s="109" t="n">
        <v>2</v>
      </c>
      <c r="AC14" s="109" t="n">
        <v>2</v>
      </c>
      <c r="AD14" s="109" t="n">
        <v>2</v>
      </c>
      <c r="AE14" s="109" t="n">
        <v>2</v>
      </c>
      <c r="AF14" s="109" t="n">
        <v>2</v>
      </c>
      <c r="AG14" s="109" t="n">
        <v>2</v>
      </c>
      <c r="AH14" s="109" t="n">
        <v>2</v>
      </c>
      <c r="AI14" s="109" t="n">
        <v>2</v>
      </c>
      <c r="AJ14" s="109" t="n">
        <v>2</v>
      </c>
      <c r="AK14" s="109" t="n">
        <v>2</v>
      </c>
      <c r="AL14" s="109" t="n">
        <v>2</v>
      </c>
      <c r="AM14" s="109" t="n">
        <v>2</v>
      </c>
      <c r="AN14" s="91" t="n"/>
    </row>
    <row r="15">
      <c r="B15" s="91" t="n"/>
      <c r="C15" s="108">
        <f>IFERROR(IF(LANG="EN",INDEX(I18N_EN,MATCH("kpi.com.pipeline_conv",I18N_KEY,0)),INDEX(I18N_FR,MATCH("kpi.com.pipeline_conv",I18N_KEY,0))),"kpi.com.pipeline_conv")</f>
        <v/>
      </c>
      <c r="D15" s="110" t="n">
        <v>0.3474</v>
      </c>
      <c r="E15" s="110" t="n">
        <v>0.3488</v>
      </c>
      <c r="F15" s="110" t="n">
        <v>0.3466</v>
      </c>
      <c r="G15" s="110" t="n">
        <v>0.3496</v>
      </c>
      <c r="H15" s="110" t="n">
        <v>0.344</v>
      </c>
      <c r="I15" s="110" t="n">
        <v>0.3434</v>
      </c>
      <c r="J15" s="110" t="n">
        <v>0.3547</v>
      </c>
      <c r="K15" s="110" t="n">
        <v>0.3473</v>
      </c>
      <c r="L15" s="110" t="n">
        <v>0.3461</v>
      </c>
      <c r="M15" s="110" t="n">
        <v>0.3551</v>
      </c>
      <c r="N15" s="110" t="n">
        <v>0.3439</v>
      </c>
      <c r="O15" s="110" t="n">
        <v>0.3557</v>
      </c>
      <c r="P15" s="110" t="n">
        <v>0.3495</v>
      </c>
      <c r="Q15" s="110" t="n">
        <v>0.3582</v>
      </c>
      <c r="R15" s="110" t="n">
        <v>0.3397</v>
      </c>
      <c r="S15" s="110" t="n">
        <v>0.3508</v>
      </c>
      <c r="T15" s="110" t="n">
        <v>0.3624</v>
      </c>
      <c r="U15" s="110" t="n">
        <v>0.3727</v>
      </c>
      <c r="V15" s="110" t="n">
        <v>0.3606</v>
      </c>
      <c r="W15" s="110" t="n">
        <v>0.3745</v>
      </c>
      <c r="X15" s="110" t="n">
        <v>0.3673</v>
      </c>
      <c r="Y15" s="110" t="n">
        <v>0.384</v>
      </c>
      <c r="Z15" s="110" t="n">
        <v>0.3543</v>
      </c>
      <c r="AA15" s="110" t="n">
        <v>0.3818</v>
      </c>
      <c r="AB15" s="110" t="n">
        <v>0.3599</v>
      </c>
      <c r="AC15" s="110" t="n">
        <v>0.3747</v>
      </c>
      <c r="AD15" s="110" t="n">
        <v>0.3574</v>
      </c>
      <c r="AE15" s="110" t="n">
        <v>0.3536</v>
      </c>
      <c r="AF15" s="110" t="n">
        <v>0.3763</v>
      </c>
      <c r="AG15" s="110" t="n">
        <v>0.361</v>
      </c>
      <c r="AH15" s="110" t="n">
        <v>0.379</v>
      </c>
      <c r="AI15" s="110" t="n">
        <v>0.3886</v>
      </c>
      <c r="AJ15" s="110" t="n">
        <v>0.3356</v>
      </c>
      <c r="AK15" s="110" t="n">
        <v>0.3562</v>
      </c>
      <c r="AL15" s="110" t="n">
        <v>0.3484</v>
      </c>
      <c r="AM15" s="110" t="n">
        <v>0.3696</v>
      </c>
      <c r="AN15" s="91" t="n"/>
    </row>
    <row r="16">
      <c r="B16" s="91" t="n"/>
      <c r="C16" s="108">
        <f>IFERROR(IF(LANG="EN",INDEX(I18N_EN,MATCH("kpi.com.popup_count",I18N_KEY,0)),INDEX(I18N_FR,MATCH("kpi.com.popup_count",I18N_KEY,0))),"kpi.com.popup_count")</f>
        <v/>
      </c>
      <c r="D16" s="109" t="n">
        <v>6</v>
      </c>
      <c r="E16" s="109" t="n">
        <v>6</v>
      </c>
      <c r="F16" s="109" t="n">
        <v>6</v>
      </c>
      <c r="G16" s="109" t="n">
        <v>6</v>
      </c>
      <c r="H16" s="109" t="n">
        <v>6</v>
      </c>
      <c r="I16" s="109" t="n">
        <v>6</v>
      </c>
      <c r="J16" s="109" t="n">
        <v>6</v>
      </c>
      <c r="K16" s="109" t="n">
        <v>6</v>
      </c>
      <c r="L16" s="109" t="n">
        <v>6</v>
      </c>
      <c r="M16" s="109" t="n">
        <v>6</v>
      </c>
      <c r="N16" s="109" t="n">
        <v>6</v>
      </c>
      <c r="O16" s="109" t="n">
        <v>6</v>
      </c>
      <c r="P16" s="109" t="n">
        <v>6</v>
      </c>
      <c r="Q16" s="109" t="n">
        <v>6</v>
      </c>
      <c r="R16" s="109" t="n">
        <v>6</v>
      </c>
      <c r="S16" s="109" t="n">
        <v>6</v>
      </c>
      <c r="T16" s="109" t="n">
        <v>6</v>
      </c>
      <c r="U16" s="109" t="n">
        <v>6</v>
      </c>
      <c r="V16" s="109" t="n">
        <v>6</v>
      </c>
      <c r="W16" s="109" t="n">
        <v>6</v>
      </c>
      <c r="X16" s="109" t="n">
        <v>6</v>
      </c>
      <c r="Y16" s="109" t="n">
        <v>7</v>
      </c>
      <c r="Z16" s="109" t="n">
        <v>6</v>
      </c>
      <c r="AA16" s="109" t="n">
        <v>6</v>
      </c>
      <c r="AB16" s="109" t="n">
        <v>6</v>
      </c>
      <c r="AC16" s="109" t="n">
        <v>6</v>
      </c>
      <c r="AD16" s="109" t="n">
        <v>6</v>
      </c>
      <c r="AE16" s="109" t="n">
        <v>7</v>
      </c>
      <c r="AF16" s="109" t="n">
        <v>7</v>
      </c>
      <c r="AG16" s="109" t="n">
        <v>7</v>
      </c>
      <c r="AH16" s="109" t="n">
        <v>6</v>
      </c>
      <c r="AI16" s="109" t="n">
        <v>7</v>
      </c>
      <c r="AJ16" s="109" t="n">
        <v>6</v>
      </c>
      <c r="AK16" s="109" t="n">
        <v>6</v>
      </c>
      <c r="AL16" s="109" t="n">
        <v>6</v>
      </c>
      <c r="AM16" s="109" t="n">
        <v>7</v>
      </c>
      <c r="AN16" s="91" t="n"/>
    </row>
    <row r="17">
      <c r="B17" s="91" t="n"/>
      <c r="C17" s="108">
        <f>IFERROR(IF(LANG="EN",INDEX(I18N_EN,MATCH("kpi.com.popup_rev",I18N_KEY,0)),INDEX(I18N_FR,MATCH("kpi.com.popup_rev",I18N_KEY,0))),"kpi.com.popup_rev")</f>
        <v/>
      </c>
      <c r="D17" s="109" t="n">
        <v>18263289</v>
      </c>
      <c r="E17" s="109" t="n">
        <v>18144082</v>
      </c>
      <c r="F17" s="109" t="n">
        <v>17898730</v>
      </c>
      <c r="G17" s="109" t="n">
        <v>17955702</v>
      </c>
      <c r="H17" s="109" t="n">
        <v>18238411</v>
      </c>
      <c r="I17" s="109" t="n">
        <v>17891171</v>
      </c>
      <c r="J17" s="109" t="n">
        <v>18388691</v>
      </c>
      <c r="K17" s="109" t="n">
        <v>18175846</v>
      </c>
      <c r="L17" s="109" t="n">
        <v>18737497</v>
      </c>
      <c r="M17" s="109" t="n">
        <v>17584531</v>
      </c>
      <c r="N17" s="109" t="n">
        <v>17918378</v>
      </c>
      <c r="O17" s="109" t="n">
        <v>18222260</v>
      </c>
      <c r="P17" s="109" t="n">
        <v>18614598</v>
      </c>
      <c r="Q17" s="109" t="n">
        <v>18463901</v>
      </c>
      <c r="R17" s="109" t="n">
        <v>18504710</v>
      </c>
      <c r="S17" s="109" t="n">
        <v>18493341</v>
      </c>
      <c r="T17" s="109" t="n">
        <v>17891245</v>
      </c>
      <c r="U17" s="109" t="n">
        <v>18492189</v>
      </c>
      <c r="V17" s="109" t="n">
        <v>17968738</v>
      </c>
      <c r="W17" s="109" t="n">
        <v>18749053</v>
      </c>
      <c r="X17" s="109" t="n">
        <v>19038171</v>
      </c>
      <c r="Y17" s="109" t="n">
        <v>18479537</v>
      </c>
      <c r="Z17" s="109" t="n">
        <v>18574400</v>
      </c>
      <c r="AA17" s="109" t="n">
        <v>19771860</v>
      </c>
      <c r="AB17" s="109" t="n">
        <v>18844388</v>
      </c>
      <c r="AC17" s="109" t="n">
        <v>18732528</v>
      </c>
      <c r="AD17" s="109" t="n">
        <v>17877942</v>
      </c>
      <c r="AE17" s="109" t="n">
        <v>20385495</v>
      </c>
      <c r="AF17" s="109" t="n">
        <v>19497899</v>
      </c>
      <c r="AG17" s="109" t="n">
        <v>17768387</v>
      </c>
      <c r="AH17" s="109" t="n">
        <v>17481657</v>
      </c>
      <c r="AI17" s="109" t="n">
        <v>19899272</v>
      </c>
      <c r="AJ17" s="109" t="n">
        <v>17530399</v>
      </c>
      <c r="AK17" s="109" t="n">
        <v>19725402</v>
      </c>
      <c r="AL17" s="109" t="n">
        <v>17197627</v>
      </c>
      <c r="AM17" s="109" t="n">
        <v>19880283</v>
      </c>
      <c r="AN17" s="91" t="n"/>
    </row>
    <row r="18">
      <c r="B18" s="91" t="n"/>
      <c r="C18" s="108">
        <f>IFERROR(IF(LANG="EN",INDEX(I18N_EN,MATCH("kpi.com.kiosk_occ",I18N_KEY,0)),INDEX(I18N_FR,MATCH("kpi.com.kiosk_occ",I18N_KEY,0))),"kpi.com.kiosk_occ")</f>
        <v/>
      </c>
      <c r="D18" s="110" t="n">
        <v>0.779</v>
      </c>
      <c r="E18" s="110" t="n">
        <v>0.7796999999999999</v>
      </c>
      <c r="F18" s="110" t="n">
        <v>0.7956</v>
      </c>
      <c r="G18" s="110" t="n">
        <v>0.766</v>
      </c>
      <c r="H18" s="110" t="n">
        <v>0.7998</v>
      </c>
      <c r="I18" s="110" t="n">
        <v>0.7926</v>
      </c>
      <c r="J18" s="110" t="n">
        <v>0.7741</v>
      </c>
      <c r="K18" s="110" t="n">
        <v>0.7635</v>
      </c>
      <c r="L18" s="110" t="n">
        <v>0.8159999999999999</v>
      </c>
      <c r="M18" s="110" t="n">
        <v>0.7884</v>
      </c>
      <c r="N18" s="110" t="n">
        <v>0.7727000000000001</v>
      </c>
      <c r="O18" s="110" t="n">
        <v>0.8026</v>
      </c>
      <c r="P18" s="110" t="n">
        <v>0.7669</v>
      </c>
      <c r="Q18" s="110" t="n">
        <v>0.8001</v>
      </c>
      <c r="R18" s="110" t="n">
        <v>0.7612</v>
      </c>
      <c r="S18" s="110" t="n">
        <v>0.792</v>
      </c>
      <c r="T18" s="110" t="n">
        <v>0.8036</v>
      </c>
      <c r="U18" s="110" t="n">
        <v>0.7871</v>
      </c>
      <c r="V18" s="110" t="n">
        <v>0.8082</v>
      </c>
      <c r="W18" s="110" t="n">
        <v>0.8269</v>
      </c>
      <c r="X18" s="110" t="n">
        <v>0.7542</v>
      </c>
      <c r="Y18" s="110" t="n">
        <v>0.8332000000000001</v>
      </c>
      <c r="Z18" s="110" t="n">
        <v>0.8195</v>
      </c>
      <c r="AA18" s="110" t="n">
        <v>0.8252</v>
      </c>
      <c r="AB18" s="110" t="n">
        <v>0.8046</v>
      </c>
      <c r="AC18" s="110" t="n">
        <v>0.783</v>
      </c>
      <c r="AD18" s="110" t="n">
        <v>0.7955</v>
      </c>
      <c r="AE18" s="110" t="n">
        <v>0.8289</v>
      </c>
      <c r="AF18" s="110" t="n">
        <v>0.7665999999999999</v>
      </c>
      <c r="AG18" s="110" t="n">
        <v>0.7943</v>
      </c>
      <c r="AH18" s="110" t="n">
        <v>0.8482</v>
      </c>
      <c r="AI18" s="110" t="n">
        <v>0.8043</v>
      </c>
      <c r="AJ18" s="110" t="n">
        <v>0.801</v>
      </c>
      <c r="AK18" s="110" t="n">
        <v>0.856</v>
      </c>
      <c r="AL18" s="110" t="n">
        <v>0.881</v>
      </c>
      <c r="AM18" s="110" t="n">
        <v>0.8613</v>
      </c>
      <c r="AN18" s="91" t="n"/>
    </row>
    <row r="19">
      <c r="B19" s="91" t="n"/>
      <c r="C19" s="108">
        <f>IFERROR(IF(LANG="EN",INDEX(I18N_EN,MATCH("kpi.com.market_rev",I18N_KEY,0)),INDEX(I18N_FR,MATCH("kpi.com.market_rev",I18N_KEY,0))),"kpi.com.market_rev")</f>
        <v/>
      </c>
      <c r="D19" s="109" t="n">
        <v>41228910</v>
      </c>
      <c r="E19" s="109" t="n">
        <v>42391123</v>
      </c>
      <c r="F19" s="109" t="n">
        <v>42224368</v>
      </c>
      <c r="G19" s="109" t="n">
        <v>43083028</v>
      </c>
      <c r="H19" s="109" t="n">
        <v>41690276</v>
      </c>
      <c r="I19" s="109" t="n">
        <v>42077229</v>
      </c>
      <c r="J19" s="109" t="n">
        <v>42662155</v>
      </c>
      <c r="K19" s="109" t="n">
        <v>43232119</v>
      </c>
      <c r="L19" s="109" t="n">
        <v>42137826</v>
      </c>
      <c r="M19" s="109" t="n">
        <v>42508466</v>
      </c>
      <c r="N19" s="109" t="n">
        <v>41911789</v>
      </c>
      <c r="O19" s="109" t="n">
        <v>43673435</v>
      </c>
      <c r="P19" s="109" t="n">
        <v>40638583</v>
      </c>
      <c r="Q19" s="109" t="n">
        <v>41453374</v>
      </c>
      <c r="R19" s="109" t="n">
        <v>41533178</v>
      </c>
      <c r="S19" s="109" t="n">
        <v>40994903</v>
      </c>
      <c r="T19" s="109" t="n">
        <v>42129744</v>
      </c>
      <c r="U19" s="109" t="n">
        <v>44222522</v>
      </c>
      <c r="V19" s="109" t="n">
        <v>45258092</v>
      </c>
      <c r="W19" s="109" t="n">
        <v>43450384</v>
      </c>
      <c r="X19" s="109" t="n">
        <v>44289160</v>
      </c>
      <c r="Y19" s="109" t="n">
        <v>44720056</v>
      </c>
      <c r="Z19" s="109" t="n">
        <v>44453681</v>
      </c>
      <c r="AA19" s="109" t="n">
        <v>45894627</v>
      </c>
      <c r="AB19" s="109" t="n">
        <v>41963699</v>
      </c>
      <c r="AC19" s="109" t="n">
        <v>46350244</v>
      </c>
      <c r="AD19" s="109" t="n">
        <v>45821944</v>
      </c>
      <c r="AE19" s="109" t="n">
        <v>43824550</v>
      </c>
      <c r="AF19" s="109" t="n">
        <v>45196916</v>
      </c>
      <c r="AG19" s="109" t="n">
        <v>40671599</v>
      </c>
      <c r="AH19" s="109" t="n">
        <v>45598265</v>
      </c>
      <c r="AI19" s="109" t="n">
        <v>41875850</v>
      </c>
      <c r="AJ19" s="109" t="n">
        <v>47023689</v>
      </c>
      <c r="AK19" s="109" t="n">
        <v>43495445</v>
      </c>
      <c r="AL19" s="109" t="n">
        <v>47722571</v>
      </c>
      <c r="AM19" s="109" t="n">
        <v>41385570</v>
      </c>
      <c r="AN19" s="91" t="n"/>
    </row>
    <row r="20">
      <c r="B20" s="91" t="n"/>
      <c r="C20" s="108">
        <f>IFERROR(IF(LANG="EN",INDEX(I18N_EN,MATCH("kpi.com.market_occ",I18N_KEY,0)),INDEX(I18N_FR,MATCH("kpi.com.market_occ",I18N_KEY,0))),"kpi.com.market_occ")</f>
        <v/>
      </c>
      <c r="D20" s="110" t="n">
        <v>0.8389</v>
      </c>
      <c r="E20" s="110" t="n">
        <v>0.8346</v>
      </c>
      <c r="F20" s="110" t="n">
        <v>0.8434</v>
      </c>
      <c r="G20" s="110" t="n">
        <v>0.8137</v>
      </c>
      <c r="H20" s="110" t="n">
        <v>0.8278</v>
      </c>
      <c r="I20" s="110" t="n">
        <v>0.8478</v>
      </c>
      <c r="J20" s="110" t="n">
        <v>0.8318</v>
      </c>
      <c r="K20" s="110" t="n">
        <v>0.8581</v>
      </c>
      <c r="L20" s="110" t="n">
        <v>0.8373</v>
      </c>
      <c r="M20" s="110" t="n">
        <v>0.8604000000000001</v>
      </c>
      <c r="N20" s="110" t="n">
        <v>0.8572</v>
      </c>
      <c r="O20" s="110" t="n">
        <v>0.8404</v>
      </c>
      <c r="P20" s="110" t="n">
        <v>0.8731</v>
      </c>
      <c r="Q20" s="110" t="n">
        <v>0.8643</v>
      </c>
      <c r="R20" s="110" t="n">
        <v>0.8287</v>
      </c>
      <c r="S20" s="110" t="n">
        <v>0.8698</v>
      </c>
      <c r="T20" s="110" t="n">
        <v>0.8685</v>
      </c>
      <c r="U20" s="110" t="n">
        <v>0.8448</v>
      </c>
      <c r="V20" s="110" t="n">
        <v>0.8472</v>
      </c>
      <c r="W20" s="110" t="n">
        <v>0.8803</v>
      </c>
      <c r="X20" s="110" t="n">
        <v>0.8723</v>
      </c>
      <c r="Y20" s="110" t="n">
        <v>0.8118</v>
      </c>
      <c r="Z20" s="110" t="n">
        <v>0.8888</v>
      </c>
      <c r="AA20" s="110" t="n">
        <v>0.8067</v>
      </c>
      <c r="AB20" s="110" t="n">
        <v>0.835</v>
      </c>
      <c r="AC20" s="110" t="n">
        <v>0.896</v>
      </c>
      <c r="AD20" s="110" t="n">
        <v>0.8723</v>
      </c>
      <c r="AE20" s="110" t="n">
        <v>0.8133</v>
      </c>
      <c r="AF20" s="110" t="n">
        <v>0.8825</v>
      </c>
      <c r="AG20" s="110" t="n">
        <v>0.8295</v>
      </c>
      <c r="AH20" s="110" t="n">
        <v>0.8784</v>
      </c>
      <c r="AI20" s="110" t="n">
        <v>0.8038999999999999</v>
      </c>
      <c r="AJ20" s="110" t="n">
        <v>0.8399</v>
      </c>
      <c r="AK20" s="110" t="n">
        <v>0.9198</v>
      </c>
      <c r="AL20" s="110" t="n">
        <v>0.9349</v>
      </c>
      <c r="AM20" s="110" t="n">
        <v>0.8074</v>
      </c>
      <c r="AN20" s="91" t="n"/>
    </row>
    <row r="21">
      <c r="B21" s="91" t="n"/>
      <c r="C21" s="108">
        <f>IFERROR(IF(LANG="EN",INDEX(I18N_EN,MATCH("kpi.com.market_stalls",I18N_KEY,0)),INDEX(I18N_FR,MATCH("kpi.com.market_stalls",I18N_KEY,0))),"kpi.com.market_stalls")</f>
        <v/>
      </c>
      <c r="D21" s="109" t="n">
        <v>44</v>
      </c>
      <c r="E21" s="109" t="n">
        <v>45</v>
      </c>
      <c r="F21" s="109" t="n">
        <v>45</v>
      </c>
      <c r="G21" s="109" t="n">
        <v>45</v>
      </c>
      <c r="H21" s="109" t="n">
        <v>46</v>
      </c>
      <c r="I21" s="109" t="n">
        <v>44</v>
      </c>
      <c r="J21" s="109" t="n">
        <v>46</v>
      </c>
      <c r="K21" s="109" t="n">
        <v>45</v>
      </c>
      <c r="L21" s="109" t="n">
        <v>45</v>
      </c>
      <c r="M21" s="109" t="n">
        <v>44</v>
      </c>
      <c r="N21" s="109" t="n">
        <v>46</v>
      </c>
      <c r="O21" s="109" t="n">
        <v>45</v>
      </c>
      <c r="P21" s="109" t="n">
        <v>47</v>
      </c>
      <c r="Q21" s="109" t="n">
        <v>45</v>
      </c>
      <c r="R21" s="109" t="n">
        <v>46</v>
      </c>
      <c r="S21" s="109" t="n">
        <v>47</v>
      </c>
      <c r="T21" s="109" t="n">
        <v>48</v>
      </c>
      <c r="U21" s="109" t="n">
        <v>47</v>
      </c>
      <c r="V21" s="109" t="n">
        <v>48</v>
      </c>
      <c r="W21" s="109" t="n">
        <v>45</v>
      </c>
      <c r="X21" s="109" t="n">
        <v>48</v>
      </c>
      <c r="Y21" s="109" t="n">
        <v>47</v>
      </c>
      <c r="Z21" s="109" t="n">
        <v>44</v>
      </c>
      <c r="AA21" s="109" t="n">
        <v>46</v>
      </c>
      <c r="AB21" s="109" t="n">
        <v>47</v>
      </c>
      <c r="AC21" s="109" t="n">
        <v>49</v>
      </c>
      <c r="AD21" s="109" t="n">
        <v>45</v>
      </c>
      <c r="AE21" s="109" t="n">
        <v>48</v>
      </c>
      <c r="AF21" s="109" t="n">
        <v>43</v>
      </c>
      <c r="AG21" s="109" t="n">
        <v>43</v>
      </c>
      <c r="AH21" s="109" t="n">
        <v>44</v>
      </c>
      <c r="AI21" s="109" t="n">
        <v>50</v>
      </c>
      <c r="AJ21" s="109" t="n">
        <v>50</v>
      </c>
      <c r="AK21" s="109" t="n">
        <v>48</v>
      </c>
      <c r="AL21" s="109" t="n">
        <v>48</v>
      </c>
      <c r="AM21" s="109" t="n">
        <v>47</v>
      </c>
      <c r="AN21" s="91" t="n"/>
    </row>
    <row r="22">
      <c r="B22" s="91" t="n"/>
      <c r="C22" s="108">
        <f>IFERROR(IF(LANG="EN",INDEX(I18N_EN,MATCH("kpi.com.media_sales",I18N_KEY,0)),INDEX(I18N_FR,MATCH("kpi.com.media_sales",I18N_KEY,0))),"kpi.com.media_sales")</f>
        <v/>
      </c>
      <c r="D22" s="109" t="n">
        <v>27482136</v>
      </c>
      <c r="E22" s="109" t="n">
        <v>27988674</v>
      </c>
      <c r="F22" s="109" t="n">
        <v>28366550</v>
      </c>
      <c r="G22" s="109" t="n">
        <v>28085236</v>
      </c>
      <c r="H22" s="109" t="n">
        <v>27546841</v>
      </c>
      <c r="I22" s="109" t="n">
        <v>27927829</v>
      </c>
      <c r="J22" s="109" t="n">
        <v>27697186</v>
      </c>
      <c r="K22" s="109" t="n">
        <v>28616953</v>
      </c>
      <c r="L22" s="109" t="n">
        <v>28263444</v>
      </c>
      <c r="M22" s="109" t="n">
        <v>28339029</v>
      </c>
      <c r="N22" s="109" t="n">
        <v>28242157</v>
      </c>
      <c r="O22" s="109" t="n">
        <v>29290832</v>
      </c>
      <c r="P22" s="109" t="n">
        <v>28068355</v>
      </c>
      <c r="Q22" s="109" t="n">
        <v>28362186</v>
      </c>
      <c r="R22" s="109" t="n">
        <v>28643761</v>
      </c>
      <c r="S22" s="109" t="n">
        <v>28257622</v>
      </c>
      <c r="T22" s="109" t="n">
        <v>29710610</v>
      </c>
      <c r="U22" s="109" t="n">
        <v>27707090</v>
      </c>
      <c r="V22" s="109" t="n">
        <v>29580595</v>
      </c>
      <c r="W22" s="109" t="n">
        <v>29611164</v>
      </c>
      <c r="X22" s="109" t="n">
        <v>28013897</v>
      </c>
      <c r="Y22" s="109" t="n">
        <v>29687746</v>
      </c>
      <c r="Z22" s="109" t="n">
        <v>27930024</v>
      </c>
      <c r="AA22" s="109" t="n">
        <v>29375585</v>
      </c>
      <c r="AB22" s="109" t="n">
        <v>29836533</v>
      </c>
      <c r="AC22" s="109" t="n">
        <v>27658534</v>
      </c>
      <c r="AD22" s="109" t="n">
        <v>30439323</v>
      </c>
      <c r="AE22" s="109" t="n">
        <v>27840772</v>
      </c>
      <c r="AF22" s="109" t="n">
        <v>29487494</v>
      </c>
      <c r="AG22" s="109" t="n">
        <v>27991761</v>
      </c>
      <c r="AH22" s="109" t="n">
        <v>28857766</v>
      </c>
      <c r="AI22" s="109" t="n">
        <v>27682767</v>
      </c>
      <c r="AJ22" s="109" t="n">
        <v>30488571</v>
      </c>
      <c r="AK22" s="109" t="n">
        <v>27330151</v>
      </c>
      <c r="AL22" s="109" t="n">
        <v>29912435</v>
      </c>
      <c r="AM22" s="109" t="n">
        <v>27758258</v>
      </c>
      <c r="AN22" s="91" t="n"/>
    </row>
    <row r="23">
      <c r="B23" s="91" t="n"/>
      <c r="C23" s="108">
        <f>IFERROR(IF(LANG="EN",INDEX(I18N_EN,MATCH("kpi.com.partnership_rev",I18N_KEY,0)),INDEX(I18N_FR,MATCH("kpi.com.partnership_rev",I18N_KEY,0))),"kpi.com.partnership_rev")</f>
        <v/>
      </c>
      <c r="D23" s="109" t="n">
        <v>14802721</v>
      </c>
      <c r="E23" s="109" t="n">
        <v>15239866</v>
      </c>
      <c r="F23" s="109" t="n">
        <v>15234351</v>
      </c>
      <c r="G23" s="109" t="n">
        <v>15166688</v>
      </c>
      <c r="H23" s="109" t="n">
        <v>15254631</v>
      </c>
      <c r="I23" s="109" t="n">
        <v>15011172</v>
      </c>
      <c r="J23" s="109" t="n">
        <v>15305686</v>
      </c>
      <c r="K23" s="109" t="n">
        <v>15502347</v>
      </c>
      <c r="L23" s="109" t="n">
        <v>15270009</v>
      </c>
      <c r="M23" s="109" t="n">
        <v>15512007</v>
      </c>
      <c r="N23" s="109" t="n">
        <v>14893510</v>
      </c>
      <c r="O23" s="109" t="n">
        <v>15545734</v>
      </c>
      <c r="P23" s="109" t="n">
        <v>15140918</v>
      </c>
      <c r="Q23" s="109" t="n">
        <v>15063742</v>
      </c>
      <c r="R23" s="109" t="n">
        <v>15600256</v>
      </c>
      <c r="S23" s="109" t="n">
        <v>15444860</v>
      </c>
      <c r="T23" s="109" t="n">
        <v>14721924</v>
      </c>
      <c r="U23" s="109" t="n">
        <v>15512889</v>
      </c>
      <c r="V23" s="109" t="n">
        <v>15852886</v>
      </c>
      <c r="W23" s="109" t="n">
        <v>15019639</v>
      </c>
      <c r="X23" s="109" t="n">
        <v>14731797</v>
      </c>
      <c r="Y23" s="109" t="n">
        <v>16039508</v>
      </c>
      <c r="Z23" s="109" t="n">
        <v>15174932</v>
      </c>
      <c r="AA23" s="109" t="n">
        <v>14673879</v>
      </c>
      <c r="AB23" s="109" t="n">
        <v>15234789</v>
      </c>
      <c r="AC23" s="109" t="n">
        <v>16451062</v>
      </c>
      <c r="AD23" s="109" t="n">
        <v>14470169</v>
      </c>
      <c r="AE23" s="109" t="n">
        <v>16432195</v>
      </c>
      <c r="AF23" s="109" t="n">
        <v>15546780</v>
      </c>
      <c r="AG23" s="109" t="n">
        <v>15277908</v>
      </c>
      <c r="AH23" s="109" t="n">
        <v>16202121</v>
      </c>
      <c r="AI23" s="109" t="n">
        <v>14759631</v>
      </c>
      <c r="AJ23" s="109" t="n">
        <v>14947028</v>
      </c>
      <c r="AK23" s="109" t="n">
        <v>15359426</v>
      </c>
      <c r="AL23" s="109" t="n">
        <v>17054082</v>
      </c>
      <c r="AM23" s="109" t="n">
        <v>16806051</v>
      </c>
      <c r="AN23" s="91" t="n"/>
    </row>
    <row r="24">
      <c r="B24" s="91" t="n"/>
      <c r="C24" s="108">
        <f>IFERROR(IF(LANG="EN",INDEX(I18N_EN,MATCH("kpi.com.activations",I18N_KEY,0)),INDEX(I18N_FR,MATCH("kpi.com.activations",I18N_KEY,0))),"kpi.com.activations")</f>
        <v/>
      </c>
      <c r="D24" s="109" t="n">
        <v>5</v>
      </c>
      <c r="E24" s="109" t="n">
        <v>5</v>
      </c>
      <c r="F24" s="109" t="n">
        <v>5</v>
      </c>
      <c r="G24" s="109" t="n">
        <v>5</v>
      </c>
      <c r="H24" s="109" t="n">
        <v>5</v>
      </c>
      <c r="I24" s="109" t="n">
        <v>5</v>
      </c>
      <c r="J24" s="109" t="n">
        <v>5</v>
      </c>
      <c r="K24" s="109" t="n">
        <v>5</v>
      </c>
      <c r="L24" s="109" t="n">
        <v>5</v>
      </c>
      <c r="M24" s="109" t="n">
        <v>5</v>
      </c>
      <c r="N24" s="109" t="n">
        <v>5</v>
      </c>
      <c r="O24" s="109" t="n">
        <v>5</v>
      </c>
      <c r="P24" s="109" t="n">
        <v>5</v>
      </c>
      <c r="Q24" s="109" t="n">
        <v>5</v>
      </c>
      <c r="R24" s="109" t="n">
        <v>5</v>
      </c>
      <c r="S24" s="109" t="n">
        <v>5</v>
      </c>
      <c r="T24" s="109" t="n">
        <v>5</v>
      </c>
      <c r="U24" s="109" t="n">
        <v>5</v>
      </c>
      <c r="V24" s="109" t="n">
        <v>5</v>
      </c>
      <c r="W24" s="109" t="n">
        <v>5</v>
      </c>
      <c r="X24" s="109" t="n">
        <v>5</v>
      </c>
      <c r="Y24" s="109" t="n">
        <v>5</v>
      </c>
      <c r="Z24" s="109" t="n">
        <v>5</v>
      </c>
      <c r="AA24" s="109" t="n">
        <v>5</v>
      </c>
      <c r="AB24" s="109" t="n">
        <v>5</v>
      </c>
      <c r="AC24" s="109" t="n">
        <v>5</v>
      </c>
      <c r="AD24" s="109" t="n">
        <v>5</v>
      </c>
      <c r="AE24" s="109" t="n">
        <v>5</v>
      </c>
      <c r="AF24" s="109" t="n">
        <v>5</v>
      </c>
      <c r="AG24" s="109" t="n">
        <v>5</v>
      </c>
      <c r="AH24" s="109" t="n">
        <v>5</v>
      </c>
      <c r="AI24" s="109" t="n">
        <v>5</v>
      </c>
      <c r="AJ24" s="109" t="n">
        <v>5</v>
      </c>
      <c r="AK24" s="109" t="n">
        <v>5</v>
      </c>
      <c r="AL24" s="109" t="n">
        <v>5</v>
      </c>
      <c r="AM24" s="109" t="n">
        <v>5</v>
      </c>
      <c r="AN24" s="91" t="n"/>
    </row>
    <row r="25">
      <c r="B25" s="91" t="n"/>
      <c r="C25" s="108">
        <f>IFERROR(IF(LANG="EN",INDEX(I18N_EN,MATCH("kpi.com.activation_rev",I18N_KEY,0)),INDEX(I18N_FR,MATCH("kpi.com.activation_rev",I18N_KEY,0))),"kpi.com.activation_rev")</f>
        <v/>
      </c>
      <c r="D25" s="109" t="n">
        <v>9052578</v>
      </c>
      <c r="E25" s="109" t="n">
        <v>9037533</v>
      </c>
      <c r="F25" s="109" t="n">
        <v>9169050</v>
      </c>
      <c r="G25" s="109" t="n">
        <v>8959595</v>
      </c>
      <c r="H25" s="109" t="n">
        <v>9079882</v>
      </c>
      <c r="I25" s="109" t="n">
        <v>8893478</v>
      </c>
      <c r="J25" s="109" t="n">
        <v>9241741</v>
      </c>
      <c r="K25" s="109" t="n">
        <v>9024145</v>
      </c>
      <c r="L25" s="109" t="n">
        <v>9026560</v>
      </c>
      <c r="M25" s="109" t="n">
        <v>9113975</v>
      </c>
      <c r="N25" s="109" t="n">
        <v>9160192</v>
      </c>
      <c r="O25" s="109" t="n">
        <v>9531287</v>
      </c>
      <c r="P25" s="109" t="n">
        <v>9333196</v>
      </c>
      <c r="Q25" s="109" t="n">
        <v>8841119</v>
      </c>
      <c r="R25" s="109" t="n">
        <v>8783614</v>
      </c>
      <c r="S25" s="109" t="n">
        <v>8818455</v>
      </c>
      <c r="T25" s="109" t="n">
        <v>8968595</v>
      </c>
      <c r="U25" s="109" t="n">
        <v>8745857</v>
      </c>
      <c r="V25" s="109" t="n">
        <v>9041125</v>
      </c>
      <c r="W25" s="109" t="n">
        <v>9161776</v>
      </c>
      <c r="X25" s="109" t="n">
        <v>9204389</v>
      </c>
      <c r="Y25" s="109" t="n">
        <v>9166717</v>
      </c>
      <c r="Z25" s="109" t="n">
        <v>8866529</v>
      </c>
      <c r="AA25" s="109" t="n">
        <v>8904604</v>
      </c>
      <c r="AB25" s="109" t="n">
        <v>9774159</v>
      </c>
      <c r="AC25" s="109" t="n">
        <v>9178466</v>
      </c>
      <c r="AD25" s="109" t="n">
        <v>9223738</v>
      </c>
      <c r="AE25" s="109" t="n">
        <v>10136730</v>
      </c>
      <c r="AF25" s="109" t="n">
        <v>9339118</v>
      </c>
      <c r="AG25" s="109" t="n">
        <v>9616622</v>
      </c>
      <c r="AH25" s="109" t="n">
        <v>9364484</v>
      </c>
      <c r="AI25" s="109" t="n">
        <v>9911935</v>
      </c>
      <c r="AJ25" s="109" t="n">
        <v>8836368</v>
      </c>
      <c r="AK25" s="109" t="n">
        <v>9063161</v>
      </c>
      <c r="AL25" s="109" t="n">
        <v>10013741</v>
      </c>
      <c r="AM25" s="109" t="n">
        <v>8556278</v>
      </c>
      <c r="AN25" s="91" t="n"/>
    </row>
    <row r="26">
      <c r="B26" s="91" t="n"/>
      <c r="C26" s="108">
        <f>IFERROR(IF(LANG="EN",INDEX(I18N_EN,MATCH("kpi.com.discount",I18N_KEY,0)),INDEX(I18N_FR,MATCH("kpi.com.discount",I18N_KEY,0))),"kpi.com.discount")</f>
        <v/>
      </c>
      <c r="D26" s="110" t="n">
        <v>0.0401</v>
      </c>
      <c r="E26" s="110" t="n">
        <v>0.0407</v>
      </c>
      <c r="F26" s="110" t="n">
        <v>0.0392</v>
      </c>
      <c r="G26" s="110" t="n">
        <v>0.0401</v>
      </c>
      <c r="H26" s="110" t="n">
        <v>0.0397</v>
      </c>
      <c r="I26" s="110" t="n">
        <v>0.0398</v>
      </c>
      <c r="J26" s="110" t="n">
        <v>0.0403</v>
      </c>
      <c r="K26" s="110" t="n">
        <v>0.0418</v>
      </c>
      <c r="L26" s="110" t="n">
        <v>0.0396</v>
      </c>
      <c r="M26" s="110" t="n">
        <v>0.041</v>
      </c>
      <c r="N26" s="110" t="n">
        <v>0.0399</v>
      </c>
      <c r="O26" s="110" t="n">
        <v>0.041</v>
      </c>
      <c r="P26" s="110" t="n">
        <v>0.0411</v>
      </c>
      <c r="Q26" s="110" t="n">
        <v>0.0413</v>
      </c>
      <c r="R26" s="110" t="n">
        <v>0.0429</v>
      </c>
      <c r="S26" s="110" t="n">
        <v>0.0406</v>
      </c>
      <c r="T26" s="110" t="n">
        <v>0.0425</v>
      </c>
      <c r="U26" s="110" t="n">
        <v>0.0419</v>
      </c>
      <c r="V26" s="110" t="n">
        <v>0.0407</v>
      </c>
      <c r="W26" s="110" t="n">
        <v>0.0398</v>
      </c>
      <c r="X26" s="110" t="n">
        <v>0.0436</v>
      </c>
      <c r="Y26" s="110" t="n">
        <v>0.0399</v>
      </c>
      <c r="Z26" s="110" t="n">
        <v>0.0419</v>
      </c>
      <c r="AA26" s="110" t="n">
        <v>0.0415</v>
      </c>
      <c r="AB26" s="110" t="n">
        <v>0.041</v>
      </c>
      <c r="AC26" s="110" t="n">
        <v>0.043</v>
      </c>
      <c r="AD26" s="110" t="n">
        <v>0.0388</v>
      </c>
      <c r="AE26" s="110" t="n">
        <v>0.0409</v>
      </c>
      <c r="AF26" s="110" t="n">
        <v>0.0392</v>
      </c>
      <c r="AG26" s="110" t="n">
        <v>0.0436</v>
      </c>
      <c r="AH26" s="110" t="n">
        <v>0.0421</v>
      </c>
      <c r="AI26" s="110" t="n">
        <v>0.0376</v>
      </c>
      <c r="AJ26" s="110" t="n">
        <v>0.0408</v>
      </c>
      <c r="AK26" s="110" t="n">
        <v>0.0444</v>
      </c>
      <c r="AL26" s="110" t="n">
        <v>0.0438</v>
      </c>
      <c r="AM26" s="110" t="n">
        <v>0.0413</v>
      </c>
      <c r="AN26" s="91" t="n"/>
    </row>
    <row r="27"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  <c r="AK27" s="91" t="n"/>
      <c r="AL27" s="91" t="n"/>
      <c r="AM27" s="91" t="n"/>
      <c r="AN27" s="91" t="n"/>
    </row>
    <row r="28">
      <c r="B28" s="91" t="n"/>
      <c r="C28" s="99" t="inlineStr">
        <is>
          <t>💬 Commentaires (KPI × mois)</t>
        </is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  <c r="AB28" s="91" t="n"/>
      <c r="AC28" s="91" t="n"/>
      <c r="AD28" s="91" t="n"/>
      <c r="AE28" s="91" t="n"/>
      <c r="AF28" s="91" t="n"/>
      <c r="AG28" s="91" t="n"/>
      <c r="AH28" s="91" t="n"/>
      <c r="AI28" s="91" t="n"/>
      <c r="AJ28" s="91" t="n"/>
      <c r="AK28" s="91" t="n"/>
      <c r="AL28" s="91" t="n"/>
      <c r="AM28" s="91" t="n"/>
      <c r="AN28" s="91" t="n"/>
    </row>
    <row r="29">
      <c r="B29" s="91" t="n"/>
      <c r="C29" s="111">
        <f>IFERROR(IF(LANG="EN",INDEX(I18N_EN,MATCH("kpi.com.tenant_sales",I18N_KEY,0)),INDEX(I18N_FR,MATCH("kpi.com.tenant_sales",I18N_KEY,0))),"kpi.com.tenant_sales")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111">
        <f>IFERROR(IF(LANG="EN",INDEX(I18N_EN,MATCH("kpi.com.total_sales",I18N_KEY,0)),INDEX(I18N_FR,MATCH("kpi.com.total_sales",I18N_KEY,0))),"kpi.com.total_sales")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IFERROR(IF(LANG="EN",INDEX(I18N_EN,MATCH("kpi.com.sales_sqm",I18N_KEY,0)),INDEX(I18N_FR,MATCH("kpi.com.sales_sqm",I18N_KEY,0))),"kpi.com.sales_sqm")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IFERROR(IF(LANG="EN",INDEX(I18N_EN,MATCH("kpi.com.lfl",I18N_KEY,0)),INDEX(I18N_FR,MATCH("kpi.com.lfl",I18N_KEY,0))),"kpi.com.lfl")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IFERROR(IF(LANG="EN",INDEX(I18N_EN,MATCH("kpi.com.new_leases",I18N_KEY,0)),INDEX(I18N_FR,MATCH("kpi.com.new_leases",I18N_KEY,0))),"kpi.com.new_leases")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111">
        <f>IFERROR(IF(LANG="EN",INDEX(I18N_EN,MATCH("kpi.com.pipeline",I18N_KEY,0)),INDEX(I18N_FR,MATCH("kpi.com.pipeline",I18N_KEY,0))),"kpi.com.pipeline")</f>
        <v/>
      </c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91" t="n"/>
    </row>
    <row r="35">
      <c r="B35" s="91" t="n"/>
      <c r="C35" s="111">
        <f>IFERROR(IF(LANG="EN",INDEX(I18N_EN,MATCH("kpi.com.leases_renewed",I18N_KEY,0)),INDEX(I18N_FR,MATCH("kpi.com.leases_renewed",I18N_KEY,0))),"kpi.com.leases_renewed")</f>
        <v/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91" t="n"/>
    </row>
    <row r="36">
      <c r="B36" s="91" t="n"/>
      <c r="C36" s="111">
        <f>IFERROR(IF(LANG="EN",INDEX(I18N_EN,MATCH("kpi.com.pipeline_conv",I18N_KEY,0)),INDEX(I18N_FR,MATCH("kpi.com.pipeline_conv",I18N_KEY,0))),"kpi.com.pipeline_conv")</f>
        <v/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91" t="n"/>
    </row>
    <row r="37">
      <c r="B37" s="91" t="n"/>
      <c r="C37" s="111">
        <f>IFERROR(IF(LANG="EN",INDEX(I18N_EN,MATCH("kpi.com.popup_count",I18N_KEY,0)),INDEX(I18N_FR,MATCH("kpi.com.popup_count",I18N_KEY,0))),"kpi.com.popup_count")</f>
        <v/>
      </c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91" t="n"/>
    </row>
    <row r="38">
      <c r="B38" s="91" t="n"/>
      <c r="C38" s="111">
        <f>IFERROR(IF(LANG="EN",INDEX(I18N_EN,MATCH("kpi.com.popup_rev",I18N_KEY,0)),INDEX(I18N_FR,MATCH("kpi.com.popup_rev",I18N_KEY,0))),"kpi.com.popup_rev")</f>
        <v/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91" t="n"/>
    </row>
    <row r="39">
      <c r="B39" s="91" t="n"/>
      <c r="C39" s="111">
        <f>IFERROR(IF(LANG="EN",INDEX(I18N_EN,MATCH("kpi.com.kiosk_occ",I18N_KEY,0)),INDEX(I18N_FR,MATCH("kpi.com.kiosk_occ",I18N_KEY,0))),"kpi.com.kiosk_occ")</f>
        <v/>
      </c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91" t="n"/>
    </row>
    <row r="40">
      <c r="B40" s="91" t="n"/>
      <c r="C40" s="111">
        <f>IFERROR(IF(LANG="EN",INDEX(I18N_EN,MATCH("kpi.com.market_rev",I18N_KEY,0)),INDEX(I18N_FR,MATCH("kpi.com.market_rev",I18N_KEY,0))),"kpi.com.market_rev")</f>
        <v/>
      </c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91" t="n"/>
    </row>
    <row r="41">
      <c r="B41" s="91" t="n"/>
      <c r="C41" s="111">
        <f>IFERROR(IF(LANG="EN",INDEX(I18N_EN,MATCH("kpi.com.market_occ",I18N_KEY,0)),INDEX(I18N_FR,MATCH("kpi.com.market_occ",I18N_KEY,0))),"kpi.com.market_occ")</f>
        <v/>
      </c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91" t="n"/>
    </row>
    <row r="42">
      <c r="B42" s="91" t="n"/>
      <c r="C42" s="111">
        <f>IFERROR(IF(LANG="EN",INDEX(I18N_EN,MATCH("kpi.com.market_stalls",I18N_KEY,0)),INDEX(I18N_FR,MATCH("kpi.com.market_stalls",I18N_KEY,0))),"kpi.com.market_stalls")</f>
        <v/>
      </c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91" t="n"/>
    </row>
    <row r="43">
      <c r="B43" s="91" t="n"/>
      <c r="C43" s="111">
        <f>IFERROR(IF(LANG="EN",INDEX(I18N_EN,MATCH("kpi.com.media_sales",I18N_KEY,0)),INDEX(I18N_FR,MATCH("kpi.com.media_sales",I18N_KEY,0))),"kpi.com.media_sales")</f>
        <v/>
      </c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91" t="n"/>
    </row>
    <row r="44">
      <c r="B44" s="91" t="n"/>
      <c r="C44" s="111">
        <f>IFERROR(IF(LANG="EN",INDEX(I18N_EN,MATCH("kpi.com.partnership_rev",I18N_KEY,0)),INDEX(I18N_FR,MATCH("kpi.com.partnership_rev",I18N_KEY,0))),"kpi.com.partnership_rev")</f>
        <v/>
      </c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91" t="n"/>
    </row>
    <row r="45">
      <c r="B45" s="91" t="n"/>
      <c r="C45" s="111">
        <f>IFERROR(IF(LANG="EN",INDEX(I18N_EN,MATCH("kpi.com.activations",I18N_KEY,0)),INDEX(I18N_FR,MATCH("kpi.com.activations",I18N_KEY,0))),"kpi.com.activations")</f>
        <v/>
      </c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91" t="n"/>
    </row>
    <row r="46">
      <c r="B46" s="91" t="n"/>
      <c r="C46" s="111">
        <f>IFERROR(IF(LANG="EN",INDEX(I18N_EN,MATCH("kpi.com.activation_rev",I18N_KEY,0)),INDEX(I18N_FR,MATCH("kpi.com.activation_rev",I18N_KEY,0))),"kpi.com.activation_rev")</f>
        <v/>
      </c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91" t="n"/>
    </row>
    <row r="47">
      <c r="B47" s="91" t="n"/>
      <c r="C47" s="111">
        <f>IFERROR(IF(LANG="EN",INDEX(I18N_EN,MATCH("kpi.com.discount",I18N_KEY,0)),INDEX(I18N_FR,MATCH("kpi.com.discount",I18N_KEY,0))),"kpi.com.discount")</f>
        <v/>
      </c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91" t="n"/>
    </row>
    <row r="48">
      <c r="B48" s="91" t="n"/>
      <c r="C48" s="91" t="n"/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  <c r="AB48" s="91" t="n"/>
      <c r="AC48" s="91" t="n"/>
      <c r="AD48" s="91" t="n"/>
      <c r="AE48" s="91" t="n"/>
      <c r="AF48" s="91" t="n"/>
      <c r="AG48" s="91" t="n"/>
      <c r="AH48" s="91" t="n"/>
      <c r="AI48" s="91" t="n"/>
      <c r="AJ48" s="91" t="n"/>
      <c r="AK48" s="91" t="n"/>
      <c r="AL48" s="91" t="n"/>
      <c r="AM48" s="91" t="n"/>
      <c r="AN48" s="91" t="n"/>
    </row>
    <row r="49"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  <c r="AB49" s="91" t="n"/>
      <c r="AC49" s="91" t="n"/>
      <c r="AD49" s="91" t="n"/>
      <c r="AE49" s="91" t="n"/>
      <c r="AF49" s="91" t="n"/>
      <c r="AG49" s="91" t="n"/>
      <c r="AH49" s="91" t="n"/>
      <c r="AI49" s="91" t="n"/>
      <c r="AJ49" s="91" t="n"/>
      <c r="AK49" s="91" t="n"/>
      <c r="AL49" s="91" t="n"/>
      <c r="AM49" s="91" t="n"/>
      <c r="AN49" s="91" t="n"/>
    </row>
    <row r="50"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  <c r="AB50" s="91" t="n"/>
      <c r="AC50" s="91" t="n"/>
      <c r="AD50" s="91" t="n"/>
      <c r="AE50" s="91" t="n"/>
      <c r="AF50" s="91" t="n"/>
      <c r="AG50" s="91" t="n"/>
      <c r="AH50" s="91" t="n"/>
      <c r="AI50" s="91" t="n"/>
      <c r="AJ50" s="91" t="n"/>
      <c r="AK50" s="91" t="n"/>
      <c r="AL50" s="91" t="n"/>
      <c r="AM50" s="91" t="n"/>
      <c r="AN50" s="91" t="n"/>
    </row>
    <row r="51"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  <c r="AB51" s="91" t="n"/>
      <c r="AC51" s="91" t="n"/>
      <c r="AD51" s="91" t="n"/>
      <c r="AE51" s="91" t="n"/>
      <c r="AF51" s="91" t="n"/>
      <c r="AG51" s="91" t="n"/>
      <c r="AH51" s="91" t="n"/>
      <c r="AI51" s="91" t="n"/>
      <c r="AJ51" s="91" t="n"/>
      <c r="AK51" s="91" t="n"/>
      <c r="AL51" s="91" t="n"/>
      <c r="AM51" s="91" t="n"/>
      <c r="AN51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26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34155"/>
    <outlinePr summaryBelow="1" summaryRight="1"/>
    <pageSetUpPr/>
  </sheetPr>
  <dimension ref="B1:AN5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"&amp;IFERROR(IF(LANG="EN",INDEX(I18N_EN,MATCH("dept.hsse",I18N_KEY,0)),INDEX(I18N_FR,MATCH("dept.hsse",I18N_KEY,0))),"dept.hsse")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IFERROR(IF(LANG="EN",INDEX(I18N_EN,MATCH("kpi.hsse.incidents",I18N_KEY,0)),INDEX(I18N_FR,MATCH("kpi.hsse.incidents",I18N_KEY,0))),"kpi.hsse.incidents")</f>
        <v/>
      </c>
      <c r="D8" s="109" t="n">
        <v>2</v>
      </c>
      <c r="E8" s="109" t="n">
        <v>2</v>
      </c>
      <c r="F8" s="109" t="n">
        <v>2</v>
      </c>
      <c r="G8" s="109" t="n">
        <v>2</v>
      </c>
      <c r="H8" s="109" t="n">
        <v>2</v>
      </c>
      <c r="I8" s="109" t="n">
        <v>2</v>
      </c>
      <c r="J8" s="109" t="n">
        <v>2</v>
      </c>
      <c r="K8" s="109" t="n">
        <v>2</v>
      </c>
      <c r="L8" s="109" t="n">
        <v>2</v>
      </c>
      <c r="M8" s="109" t="n">
        <v>2</v>
      </c>
      <c r="N8" s="109" t="n">
        <v>2</v>
      </c>
      <c r="O8" s="109" t="n">
        <v>2</v>
      </c>
      <c r="P8" s="109" t="n">
        <v>2</v>
      </c>
      <c r="Q8" s="109" t="n">
        <v>2</v>
      </c>
      <c r="R8" s="109" t="n">
        <v>2</v>
      </c>
      <c r="S8" s="109" t="n">
        <v>2</v>
      </c>
      <c r="T8" s="109" t="n">
        <v>2</v>
      </c>
      <c r="U8" s="109" t="n">
        <v>2</v>
      </c>
      <c r="V8" s="109" t="n">
        <v>2</v>
      </c>
      <c r="W8" s="109" t="n">
        <v>2</v>
      </c>
      <c r="X8" s="109" t="n">
        <v>2</v>
      </c>
      <c r="Y8" s="109" t="n">
        <v>2</v>
      </c>
      <c r="Z8" s="109" t="n">
        <v>2</v>
      </c>
      <c r="AA8" s="109" t="n">
        <v>2</v>
      </c>
      <c r="AB8" s="109" t="n">
        <v>2</v>
      </c>
      <c r="AC8" s="109" t="n">
        <v>2</v>
      </c>
      <c r="AD8" s="109" t="n">
        <v>2</v>
      </c>
      <c r="AE8" s="109" t="n">
        <v>2</v>
      </c>
      <c r="AF8" s="109" t="n">
        <v>2</v>
      </c>
      <c r="AG8" s="109" t="n">
        <v>2</v>
      </c>
      <c r="AH8" s="109" t="n">
        <v>2</v>
      </c>
      <c r="AI8" s="109" t="n">
        <v>2</v>
      </c>
      <c r="AJ8" s="109" t="n">
        <v>2</v>
      </c>
      <c r="AK8" s="109" t="n">
        <v>2</v>
      </c>
      <c r="AL8" s="109" t="n">
        <v>2</v>
      </c>
      <c r="AM8" s="109" t="n">
        <v>2</v>
      </c>
      <c r="AN8" s="91" t="n"/>
    </row>
    <row r="9">
      <c r="B9" s="91" t="n"/>
      <c r="C9" s="108">
        <f>IFERROR(IF(LANG="EN",INDEX(I18N_EN,MATCH("kpi.hsse.incident_sev",I18N_KEY,0)),INDEX(I18N_FR,MATCH("kpi.hsse.incident_sev",I18N_KEY,0))),"kpi.hsse.incident_sev")</f>
        <v/>
      </c>
      <c r="D9" s="109" t="n">
        <v>2.12</v>
      </c>
      <c r="E9" s="109" t="n">
        <v>2.12</v>
      </c>
      <c r="F9" s="109" t="n">
        <v>2.12</v>
      </c>
      <c r="G9" s="109" t="n">
        <v>2.13</v>
      </c>
      <c r="H9" s="109" t="n">
        <v>2.07</v>
      </c>
      <c r="I9" s="109" t="n">
        <v>2.06</v>
      </c>
      <c r="J9" s="109" t="n">
        <v>2.1</v>
      </c>
      <c r="K9" s="109" t="n">
        <v>2.11</v>
      </c>
      <c r="L9" s="109" t="n">
        <v>2.17</v>
      </c>
      <c r="M9" s="109" t="n">
        <v>2.04</v>
      </c>
      <c r="N9" s="109" t="n">
        <v>2.17</v>
      </c>
      <c r="O9" s="109" t="n">
        <v>2.04</v>
      </c>
      <c r="P9" s="109" t="n">
        <v>2.06</v>
      </c>
      <c r="Q9" s="109" t="n">
        <v>2.19</v>
      </c>
      <c r="R9" s="109" t="n">
        <v>2.22</v>
      </c>
      <c r="S9" s="109" t="n">
        <v>2.13</v>
      </c>
      <c r="T9" s="109" t="n">
        <v>2.08</v>
      </c>
      <c r="U9" s="109" t="n">
        <v>2.1</v>
      </c>
      <c r="V9" s="109" t="n">
        <v>2.29</v>
      </c>
      <c r="W9" s="109" t="n">
        <v>2.09</v>
      </c>
      <c r="X9" s="109" t="n">
        <v>2.18</v>
      </c>
      <c r="Y9" s="109" t="n">
        <v>2.1</v>
      </c>
      <c r="Z9" s="109" t="n">
        <v>2.07</v>
      </c>
      <c r="AA9" s="109" t="n">
        <v>2.01</v>
      </c>
      <c r="AB9" s="109" t="n">
        <v>2.06</v>
      </c>
      <c r="AC9" s="109" t="n">
        <v>2.3</v>
      </c>
      <c r="AD9" s="109" t="n">
        <v>2.29</v>
      </c>
      <c r="AE9" s="109" t="n">
        <v>2.09</v>
      </c>
      <c r="AF9" s="109" t="n">
        <v>2.24</v>
      </c>
      <c r="AG9" s="109" t="n">
        <v>2.21</v>
      </c>
      <c r="AH9" s="109" t="n">
        <v>2.33</v>
      </c>
      <c r="AI9" s="109" t="n">
        <v>2.13</v>
      </c>
      <c r="AJ9" s="109" t="n">
        <v>2.06</v>
      </c>
      <c r="AK9" s="109" t="n">
        <v>2.09</v>
      </c>
      <c r="AL9" s="109" t="n">
        <v>2.02</v>
      </c>
      <c r="AM9" s="109" t="n">
        <v>2.07</v>
      </c>
      <c r="AN9" s="91" t="n"/>
    </row>
    <row r="10">
      <c r="B10" s="91" t="n"/>
      <c r="C10" s="108">
        <f>IFERROR(IF(LANG="EN",INDEX(I18N_EN,MATCH("kpi.hsse.tf",I18N_KEY,0)),INDEX(I18N_FR,MATCH("kpi.hsse.tf",I18N_KEY,0))),"kpi.hsse.tf")</f>
        <v/>
      </c>
      <c r="D10" s="109" t="n">
        <v>4.21</v>
      </c>
      <c r="E10" s="109" t="n">
        <v>4.17</v>
      </c>
      <c r="F10" s="109" t="n">
        <v>4.16</v>
      </c>
      <c r="G10" s="109" t="n">
        <v>4.19</v>
      </c>
      <c r="H10" s="109" t="n">
        <v>4.26</v>
      </c>
      <c r="I10" s="109" t="n">
        <v>4.2</v>
      </c>
      <c r="J10" s="109" t="n">
        <v>4.23</v>
      </c>
      <c r="K10" s="109" t="n">
        <v>4.23</v>
      </c>
      <c r="L10" s="109" t="n">
        <v>4.27</v>
      </c>
      <c r="M10" s="109" t="n">
        <v>4.27</v>
      </c>
      <c r="N10" s="109" t="n">
        <v>4.19</v>
      </c>
      <c r="O10" s="109" t="n">
        <v>4.28</v>
      </c>
      <c r="P10" s="109" t="n">
        <v>4.09</v>
      </c>
      <c r="Q10" s="109" t="n">
        <v>4.26</v>
      </c>
      <c r="R10" s="109" t="n">
        <v>4.22</v>
      </c>
      <c r="S10" s="109" t="n">
        <v>4.39</v>
      </c>
      <c r="T10" s="109" t="n">
        <v>4.45</v>
      </c>
      <c r="U10" s="109" t="n">
        <v>4.42</v>
      </c>
      <c r="V10" s="109" t="n">
        <v>4.2</v>
      </c>
      <c r="W10" s="109" t="n">
        <v>4.38</v>
      </c>
      <c r="X10" s="109" t="n">
        <v>4.44</v>
      </c>
      <c r="Y10" s="109" t="n">
        <v>4.26</v>
      </c>
      <c r="Z10" s="109" t="n">
        <v>4.39</v>
      </c>
      <c r="AA10" s="109" t="n">
        <v>4.34</v>
      </c>
      <c r="AB10" s="109" t="n">
        <v>4.29</v>
      </c>
      <c r="AC10" s="109" t="n">
        <v>4.26</v>
      </c>
      <c r="AD10" s="109" t="n">
        <v>4.07</v>
      </c>
      <c r="AE10" s="109" t="n">
        <v>4.38</v>
      </c>
      <c r="AF10" s="109" t="n">
        <v>4.06</v>
      </c>
      <c r="AG10" s="109" t="n">
        <v>3.99</v>
      </c>
      <c r="AH10" s="109" t="n">
        <v>4.59</v>
      </c>
      <c r="AI10" s="109" t="n">
        <v>4.33</v>
      </c>
      <c r="AJ10" s="109" t="n">
        <v>4.15</v>
      </c>
      <c r="AK10" s="109" t="n">
        <v>4.01</v>
      </c>
      <c r="AL10" s="109" t="n">
        <v>4.65</v>
      </c>
      <c r="AM10" s="109" t="n">
        <v>4.61</v>
      </c>
      <c r="AN10" s="91" t="n"/>
    </row>
    <row r="11">
      <c r="B11" s="91" t="n"/>
      <c r="C11" s="108">
        <f>IFERROR(IF(LANG="EN",INDEX(I18N_EN,MATCH("kpi.hsse.tg",I18N_KEY,0)),INDEX(I18N_FR,MATCH("kpi.hsse.tg",I18N_KEY,0))),"kpi.hsse.tg")</f>
        <v/>
      </c>
      <c r="D11" s="109" t="n">
        <v>0.15</v>
      </c>
      <c r="E11" s="109" t="n">
        <v>0.15</v>
      </c>
      <c r="F11" s="109" t="n">
        <v>0.15</v>
      </c>
      <c r="G11" s="109" t="n">
        <v>0.15</v>
      </c>
      <c r="H11" s="109" t="n">
        <v>0.15</v>
      </c>
      <c r="I11" s="109" t="n">
        <v>0.15</v>
      </c>
      <c r="J11" s="109" t="n">
        <v>0.15</v>
      </c>
      <c r="K11" s="109" t="n">
        <v>0.15</v>
      </c>
      <c r="L11" s="109" t="n">
        <v>0.15</v>
      </c>
      <c r="M11" s="109" t="n">
        <v>0.15</v>
      </c>
      <c r="N11" s="109" t="n">
        <v>0.15</v>
      </c>
      <c r="O11" s="109" t="n">
        <v>0.15</v>
      </c>
      <c r="P11" s="109" t="n">
        <v>0.16</v>
      </c>
      <c r="Q11" s="109" t="n">
        <v>0.16</v>
      </c>
      <c r="R11" s="109" t="n">
        <v>0.15</v>
      </c>
      <c r="S11" s="109" t="n">
        <v>0.15</v>
      </c>
      <c r="T11" s="109" t="n">
        <v>0.16</v>
      </c>
      <c r="U11" s="109" t="n">
        <v>0.15</v>
      </c>
      <c r="V11" s="109" t="n">
        <v>0.16</v>
      </c>
      <c r="W11" s="109" t="n">
        <v>0.14</v>
      </c>
      <c r="X11" s="109" t="n">
        <v>0.16</v>
      </c>
      <c r="Y11" s="109" t="n">
        <v>0.16</v>
      </c>
      <c r="Z11" s="109" t="n">
        <v>0.16</v>
      </c>
      <c r="AA11" s="109" t="n">
        <v>0.15</v>
      </c>
      <c r="AB11" s="109" t="n">
        <v>0.15</v>
      </c>
      <c r="AC11" s="109" t="n">
        <v>0.16</v>
      </c>
      <c r="AD11" s="109" t="n">
        <v>0.16</v>
      </c>
      <c r="AE11" s="109" t="n">
        <v>0.16</v>
      </c>
      <c r="AF11" s="109" t="n">
        <v>0.15</v>
      </c>
      <c r="AG11" s="109" t="n">
        <v>0.14</v>
      </c>
      <c r="AH11" s="109" t="n">
        <v>0.16</v>
      </c>
      <c r="AI11" s="109" t="n">
        <v>0.16</v>
      </c>
      <c r="AJ11" s="109" t="n">
        <v>0.15</v>
      </c>
      <c r="AK11" s="109" t="n">
        <v>0.16</v>
      </c>
      <c r="AL11" s="109" t="n">
        <v>0.15</v>
      </c>
      <c r="AM11" s="109" t="n">
        <v>0.16</v>
      </c>
      <c r="AN11" s="91" t="n"/>
    </row>
    <row r="12">
      <c r="B12" s="91" t="n"/>
      <c r="C12" s="108">
        <f>IFERROR(IF(LANG="EN",INDEX(I18N_EN,MATCH("kpi.hsse.nearmiss",I18N_KEY,0)),INDEX(I18N_FR,MATCH("kpi.hsse.nearmiss",I18N_KEY,0))),"kpi.hsse.nearmiss")</f>
        <v/>
      </c>
      <c r="D12" s="109" t="n">
        <v>5</v>
      </c>
      <c r="E12" s="109" t="n">
        <v>5</v>
      </c>
      <c r="F12" s="109" t="n">
        <v>5</v>
      </c>
      <c r="G12" s="109" t="n">
        <v>5</v>
      </c>
      <c r="H12" s="109" t="n">
        <v>5</v>
      </c>
      <c r="I12" s="109" t="n">
        <v>5</v>
      </c>
      <c r="J12" s="109" t="n">
        <v>5</v>
      </c>
      <c r="K12" s="109" t="n">
        <v>5</v>
      </c>
      <c r="L12" s="109" t="n">
        <v>5</v>
      </c>
      <c r="M12" s="109" t="n">
        <v>5</v>
      </c>
      <c r="N12" s="109" t="n">
        <v>5</v>
      </c>
      <c r="O12" s="109" t="n">
        <v>5</v>
      </c>
      <c r="P12" s="109" t="n">
        <v>5</v>
      </c>
      <c r="Q12" s="109" t="n">
        <v>5</v>
      </c>
      <c r="R12" s="109" t="n">
        <v>5</v>
      </c>
      <c r="S12" s="109" t="n">
        <v>5</v>
      </c>
      <c r="T12" s="109" t="n">
        <v>5</v>
      </c>
      <c r="U12" s="109" t="n">
        <v>5</v>
      </c>
      <c r="V12" s="109" t="n">
        <v>5</v>
      </c>
      <c r="W12" s="109" t="n">
        <v>5</v>
      </c>
      <c r="X12" s="109" t="n">
        <v>5</v>
      </c>
      <c r="Y12" s="109" t="n">
        <v>5</v>
      </c>
      <c r="Z12" s="109" t="n">
        <v>5</v>
      </c>
      <c r="AA12" s="109" t="n">
        <v>5</v>
      </c>
      <c r="AB12" s="109" t="n">
        <v>5</v>
      </c>
      <c r="AC12" s="109" t="n">
        <v>5</v>
      </c>
      <c r="AD12" s="109" t="n">
        <v>5</v>
      </c>
      <c r="AE12" s="109" t="n">
        <v>5</v>
      </c>
      <c r="AF12" s="109" t="n">
        <v>5</v>
      </c>
      <c r="AG12" s="109" t="n">
        <v>5</v>
      </c>
      <c r="AH12" s="109" t="n">
        <v>5</v>
      </c>
      <c r="AI12" s="109" t="n">
        <v>5</v>
      </c>
      <c r="AJ12" s="109" t="n">
        <v>5</v>
      </c>
      <c r="AK12" s="109" t="n">
        <v>5</v>
      </c>
      <c r="AL12" s="109" t="n">
        <v>5</v>
      </c>
      <c r="AM12" s="109" t="n">
        <v>5</v>
      </c>
      <c r="AN12" s="91" t="n"/>
    </row>
    <row r="13">
      <c r="B13" s="91" t="n"/>
      <c r="C13" s="108">
        <f>IFERROR(IF(LANG="EN",INDEX(I18N_EN,MATCH("kpi.hsse.days_no_lti",I18N_KEY,0)),INDEX(I18N_FR,MATCH("kpi.hsse.days_no_lti",I18N_KEY,0))),"kpi.hsse.days_no_lti")</f>
        <v/>
      </c>
      <c r="D13" s="109" t="n">
        <v>119</v>
      </c>
      <c r="E13" s="109" t="n">
        <v>122</v>
      </c>
      <c r="F13" s="109" t="n">
        <v>121</v>
      </c>
      <c r="G13" s="109" t="n">
        <v>121</v>
      </c>
      <c r="H13" s="109" t="n">
        <v>118</v>
      </c>
      <c r="I13" s="109" t="n">
        <v>118</v>
      </c>
      <c r="J13" s="109" t="n">
        <v>123</v>
      </c>
      <c r="K13" s="109" t="n">
        <v>121</v>
      </c>
      <c r="L13" s="109" t="n">
        <v>124</v>
      </c>
      <c r="M13" s="109" t="n">
        <v>120</v>
      </c>
      <c r="N13" s="109" t="n">
        <v>119</v>
      </c>
      <c r="O13" s="109" t="n">
        <v>127</v>
      </c>
      <c r="P13" s="109" t="n">
        <v>121</v>
      </c>
      <c r="Q13" s="109" t="n">
        <v>122</v>
      </c>
      <c r="R13" s="109" t="n">
        <v>128</v>
      </c>
      <c r="S13" s="109" t="n">
        <v>117</v>
      </c>
      <c r="T13" s="109" t="n">
        <v>127</v>
      </c>
      <c r="U13" s="109" t="n">
        <v>125</v>
      </c>
      <c r="V13" s="109" t="n">
        <v>131</v>
      </c>
      <c r="W13" s="109" t="n">
        <v>122</v>
      </c>
      <c r="X13" s="109" t="n">
        <v>118</v>
      </c>
      <c r="Y13" s="109" t="n">
        <v>127</v>
      </c>
      <c r="Z13" s="109" t="n">
        <v>125</v>
      </c>
      <c r="AA13" s="109" t="n">
        <v>127</v>
      </c>
      <c r="AB13" s="109" t="n">
        <v>121</v>
      </c>
      <c r="AC13" s="109" t="n">
        <v>121</v>
      </c>
      <c r="AD13" s="109" t="n">
        <v>122</v>
      </c>
      <c r="AE13" s="109" t="n">
        <v>126</v>
      </c>
      <c r="AF13" s="109" t="n">
        <v>125</v>
      </c>
      <c r="AG13" s="109" t="n">
        <v>121</v>
      </c>
      <c r="AH13" s="109" t="n">
        <v>131</v>
      </c>
      <c r="AI13" s="109" t="n">
        <v>135</v>
      </c>
      <c r="AJ13" s="109" t="n">
        <v>124</v>
      </c>
      <c r="AK13" s="109" t="n">
        <v>131</v>
      </c>
      <c r="AL13" s="109" t="n">
        <v>137</v>
      </c>
      <c r="AM13" s="109" t="n">
        <v>135</v>
      </c>
      <c r="AN13" s="91" t="n"/>
    </row>
    <row r="14">
      <c r="B14" s="91" t="n"/>
      <c r="C14" s="108">
        <f>IFERROR(IF(LANG="EN",INDEX(I18N_EN,MATCH("kpi.hsse.evac_drills",I18N_KEY,0)),INDEX(I18N_FR,MATCH("kpi.hsse.evac_drills",I18N_KEY,0))),"kpi.hsse.evac_drills")</f>
        <v/>
      </c>
      <c r="D14" s="109" t="n">
        <v>1</v>
      </c>
      <c r="E14" s="109" t="n">
        <v>1</v>
      </c>
      <c r="F14" s="109" t="n">
        <v>1</v>
      </c>
      <c r="G14" s="109" t="n">
        <v>1</v>
      </c>
      <c r="H14" s="109" t="n">
        <v>1</v>
      </c>
      <c r="I14" s="109" t="n">
        <v>1</v>
      </c>
      <c r="J14" s="109" t="n">
        <v>1</v>
      </c>
      <c r="K14" s="109" t="n">
        <v>1</v>
      </c>
      <c r="L14" s="109" t="n">
        <v>1</v>
      </c>
      <c r="M14" s="109" t="n">
        <v>1</v>
      </c>
      <c r="N14" s="109" t="n">
        <v>1</v>
      </c>
      <c r="O14" s="109" t="n">
        <v>1</v>
      </c>
      <c r="P14" s="109" t="n">
        <v>1</v>
      </c>
      <c r="Q14" s="109" t="n">
        <v>1</v>
      </c>
      <c r="R14" s="109" t="n">
        <v>1</v>
      </c>
      <c r="S14" s="109" t="n">
        <v>1</v>
      </c>
      <c r="T14" s="109" t="n">
        <v>1</v>
      </c>
      <c r="U14" s="109" t="n">
        <v>1</v>
      </c>
      <c r="V14" s="109" t="n">
        <v>1</v>
      </c>
      <c r="W14" s="109" t="n">
        <v>1</v>
      </c>
      <c r="X14" s="109" t="n">
        <v>1</v>
      </c>
      <c r="Y14" s="109" t="n">
        <v>1</v>
      </c>
      <c r="Z14" s="109" t="n">
        <v>1</v>
      </c>
      <c r="AA14" s="109" t="n">
        <v>1</v>
      </c>
      <c r="AB14" s="109" t="n">
        <v>1</v>
      </c>
      <c r="AC14" s="109" t="n">
        <v>1</v>
      </c>
      <c r="AD14" s="109" t="n">
        <v>1</v>
      </c>
      <c r="AE14" s="109" t="n">
        <v>1</v>
      </c>
      <c r="AF14" s="109" t="n">
        <v>1</v>
      </c>
      <c r="AG14" s="109" t="n">
        <v>1</v>
      </c>
      <c r="AH14" s="109" t="n">
        <v>1</v>
      </c>
      <c r="AI14" s="109" t="n">
        <v>1</v>
      </c>
      <c r="AJ14" s="109" t="n">
        <v>1</v>
      </c>
      <c r="AK14" s="109" t="n">
        <v>1</v>
      </c>
      <c r="AL14" s="109" t="n">
        <v>1</v>
      </c>
      <c r="AM14" s="109" t="n">
        <v>1</v>
      </c>
      <c r="AN14" s="91" t="n"/>
    </row>
    <row r="15">
      <c r="B15" s="91" t="n"/>
      <c r="C15" s="108">
        <f>IFERROR(IF(LANG="EN",INDEX(I18N_EN,MATCH("kpi.hsse.fire_conform",I18N_KEY,0)),INDEX(I18N_FR,MATCH("kpi.hsse.fire_conform",I18N_KEY,0))),"kpi.hsse.fire_conform")</f>
        <v/>
      </c>
      <c r="D15" s="110" t="n">
        <v>0.9339</v>
      </c>
      <c r="E15" s="110" t="n">
        <v>0.9378</v>
      </c>
      <c r="F15" s="110" t="n">
        <v>0.9362</v>
      </c>
      <c r="G15" s="110" t="n">
        <v>0.9360000000000001</v>
      </c>
      <c r="H15" s="110" t="n">
        <v>0.9429</v>
      </c>
      <c r="I15" s="110" t="n">
        <v>0.9278999999999999</v>
      </c>
      <c r="J15" s="110" t="n">
        <v>0.922</v>
      </c>
      <c r="K15" s="110" t="n">
        <v>0.9229000000000001</v>
      </c>
      <c r="L15" s="110" t="n">
        <v>0.9053</v>
      </c>
      <c r="M15" s="110" t="n">
        <v>0.9419999999999999</v>
      </c>
      <c r="N15" s="110" t="n">
        <v>0.9211</v>
      </c>
      <c r="O15" s="110" t="n">
        <v>0.9462</v>
      </c>
      <c r="P15" s="110" t="n">
        <v>0.9392</v>
      </c>
      <c r="Q15" s="110" t="n">
        <v>0.9189000000000001</v>
      </c>
      <c r="R15" s="110" t="n">
        <v>0.9288999999999999</v>
      </c>
      <c r="S15" s="110" t="n">
        <v>0.9542</v>
      </c>
      <c r="T15" s="110" t="n">
        <v>0.9268999999999999</v>
      </c>
      <c r="U15" s="110" t="n">
        <v>0.9779</v>
      </c>
      <c r="V15" s="110" t="n">
        <v>0.9825</v>
      </c>
      <c r="W15" s="110" t="n">
        <v>0.9597</v>
      </c>
      <c r="X15" s="110" t="n">
        <v>0.9236</v>
      </c>
      <c r="Y15" s="110" t="n">
        <v>0.9157</v>
      </c>
      <c r="Z15" s="110" t="n">
        <v>0.9775</v>
      </c>
      <c r="AA15" s="110" t="n">
        <v>0.9412</v>
      </c>
      <c r="AB15" s="110" t="n">
        <v>0.9282</v>
      </c>
      <c r="AC15" s="110" t="n">
        <v>0.8981</v>
      </c>
      <c r="AD15" s="110" t="n">
        <v>0.9874000000000001</v>
      </c>
      <c r="AE15" s="110" t="n">
        <v>0.9933999999999999</v>
      </c>
      <c r="AF15" s="110" t="n">
        <v>0.9826</v>
      </c>
      <c r="AG15" s="110" t="n">
        <v>0.8802</v>
      </c>
      <c r="AH15" s="110" t="n">
        <v>0.9233</v>
      </c>
      <c r="AI15" s="110" t="n">
        <v>1.0456</v>
      </c>
      <c r="AJ15" s="110" t="n">
        <v>1.0532</v>
      </c>
      <c r="AK15" s="110" t="n">
        <v>0.9895</v>
      </c>
      <c r="AL15" s="110" t="n">
        <v>0.8744</v>
      </c>
      <c r="AM15" s="110" t="n">
        <v>0.9807</v>
      </c>
      <c r="AN15" s="91" t="n"/>
    </row>
    <row r="16">
      <c r="B16" s="91" t="n"/>
      <c r="C16" s="108">
        <f>IFERROR(IF(LANG="EN",INDEX(I18N_EN,MATCH("kpi.hsse.fire_alarms",I18N_KEY,0)),INDEX(I18N_FR,MATCH("kpi.hsse.fire_alarms",I18N_KEY,0))),"kpi.hsse.fire_alarms")</f>
        <v/>
      </c>
      <c r="D16" s="109" t="n">
        <v>3</v>
      </c>
      <c r="E16" s="109" t="n">
        <v>3</v>
      </c>
      <c r="F16" s="109" t="n">
        <v>3</v>
      </c>
      <c r="G16" s="109" t="n">
        <v>3</v>
      </c>
      <c r="H16" s="109" t="n">
        <v>3</v>
      </c>
      <c r="I16" s="109" t="n">
        <v>3</v>
      </c>
      <c r="J16" s="109" t="n">
        <v>3</v>
      </c>
      <c r="K16" s="109" t="n">
        <v>3</v>
      </c>
      <c r="L16" s="109" t="n">
        <v>3</v>
      </c>
      <c r="M16" s="109" t="n">
        <v>3</v>
      </c>
      <c r="N16" s="109" t="n">
        <v>3</v>
      </c>
      <c r="O16" s="109" t="n">
        <v>3</v>
      </c>
      <c r="P16" s="109" t="n">
        <v>3</v>
      </c>
      <c r="Q16" s="109" t="n">
        <v>3</v>
      </c>
      <c r="R16" s="109" t="n">
        <v>3</v>
      </c>
      <c r="S16" s="109" t="n">
        <v>3</v>
      </c>
      <c r="T16" s="109" t="n">
        <v>3</v>
      </c>
      <c r="U16" s="109" t="n">
        <v>3</v>
      </c>
      <c r="V16" s="109" t="n">
        <v>3</v>
      </c>
      <c r="W16" s="109" t="n">
        <v>3</v>
      </c>
      <c r="X16" s="109" t="n">
        <v>3</v>
      </c>
      <c r="Y16" s="109" t="n">
        <v>3</v>
      </c>
      <c r="Z16" s="109" t="n">
        <v>3</v>
      </c>
      <c r="AA16" s="109" t="n">
        <v>3</v>
      </c>
      <c r="AB16" s="109" t="n">
        <v>3</v>
      </c>
      <c r="AC16" s="109" t="n">
        <v>3</v>
      </c>
      <c r="AD16" s="109" t="n">
        <v>3</v>
      </c>
      <c r="AE16" s="109" t="n">
        <v>3</v>
      </c>
      <c r="AF16" s="109" t="n">
        <v>3</v>
      </c>
      <c r="AG16" s="109" t="n">
        <v>3</v>
      </c>
      <c r="AH16" s="109" t="n">
        <v>3</v>
      </c>
      <c r="AI16" s="109" t="n">
        <v>3</v>
      </c>
      <c r="AJ16" s="109" t="n">
        <v>3</v>
      </c>
      <c r="AK16" s="109" t="n">
        <v>3</v>
      </c>
      <c r="AL16" s="109" t="n">
        <v>3</v>
      </c>
      <c r="AM16" s="109" t="n">
        <v>3</v>
      </c>
      <c r="AN16" s="91" t="n"/>
    </row>
    <row r="17">
      <c r="B17" s="91" t="n"/>
      <c r="C17" s="108">
        <f>IFERROR(IF(LANG="EN",INDEX(I18N_EN,MATCH("kpi.hsse.evac_time",I18N_KEY,0)),INDEX(I18N_FR,MATCH("kpi.hsse.evac_time",I18N_KEY,0))),"kpi.hsse.evac_time")</f>
        <v/>
      </c>
      <c r="D17" s="109" t="n">
        <v>7.13</v>
      </c>
      <c r="E17" s="109" t="n">
        <v>6.93</v>
      </c>
      <c r="F17" s="109" t="n">
        <v>7.08</v>
      </c>
      <c r="G17" s="109" t="n">
        <v>7.04</v>
      </c>
      <c r="H17" s="109" t="n">
        <v>7.14</v>
      </c>
      <c r="I17" s="109" t="n">
        <v>7.08</v>
      </c>
      <c r="J17" s="109" t="n">
        <v>7.22</v>
      </c>
      <c r="K17" s="109" t="n">
        <v>7.09</v>
      </c>
      <c r="L17" s="109" t="n">
        <v>7.28</v>
      </c>
      <c r="M17" s="109" t="n">
        <v>7.03</v>
      </c>
      <c r="N17" s="109" t="n">
        <v>6.96</v>
      </c>
      <c r="O17" s="109" t="n">
        <v>6.91</v>
      </c>
      <c r="P17" s="109" t="n">
        <v>7.04</v>
      </c>
      <c r="Q17" s="109" t="n">
        <v>7.04</v>
      </c>
      <c r="R17" s="109" t="n">
        <v>7.09</v>
      </c>
      <c r="S17" s="109" t="n">
        <v>7.25</v>
      </c>
      <c r="T17" s="109" t="n">
        <v>7.29</v>
      </c>
      <c r="U17" s="109" t="n">
        <v>7.3</v>
      </c>
      <c r="V17" s="109" t="n">
        <v>7.4</v>
      </c>
      <c r="W17" s="109" t="n">
        <v>6.9</v>
      </c>
      <c r="X17" s="109" t="n">
        <v>7.23</v>
      </c>
      <c r="Y17" s="109" t="n">
        <v>7.1</v>
      </c>
      <c r="Z17" s="109" t="n">
        <v>6.94</v>
      </c>
      <c r="AA17" s="109" t="n">
        <v>7.54</v>
      </c>
      <c r="AB17" s="109" t="n">
        <v>7.34</v>
      </c>
      <c r="AC17" s="109" t="n">
        <v>7.24</v>
      </c>
      <c r="AD17" s="109" t="n">
        <v>7.25</v>
      </c>
      <c r="AE17" s="109" t="n">
        <v>7.64</v>
      </c>
      <c r="AF17" s="109" t="n">
        <v>7.19</v>
      </c>
      <c r="AG17" s="109" t="n">
        <v>6.71</v>
      </c>
      <c r="AH17" s="109" t="n">
        <v>7.18</v>
      </c>
      <c r="AI17" s="109" t="n">
        <v>7.44</v>
      </c>
      <c r="AJ17" s="109" t="n">
        <v>7.35</v>
      </c>
      <c r="AK17" s="109" t="n">
        <v>7.3</v>
      </c>
      <c r="AL17" s="109" t="n">
        <v>7.37</v>
      </c>
      <c r="AM17" s="109" t="n">
        <v>7.22</v>
      </c>
      <c r="AN17" s="91" t="n"/>
    </row>
    <row r="18">
      <c r="B18" s="91" t="n"/>
      <c r="C18" s="108">
        <f>IFERROR(IF(LANG="EN",INDEX(I18N_EN,MATCH("kpi.hsse.sec_interv",I18N_KEY,0)),INDEX(I18N_FR,MATCH("kpi.hsse.sec_interv",I18N_KEY,0))),"kpi.hsse.sec_interv")</f>
        <v/>
      </c>
      <c r="D18" s="109" t="n">
        <v>24</v>
      </c>
      <c r="E18" s="109" t="n">
        <v>24</v>
      </c>
      <c r="F18" s="109" t="n">
        <v>24</v>
      </c>
      <c r="G18" s="109" t="n">
        <v>23</v>
      </c>
      <c r="H18" s="109" t="n">
        <v>24</v>
      </c>
      <c r="I18" s="109" t="n">
        <v>24</v>
      </c>
      <c r="J18" s="109" t="n">
        <v>24</v>
      </c>
      <c r="K18" s="109" t="n">
        <v>24</v>
      </c>
      <c r="L18" s="109" t="n">
        <v>24</v>
      </c>
      <c r="M18" s="109" t="n">
        <v>24</v>
      </c>
      <c r="N18" s="109" t="n">
        <v>24</v>
      </c>
      <c r="O18" s="109" t="n">
        <v>24</v>
      </c>
      <c r="P18" s="109" t="n">
        <v>24</v>
      </c>
      <c r="Q18" s="109" t="n">
        <v>25</v>
      </c>
      <c r="R18" s="109" t="n">
        <v>24</v>
      </c>
      <c r="S18" s="109" t="n">
        <v>26</v>
      </c>
      <c r="T18" s="109" t="n">
        <v>24</v>
      </c>
      <c r="U18" s="109" t="n">
        <v>25</v>
      </c>
      <c r="V18" s="109" t="n">
        <v>25</v>
      </c>
      <c r="W18" s="109" t="n">
        <v>24</v>
      </c>
      <c r="X18" s="109" t="n">
        <v>23</v>
      </c>
      <c r="Y18" s="109" t="n">
        <v>25</v>
      </c>
      <c r="Z18" s="109" t="n">
        <v>26</v>
      </c>
      <c r="AA18" s="109" t="n">
        <v>25</v>
      </c>
      <c r="AB18" s="109" t="n">
        <v>26</v>
      </c>
      <c r="AC18" s="109" t="n">
        <v>25</v>
      </c>
      <c r="AD18" s="109" t="n">
        <v>25</v>
      </c>
      <c r="AE18" s="109" t="n">
        <v>24</v>
      </c>
      <c r="AF18" s="109" t="n">
        <v>23</v>
      </c>
      <c r="AG18" s="109" t="n">
        <v>24</v>
      </c>
      <c r="AH18" s="109" t="n">
        <v>26</v>
      </c>
      <c r="AI18" s="109" t="n">
        <v>26</v>
      </c>
      <c r="AJ18" s="109" t="n">
        <v>25</v>
      </c>
      <c r="AK18" s="109" t="n">
        <v>26</v>
      </c>
      <c r="AL18" s="109" t="n">
        <v>24</v>
      </c>
      <c r="AM18" s="109" t="n">
        <v>25</v>
      </c>
      <c r="AN18" s="91" t="n"/>
    </row>
    <row r="19">
      <c r="B19" s="91" t="n"/>
      <c r="C19" s="108">
        <f>IFERROR(IF(LANG="EN",INDEX(I18N_EN,MATCH("kpi.hsse.theft",I18N_KEY,0)),INDEX(I18N_FR,MATCH("kpi.hsse.theft",I18N_KEY,0))),"kpi.hsse.theft")</f>
        <v/>
      </c>
      <c r="D19" s="109" t="n">
        <v>3</v>
      </c>
      <c r="E19" s="109" t="n">
        <v>3</v>
      </c>
      <c r="F19" s="109" t="n">
        <v>3</v>
      </c>
      <c r="G19" s="109" t="n">
        <v>3</v>
      </c>
      <c r="H19" s="109" t="n">
        <v>3</v>
      </c>
      <c r="I19" s="109" t="n">
        <v>3</v>
      </c>
      <c r="J19" s="109" t="n">
        <v>3</v>
      </c>
      <c r="K19" s="109" t="n">
        <v>3</v>
      </c>
      <c r="L19" s="109" t="n">
        <v>3</v>
      </c>
      <c r="M19" s="109" t="n">
        <v>3</v>
      </c>
      <c r="N19" s="109" t="n">
        <v>3</v>
      </c>
      <c r="O19" s="109" t="n">
        <v>3</v>
      </c>
      <c r="P19" s="109" t="n">
        <v>3</v>
      </c>
      <c r="Q19" s="109" t="n">
        <v>3</v>
      </c>
      <c r="R19" s="109" t="n">
        <v>3</v>
      </c>
      <c r="S19" s="109" t="n">
        <v>3</v>
      </c>
      <c r="T19" s="109" t="n">
        <v>3</v>
      </c>
      <c r="U19" s="109" t="n">
        <v>3</v>
      </c>
      <c r="V19" s="109" t="n">
        <v>3</v>
      </c>
      <c r="W19" s="109" t="n">
        <v>3</v>
      </c>
      <c r="X19" s="109" t="n">
        <v>3</v>
      </c>
      <c r="Y19" s="109" t="n">
        <v>3</v>
      </c>
      <c r="Z19" s="109" t="n">
        <v>3</v>
      </c>
      <c r="AA19" s="109" t="n">
        <v>3</v>
      </c>
      <c r="AB19" s="109" t="n">
        <v>3</v>
      </c>
      <c r="AC19" s="109" t="n">
        <v>3</v>
      </c>
      <c r="AD19" s="109" t="n">
        <v>3</v>
      </c>
      <c r="AE19" s="109" t="n">
        <v>3</v>
      </c>
      <c r="AF19" s="109" t="n">
        <v>3</v>
      </c>
      <c r="AG19" s="109" t="n">
        <v>3</v>
      </c>
      <c r="AH19" s="109" t="n">
        <v>3</v>
      </c>
      <c r="AI19" s="109" t="n">
        <v>3</v>
      </c>
      <c r="AJ19" s="109" t="n">
        <v>3</v>
      </c>
      <c r="AK19" s="109" t="n">
        <v>3</v>
      </c>
      <c r="AL19" s="109" t="n">
        <v>3</v>
      </c>
      <c r="AM19" s="109" t="n">
        <v>3</v>
      </c>
      <c r="AN19" s="91" t="n"/>
    </row>
    <row r="20">
      <c r="B20" s="91" t="n"/>
      <c r="C20" s="108">
        <f>IFERROR(IF(LANG="EN",INDEX(I18N_EN,MATCH("kpi.hsse.cctv",I18N_KEY,0)),INDEX(I18N_FR,MATCH("kpi.hsse.cctv",I18N_KEY,0))),"kpi.hsse.cctv")</f>
        <v/>
      </c>
      <c r="D20" s="110" t="n">
        <v>0.9317</v>
      </c>
      <c r="E20" s="110" t="n">
        <v>0.948</v>
      </c>
      <c r="F20" s="110" t="n">
        <v>0.9615</v>
      </c>
      <c r="G20" s="110" t="n">
        <v>0.9427</v>
      </c>
      <c r="H20" s="110" t="n">
        <v>0.9433</v>
      </c>
      <c r="I20" s="110" t="n">
        <v>0.9456</v>
      </c>
      <c r="J20" s="110" t="n">
        <v>0.9399999999999999</v>
      </c>
      <c r="K20" s="110" t="n">
        <v>0.9479</v>
      </c>
      <c r="L20" s="110" t="n">
        <v>0.9555</v>
      </c>
      <c r="M20" s="110" t="n">
        <v>0.9376</v>
      </c>
      <c r="N20" s="110" t="n">
        <v>0.9745</v>
      </c>
      <c r="O20" s="110" t="n">
        <v>0.9829</v>
      </c>
      <c r="P20" s="110" t="n">
        <v>0.9917</v>
      </c>
      <c r="Q20" s="110" t="n">
        <v>0.9776</v>
      </c>
      <c r="R20" s="110" t="n">
        <v>0.9245</v>
      </c>
      <c r="S20" s="110" t="n">
        <v>0.9901</v>
      </c>
      <c r="T20" s="110" t="n">
        <v>1.0229</v>
      </c>
      <c r="U20" s="110" t="n">
        <v>0.9157999999999999</v>
      </c>
      <c r="V20" s="110" t="n">
        <v>1.0012</v>
      </c>
      <c r="W20" s="110" t="n">
        <v>1.0051</v>
      </c>
      <c r="X20" s="110" t="n">
        <v>0.9524</v>
      </c>
      <c r="Y20" s="110" t="n">
        <v>0.988</v>
      </c>
      <c r="Z20" s="110" t="n">
        <v>0.9376</v>
      </c>
      <c r="AA20" s="110" t="n">
        <v>0.9468</v>
      </c>
      <c r="AB20" s="110" t="n">
        <v>1.0257</v>
      </c>
      <c r="AC20" s="110" t="n">
        <v>0.9827</v>
      </c>
      <c r="AD20" s="110" t="n">
        <v>0.9611</v>
      </c>
      <c r="AE20" s="110" t="n">
        <v>0.9636</v>
      </c>
      <c r="AF20" s="110" t="n">
        <v>0.9201</v>
      </c>
      <c r="AG20" s="110" t="n">
        <v>1.0242</v>
      </c>
      <c r="AH20" s="110" t="n">
        <v>1.0043</v>
      </c>
      <c r="AI20" s="110" t="n">
        <v>1.0318</v>
      </c>
      <c r="AJ20" s="110" t="n">
        <v>0.9577</v>
      </c>
      <c r="AK20" s="110" t="n">
        <v>0.9758</v>
      </c>
      <c r="AL20" s="110" t="n">
        <v>1.0019</v>
      </c>
      <c r="AM20" s="110" t="n">
        <v>1.0482</v>
      </c>
      <c r="AN20" s="91" t="n"/>
    </row>
    <row r="21">
      <c r="B21" s="91" t="n"/>
      <c r="C21" s="108">
        <f>IFERROR(IF(LANG="EN",INDEX(I18N_EN,MATCH("kpi.hsse.guards",I18N_KEY,0)),INDEX(I18N_FR,MATCH("kpi.hsse.guards",I18N_KEY,0))),"kpi.hsse.guards")</f>
        <v/>
      </c>
      <c r="D21" s="109" t="n">
        <v>18</v>
      </c>
      <c r="E21" s="109" t="n">
        <v>18</v>
      </c>
      <c r="F21" s="109" t="n">
        <v>18</v>
      </c>
      <c r="G21" s="109" t="n">
        <v>18</v>
      </c>
      <c r="H21" s="109" t="n">
        <v>18</v>
      </c>
      <c r="I21" s="109" t="n">
        <v>18</v>
      </c>
      <c r="J21" s="109" t="n">
        <v>19</v>
      </c>
      <c r="K21" s="109" t="n">
        <v>18</v>
      </c>
      <c r="L21" s="109" t="n">
        <v>18</v>
      </c>
      <c r="M21" s="109" t="n">
        <v>18</v>
      </c>
      <c r="N21" s="109" t="n">
        <v>18</v>
      </c>
      <c r="O21" s="109" t="n">
        <v>18</v>
      </c>
      <c r="P21" s="109" t="n">
        <v>19</v>
      </c>
      <c r="Q21" s="109" t="n">
        <v>18</v>
      </c>
      <c r="R21" s="109" t="n">
        <v>19</v>
      </c>
      <c r="S21" s="109" t="n">
        <v>19</v>
      </c>
      <c r="T21" s="109" t="n">
        <v>18</v>
      </c>
      <c r="U21" s="109" t="n">
        <v>19</v>
      </c>
      <c r="V21" s="109" t="n">
        <v>19</v>
      </c>
      <c r="W21" s="109" t="n">
        <v>19</v>
      </c>
      <c r="X21" s="109" t="n">
        <v>18</v>
      </c>
      <c r="Y21" s="109" t="n">
        <v>17</v>
      </c>
      <c r="Z21" s="109" t="n">
        <v>19</v>
      </c>
      <c r="AA21" s="109" t="n">
        <v>18</v>
      </c>
      <c r="AB21" s="109" t="n">
        <v>18</v>
      </c>
      <c r="AC21" s="109" t="n">
        <v>19</v>
      </c>
      <c r="AD21" s="109" t="n">
        <v>19</v>
      </c>
      <c r="AE21" s="109" t="n">
        <v>18</v>
      </c>
      <c r="AF21" s="109" t="n">
        <v>19</v>
      </c>
      <c r="AG21" s="109" t="n">
        <v>20</v>
      </c>
      <c r="AH21" s="109" t="n">
        <v>20</v>
      </c>
      <c r="AI21" s="109" t="n">
        <v>17</v>
      </c>
      <c r="AJ21" s="109" t="n">
        <v>19</v>
      </c>
      <c r="AK21" s="109" t="n">
        <v>17</v>
      </c>
      <c r="AL21" s="109" t="n">
        <v>17</v>
      </c>
      <c r="AM21" s="109" t="n">
        <v>20</v>
      </c>
      <c r="AN21" s="91" t="n"/>
    </row>
    <row r="22">
      <c r="B22" s="91" t="n"/>
      <c r="C22" s="108">
        <f>IFERROR(IF(LANG="EN",INDEX(I18N_EN,MATCH("kpi.hsse.risks_id",I18N_KEY,0)),INDEX(I18N_FR,MATCH("kpi.hsse.risks_id",I18N_KEY,0))),"kpi.hsse.risks_id")</f>
        <v/>
      </c>
      <c r="D22" s="109" t="n">
        <v>6</v>
      </c>
      <c r="E22" s="109" t="n">
        <v>6</v>
      </c>
      <c r="F22" s="109" t="n">
        <v>6</v>
      </c>
      <c r="G22" s="109" t="n">
        <v>6</v>
      </c>
      <c r="H22" s="109" t="n">
        <v>6</v>
      </c>
      <c r="I22" s="109" t="n">
        <v>6</v>
      </c>
      <c r="J22" s="109" t="n">
        <v>6</v>
      </c>
      <c r="K22" s="109" t="n">
        <v>6</v>
      </c>
      <c r="L22" s="109" t="n">
        <v>6</v>
      </c>
      <c r="M22" s="109" t="n">
        <v>6</v>
      </c>
      <c r="N22" s="109" t="n">
        <v>6</v>
      </c>
      <c r="O22" s="109" t="n">
        <v>6</v>
      </c>
      <c r="P22" s="109" t="n">
        <v>6</v>
      </c>
      <c r="Q22" s="109" t="n">
        <v>6</v>
      </c>
      <c r="R22" s="109" t="n">
        <v>6</v>
      </c>
      <c r="S22" s="109" t="n">
        <v>6</v>
      </c>
      <c r="T22" s="109" t="n">
        <v>6</v>
      </c>
      <c r="U22" s="109" t="n">
        <v>6</v>
      </c>
      <c r="V22" s="109" t="n">
        <v>6</v>
      </c>
      <c r="W22" s="109" t="n">
        <v>6</v>
      </c>
      <c r="X22" s="109" t="n">
        <v>6</v>
      </c>
      <c r="Y22" s="109" t="n">
        <v>6</v>
      </c>
      <c r="Z22" s="109" t="n">
        <v>6</v>
      </c>
      <c r="AA22" s="109" t="n">
        <v>6</v>
      </c>
      <c r="AB22" s="109" t="n">
        <v>6</v>
      </c>
      <c r="AC22" s="109" t="n">
        <v>7</v>
      </c>
      <c r="AD22" s="109" t="n">
        <v>6</v>
      </c>
      <c r="AE22" s="109" t="n">
        <v>6</v>
      </c>
      <c r="AF22" s="109" t="n">
        <v>6</v>
      </c>
      <c r="AG22" s="109" t="n">
        <v>6</v>
      </c>
      <c r="AH22" s="109" t="n">
        <v>6</v>
      </c>
      <c r="AI22" s="109" t="n">
        <v>6</v>
      </c>
      <c r="AJ22" s="109" t="n">
        <v>7</v>
      </c>
      <c r="AK22" s="109" t="n">
        <v>6</v>
      </c>
      <c r="AL22" s="109" t="n">
        <v>7</v>
      </c>
      <c r="AM22" s="109" t="n">
        <v>6</v>
      </c>
      <c r="AN22" s="91" t="n"/>
    </row>
    <row r="23">
      <c r="B23" s="91" t="n"/>
      <c r="C23" s="108">
        <f>IFERROR(IF(LANG="EN",INDEX(I18N_EN,MATCH("kpi.hsse.risks_treated",I18N_KEY,0)),INDEX(I18N_FR,MATCH("kpi.hsse.risks_treated",I18N_KEY,0))),"kpi.hsse.risks_treated")</f>
        <v/>
      </c>
      <c r="D23" s="110" t="n">
        <v>0.6894</v>
      </c>
      <c r="E23" s="110" t="n">
        <v>0.7108</v>
      </c>
      <c r="F23" s="110" t="n">
        <v>0.7034</v>
      </c>
      <c r="G23" s="110" t="n">
        <v>0.715</v>
      </c>
      <c r="H23" s="110" t="n">
        <v>0.7078</v>
      </c>
      <c r="I23" s="110" t="n">
        <v>0.7124</v>
      </c>
      <c r="J23" s="110" t="n">
        <v>0.7124</v>
      </c>
      <c r="K23" s="110" t="n">
        <v>0.7045</v>
      </c>
      <c r="L23" s="110" t="n">
        <v>0.7166</v>
      </c>
      <c r="M23" s="110" t="n">
        <v>0.7111</v>
      </c>
      <c r="N23" s="110" t="n">
        <v>0.714</v>
      </c>
      <c r="O23" s="110" t="n">
        <v>0.6963</v>
      </c>
      <c r="P23" s="110" t="n">
        <v>0.7268</v>
      </c>
      <c r="Q23" s="110" t="n">
        <v>0.7399</v>
      </c>
      <c r="R23" s="110" t="n">
        <v>0.7324000000000001</v>
      </c>
      <c r="S23" s="110" t="n">
        <v>0.7294</v>
      </c>
      <c r="T23" s="110" t="n">
        <v>0.7408</v>
      </c>
      <c r="U23" s="110" t="n">
        <v>0.7106</v>
      </c>
      <c r="V23" s="110" t="n">
        <v>0.7137</v>
      </c>
      <c r="W23" s="110" t="n">
        <v>0.7302</v>
      </c>
      <c r="X23" s="110" t="n">
        <v>0.6862</v>
      </c>
      <c r="Y23" s="110" t="n">
        <v>0.6942</v>
      </c>
      <c r="Z23" s="110" t="n">
        <v>0.7463</v>
      </c>
      <c r="AA23" s="110" t="n">
        <v>0.7542</v>
      </c>
      <c r="AB23" s="110" t="n">
        <v>0.6859</v>
      </c>
      <c r="AC23" s="110" t="n">
        <v>0.7053</v>
      </c>
      <c r="AD23" s="110" t="n">
        <v>0.7648</v>
      </c>
      <c r="AE23" s="110" t="n">
        <v>0.7631</v>
      </c>
      <c r="AF23" s="110" t="n">
        <v>0.7043</v>
      </c>
      <c r="AG23" s="110" t="n">
        <v>0.7576000000000001</v>
      </c>
      <c r="AH23" s="110" t="n">
        <v>0.7201</v>
      </c>
      <c r="AI23" s="110" t="n">
        <v>0.7705</v>
      </c>
      <c r="AJ23" s="110" t="n">
        <v>0.6901</v>
      </c>
      <c r="AK23" s="110" t="n">
        <v>0.6708</v>
      </c>
      <c r="AL23" s="110" t="n">
        <v>0.6787</v>
      </c>
      <c r="AM23" s="110" t="n">
        <v>0.6721</v>
      </c>
      <c r="AN23" s="91" t="n"/>
    </row>
    <row r="24">
      <c r="B24" s="91" t="n"/>
      <c r="C24" s="108">
        <f>IFERROR(IF(LANG="EN",INDEX(I18N_EN,MATCH("kpi.hsse.action_close",I18N_KEY,0)),INDEX(I18N_FR,MATCH("kpi.hsse.action_close",I18N_KEY,0))),"kpi.hsse.action_close")</f>
        <v/>
      </c>
      <c r="D24" s="110" t="n">
        <v>0.8091</v>
      </c>
      <c r="E24" s="110" t="n">
        <v>0.8159999999999999</v>
      </c>
      <c r="F24" s="110" t="n">
        <v>0.8034</v>
      </c>
      <c r="G24" s="110" t="n">
        <v>0.8161</v>
      </c>
      <c r="H24" s="110" t="n">
        <v>0.8173</v>
      </c>
      <c r="I24" s="110" t="n">
        <v>0.8337</v>
      </c>
      <c r="J24" s="110" t="n">
        <v>0.8066</v>
      </c>
      <c r="K24" s="110" t="n">
        <v>0.8393</v>
      </c>
      <c r="L24" s="110" t="n">
        <v>0.8374</v>
      </c>
      <c r="M24" s="110" t="n">
        <v>0.8131</v>
      </c>
      <c r="N24" s="110" t="n">
        <v>0.8100000000000001</v>
      </c>
      <c r="O24" s="110" t="n">
        <v>0.8276</v>
      </c>
      <c r="P24" s="110" t="n">
        <v>0.8201000000000001</v>
      </c>
      <c r="Q24" s="110" t="n">
        <v>0.8512</v>
      </c>
      <c r="R24" s="110" t="n">
        <v>0.8725000000000001</v>
      </c>
      <c r="S24" s="110" t="n">
        <v>0.8215</v>
      </c>
      <c r="T24" s="110" t="n">
        <v>0.8537</v>
      </c>
      <c r="U24" s="110" t="n">
        <v>0.8188</v>
      </c>
      <c r="V24" s="110" t="n">
        <v>0.8428</v>
      </c>
      <c r="W24" s="110" t="n">
        <v>0.8798</v>
      </c>
      <c r="X24" s="110" t="n">
        <v>0.8982</v>
      </c>
      <c r="Y24" s="110" t="n">
        <v>0.8458</v>
      </c>
      <c r="Z24" s="110" t="n">
        <v>0.8866000000000001</v>
      </c>
      <c r="AA24" s="110" t="n">
        <v>0.792</v>
      </c>
      <c r="AB24" s="110" t="n">
        <v>0.8782</v>
      </c>
      <c r="AC24" s="110" t="n">
        <v>0.8882</v>
      </c>
      <c r="AD24" s="110" t="n">
        <v>0.9026999999999999</v>
      </c>
      <c r="AE24" s="110" t="n">
        <v>0.8751</v>
      </c>
      <c r="AF24" s="110" t="n">
        <v>0.8322000000000001</v>
      </c>
      <c r="AG24" s="110" t="n">
        <v>0.8747</v>
      </c>
      <c r="AH24" s="110" t="n">
        <v>0.8417</v>
      </c>
      <c r="AI24" s="110" t="n">
        <v>0.8931</v>
      </c>
      <c r="AJ24" s="110" t="n">
        <v>0.8242</v>
      </c>
      <c r="AK24" s="110" t="n">
        <v>0.7885</v>
      </c>
      <c r="AL24" s="110" t="n">
        <v>0.8616</v>
      </c>
      <c r="AM24" s="110" t="n">
        <v>0.8535</v>
      </c>
      <c r="AN24" s="91" t="n"/>
    </row>
    <row r="25">
      <c r="B25" s="91" t="n"/>
      <c r="C25" s="108">
        <f>IFERROR(IF(LANG="EN",INDEX(I18N_EN,MATCH("kpi.hsse.audits",I18N_KEY,0)),INDEX(I18N_FR,MATCH("kpi.hsse.audits",I18N_KEY,0))),"kpi.hsse.audits")</f>
        <v/>
      </c>
      <c r="D25" s="109" t="n">
        <v>1</v>
      </c>
      <c r="E25" s="109" t="n">
        <v>1</v>
      </c>
      <c r="F25" s="109" t="n">
        <v>1</v>
      </c>
      <c r="G25" s="109" t="n">
        <v>1</v>
      </c>
      <c r="H25" s="109" t="n">
        <v>1</v>
      </c>
      <c r="I25" s="109" t="n">
        <v>1</v>
      </c>
      <c r="J25" s="109" t="n">
        <v>1</v>
      </c>
      <c r="K25" s="109" t="n">
        <v>1</v>
      </c>
      <c r="L25" s="109" t="n">
        <v>1</v>
      </c>
      <c r="M25" s="109" t="n">
        <v>1</v>
      </c>
      <c r="N25" s="109" t="n">
        <v>1</v>
      </c>
      <c r="O25" s="109" t="n">
        <v>1</v>
      </c>
      <c r="P25" s="109" t="n">
        <v>1</v>
      </c>
      <c r="Q25" s="109" t="n">
        <v>1</v>
      </c>
      <c r="R25" s="109" t="n">
        <v>1</v>
      </c>
      <c r="S25" s="109" t="n">
        <v>1</v>
      </c>
      <c r="T25" s="109" t="n">
        <v>1</v>
      </c>
      <c r="U25" s="109" t="n">
        <v>1</v>
      </c>
      <c r="V25" s="109" t="n">
        <v>1</v>
      </c>
      <c r="W25" s="109" t="n">
        <v>1</v>
      </c>
      <c r="X25" s="109" t="n">
        <v>1</v>
      </c>
      <c r="Y25" s="109" t="n">
        <v>1</v>
      </c>
      <c r="Z25" s="109" t="n">
        <v>1</v>
      </c>
      <c r="AA25" s="109" t="n">
        <v>1</v>
      </c>
      <c r="AB25" s="109" t="n">
        <v>1</v>
      </c>
      <c r="AC25" s="109" t="n">
        <v>1</v>
      </c>
      <c r="AD25" s="109" t="n">
        <v>1</v>
      </c>
      <c r="AE25" s="109" t="n">
        <v>1</v>
      </c>
      <c r="AF25" s="109" t="n">
        <v>1</v>
      </c>
      <c r="AG25" s="109" t="n">
        <v>1</v>
      </c>
      <c r="AH25" s="109" t="n">
        <v>1</v>
      </c>
      <c r="AI25" s="109" t="n">
        <v>1</v>
      </c>
      <c r="AJ25" s="109" t="n">
        <v>1</v>
      </c>
      <c r="AK25" s="109" t="n">
        <v>1</v>
      </c>
      <c r="AL25" s="109" t="n">
        <v>1</v>
      </c>
      <c r="AM25" s="109" t="n">
        <v>1</v>
      </c>
      <c r="AN25" s="91" t="n"/>
    </row>
    <row r="26">
      <c r="B26" s="91" t="n"/>
      <c r="C26" s="108">
        <f>IFERROR(IF(LANG="EN",INDEX(I18N_EN,MATCH("kpi.hsse.train_cover",I18N_KEY,0)),INDEX(I18N_FR,MATCH("kpi.hsse.train_cover",I18N_KEY,0))),"kpi.hsse.train_cover")</f>
        <v/>
      </c>
      <c r="D26" s="110" t="n">
        <v>0.702</v>
      </c>
      <c r="E26" s="110" t="n">
        <v>0.7006</v>
      </c>
      <c r="F26" s="110" t="n">
        <v>0.6956</v>
      </c>
      <c r="G26" s="110" t="n">
        <v>0.7189</v>
      </c>
      <c r="H26" s="110" t="n">
        <v>0.708</v>
      </c>
      <c r="I26" s="110" t="n">
        <v>0.7017</v>
      </c>
      <c r="J26" s="110" t="n">
        <v>0.7171999999999999</v>
      </c>
      <c r="K26" s="110" t="n">
        <v>0.7234</v>
      </c>
      <c r="L26" s="110" t="n">
        <v>0.7059</v>
      </c>
      <c r="M26" s="110" t="n">
        <v>0.7204</v>
      </c>
      <c r="N26" s="110" t="n">
        <v>0.706</v>
      </c>
      <c r="O26" s="110" t="n">
        <v>0.7057</v>
      </c>
      <c r="P26" s="110" t="n">
        <v>0.7352</v>
      </c>
      <c r="Q26" s="110" t="n">
        <v>0.6925</v>
      </c>
      <c r="R26" s="110" t="n">
        <v>0.7081</v>
      </c>
      <c r="S26" s="110" t="n">
        <v>0.6768</v>
      </c>
      <c r="T26" s="110" t="n">
        <v>0.6912</v>
      </c>
      <c r="U26" s="110" t="n">
        <v>0.6914</v>
      </c>
      <c r="V26" s="110" t="n">
        <v>0.7503</v>
      </c>
      <c r="W26" s="110" t="n">
        <v>0.6797</v>
      </c>
      <c r="X26" s="110" t="n">
        <v>0.6879</v>
      </c>
      <c r="Y26" s="110" t="n">
        <v>0.7203000000000001</v>
      </c>
      <c r="Z26" s="110" t="n">
        <v>0.7289</v>
      </c>
      <c r="AA26" s="110" t="n">
        <v>0.735</v>
      </c>
      <c r="AB26" s="110" t="n">
        <v>0.7010999999999999</v>
      </c>
      <c r="AC26" s="110" t="n">
        <v>0.6785</v>
      </c>
      <c r="AD26" s="110" t="n">
        <v>0.697</v>
      </c>
      <c r="AE26" s="110" t="n">
        <v>0.7173</v>
      </c>
      <c r="AF26" s="110" t="n">
        <v>0.7854</v>
      </c>
      <c r="AG26" s="110" t="n">
        <v>0.7503</v>
      </c>
      <c r="AH26" s="110" t="n">
        <v>0.7473</v>
      </c>
      <c r="AI26" s="110" t="n">
        <v>0.6673</v>
      </c>
      <c r="AJ26" s="110" t="n">
        <v>0.667</v>
      </c>
      <c r="AK26" s="110" t="n">
        <v>0.7667</v>
      </c>
      <c r="AL26" s="110" t="n">
        <v>0.6951000000000001</v>
      </c>
      <c r="AM26" s="110" t="n">
        <v>0.7213000000000001</v>
      </c>
      <c r="AN26" s="91" t="n"/>
    </row>
    <row r="27">
      <c r="B27" s="91" t="n"/>
      <c r="C27" s="91" t="n"/>
      <c r="D27" s="91" t="n"/>
      <c r="E27" s="91" t="n"/>
      <c r="F27" s="91" t="n"/>
      <c r="G27" s="91" t="n"/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  <c r="Z27" s="91" t="n"/>
      <c r="AA27" s="91" t="n"/>
      <c r="AB27" s="91" t="n"/>
      <c r="AC27" s="91" t="n"/>
      <c r="AD27" s="91" t="n"/>
      <c r="AE27" s="91" t="n"/>
      <c r="AF27" s="91" t="n"/>
      <c r="AG27" s="91" t="n"/>
      <c r="AH27" s="91" t="n"/>
      <c r="AI27" s="91" t="n"/>
      <c r="AJ27" s="91" t="n"/>
      <c r="AK27" s="91" t="n"/>
      <c r="AL27" s="91" t="n"/>
      <c r="AM27" s="91" t="n"/>
      <c r="AN27" s="91" t="n"/>
    </row>
    <row r="28">
      <c r="B28" s="91" t="n"/>
      <c r="C28" s="99" t="inlineStr">
        <is>
          <t>💬 Commentaires (KPI × mois)</t>
        </is>
      </c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  <c r="AB28" s="91" t="n"/>
      <c r="AC28" s="91" t="n"/>
      <c r="AD28" s="91" t="n"/>
      <c r="AE28" s="91" t="n"/>
      <c r="AF28" s="91" t="n"/>
      <c r="AG28" s="91" t="n"/>
      <c r="AH28" s="91" t="n"/>
      <c r="AI28" s="91" t="n"/>
      <c r="AJ28" s="91" t="n"/>
      <c r="AK28" s="91" t="n"/>
      <c r="AL28" s="91" t="n"/>
      <c r="AM28" s="91" t="n"/>
      <c r="AN28" s="91" t="n"/>
    </row>
    <row r="29">
      <c r="B29" s="91" t="n"/>
      <c r="C29" s="111">
        <f>IFERROR(IF(LANG="EN",INDEX(I18N_EN,MATCH("kpi.hsse.incidents",I18N_KEY,0)),INDEX(I18N_FR,MATCH("kpi.hsse.incidents",I18N_KEY,0))),"kpi.hsse.incidents")</f>
        <v/>
      </c>
      <c r="D29" s="112" t="n"/>
      <c r="E29" s="112" t="n"/>
      <c r="F29" s="112" t="n"/>
      <c r="G29" s="112" t="n"/>
      <c r="H29" s="112" t="n"/>
      <c r="I29" s="112" t="n"/>
      <c r="J29" s="112" t="n"/>
      <c r="K29" s="112" t="n"/>
      <c r="L29" s="112" t="n"/>
      <c r="M29" s="112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91" t="n"/>
    </row>
    <row r="30">
      <c r="B30" s="91" t="n"/>
      <c r="C30" s="111">
        <f>IFERROR(IF(LANG="EN",INDEX(I18N_EN,MATCH("kpi.hsse.incident_sev",I18N_KEY,0)),INDEX(I18N_FR,MATCH("kpi.hsse.incident_sev",I18N_KEY,0))),"kpi.hsse.incident_sev")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IFERROR(IF(LANG="EN",INDEX(I18N_EN,MATCH("kpi.hsse.tf",I18N_KEY,0)),INDEX(I18N_FR,MATCH("kpi.hsse.tf",I18N_KEY,0))),"kpi.hsse.tf")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IFERROR(IF(LANG="EN",INDEX(I18N_EN,MATCH("kpi.hsse.tg",I18N_KEY,0)),INDEX(I18N_FR,MATCH("kpi.hsse.tg",I18N_KEY,0))),"kpi.hsse.tg")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IFERROR(IF(LANG="EN",INDEX(I18N_EN,MATCH("kpi.hsse.nearmiss",I18N_KEY,0)),INDEX(I18N_FR,MATCH("kpi.hsse.nearmiss",I18N_KEY,0))),"kpi.hsse.nearmiss")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111">
        <f>IFERROR(IF(LANG="EN",INDEX(I18N_EN,MATCH("kpi.hsse.days_no_lti",I18N_KEY,0)),INDEX(I18N_FR,MATCH("kpi.hsse.days_no_lti",I18N_KEY,0))),"kpi.hsse.days_no_lti")</f>
        <v/>
      </c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91" t="n"/>
    </row>
    <row r="35">
      <c r="B35" s="91" t="n"/>
      <c r="C35" s="111">
        <f>IFERROR(IF(LANG="EN",INDEX(I18N_EN,MATCH("kpi.hsse.evac_drills",I18N_KEY,0)),INDEX(I18N_FR,MATCH("kpi.hsse.evac_drills",I18N_KEY,0))),"kpi.hsse.evac_drills")</f>
        <v/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91" t="n"/>
    </row>
    <row r="36">
      <c r="B36" s="91" t="n"/>
      <c r="C36" s="111">
        <f>IFERROR(IF(LANG="EN",INDEX(I18N_EN,MATCH("kpi.hsse.fire_conform",I18N_KEY,0)),INDEX(I18N_FR,MATCH("kpi.hsse.fire_conform",I18N_KEY,0))),"kpi.hsse.fire_conform")</f>
        <v/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91" t="n"/>
    </row>
    <row r="37">
      <c r="B37" s="91" t="n"/>
      <c r="C37" s="111">
        <f>IFERROR(IF(LANG="EN",INDEX(I18N_EN,MATCH("kpi.hsse.fire_alarms",I18N_KEY,0)),INDEX(I18N_FR,MATCH("kpi.hsse.fire_alarms",I18N_KEY,0))),"kpi.hsse.fire_alarms")</f>
        <v/>
      </c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91" t="n"/>
    </row>
    <row r="38">
      <c r="B38" s="91" t="n"/>
      <c r="C38" s="111">
        <f>IFERROR(IF(LANG="EN",INDEX(I18N_EN,MATCH("kpi.hsse.evac_time",I18N_KEY,0)),INDEX(I18N_FR,MATCH("kpi.hsse.evac_time",I18N_KEY,0))),"kpi.hsse.evac_time")</f>
        <v/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91" t="n"/>
    </row>
    <row r="39">
      <c r="B39" s="91" t="n"/>
      <c r="C39" s="111">
        <f>IFERROR(IF(LANG="EN",INDEX(I18N_EN,MATCH("kpi.hsse.sec_interv",I18N_KEY,0)),INDEX(I18N_FR,MATCH("kpi.hsse.sec_interv",I18N_KEY,0))),"kpi.hsse.sec_interv")</f>
        <v/>
      </c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91" t="n"/>
    </row>
    <row r="40">
      <c r="B40" s="91" t="n"/>
      <c r="C40" s="111">
        <f>IFERROR(IF(LANG="EN",INDEX(I18N_EN,MATCH("kpi.hsse.theft",I18N_KEY,0)),INDEX(I18N_FR,MATCH("kpi.hsse.theft",I18N_KEY,0))),"kpi.hsse.theft")</f>
        <v/>
      </c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91" t="n"/>
    </row>
    <row r="41">
      <c r="B41" s="91" t="n"/>
      <c r="C41" s="111">
        <f>IFERROR(IF(LANG="EN",INDEX(I18N_EN,MATCH("kpi.hsse.cctv",I18N_KEY,0)),INDEX(I18N_FR,MATCH("kpi.hsse.cctv",I18N_KEY,0))),"kpi.hsse.cctv")</f>
        <v/>
      </c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91" t="n"/>
    </row>
    <row r="42">
      <c r="B42" s="91" t="n"/>
      <c r="C42" s="111">
        <f>IFERROR(IF(LANG="EN",INDEX(I18N_EN,MATCH("kpi.hsse.guards",I18N_KEY,0)),INDEX(I18N_FR,MATCH("kpi.hsse.guards",I18N_KEY,0))),"kpi.hsse.guards")</f>
        <v/>
      </c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91" t="n"/>
    </row>
    <row r="43">
      <c r="B43" s="91" t="n"/>
      <c r="C43" s="111">
        <f>IFERROR(IF(LANG="EN",INDEX(I18N_EN,MATCH("kpi.hsse.risks_id",I18N_KEY,0)),INDEX(I18N_FR,MATCH("kpi.hsse.risks_id",I18N_KEY,0))),"kpi.hsse.risks_id")</f>
        <v/>
      </c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91" t="n"/>
    </row>
    <row r="44">
      <c r="B44" s="91" t="n"/>
      <c r="C44" s="111">
        <f>IFERROR(IF(LANG="EN",INDEX(I18N_EN,MATCH("kpi.hsse.risks_treated",I18N_KEY,0)),INDEX(I18N_FR,MATCH("kpi.hsse.risks_treated",I18N_KEY,0))),"kpi.hsse.risks_treated")</f>
        <v/>
      </c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91" t="n"/>
    </row>
    <row r="45">
      <c r="B45" s="91" t="n"/>
      <c r="C45" s="111">
        <f>IFERROR(IF(LANG="EN",INDEX(I18N_EN,MATCH("kpi.hsse.action_close",I18N_KEY,0)),INDEX(I18N_FR,MATCH("kpi.hsse.action_close",I18N_KEY,0))),"kpi.hsse.action_close")</f>
        <v/>
      </c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91" t="n"/>
    </row>
    <row r="46">
      <c r="B46" s="91" t="n"/>
      <c r="C46" s="111">
        <f>IFERROR(IF(LANG="EN",INDEX(I18N_EN,MATCH("kpi.hsse.audits",I18N_KEY,0)),INDEX(I18N_FR,MATCH("kpi.hsse.audits",I18N_KEY,0))),"kpi.hsse.audits")</f>
        <v/>
      </c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91" t="n"/>
    </row>
    <row r="47">
      <c r="B47" s="91" t="n"/>
      <c r="C47" s="111">
        <f>IFERROR(IF(LANG="EN",INDEX(I18N_EN,MATCH("kpi.hsse.train_cover",I18N_KEY,0)),INDEX(I18N_FR,MATCH("kpi.hsse.train_cover",I18N_KEY,0))),"kpi.hsse.train_cover")</f>
        <v/>
      </c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91" t="n"/>
    </row>
    <row r="48">
      <c r="B48" s="91" t="n"/>
      <c r="C48" s="91" t="n"/>
      <c r="D48" s="91" t="n"/>
      <c r="E48" s="91" t="n"/>
      <c r="F48" s="91" t="n"/>
      <c r="G48" s="91" t="n"/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  <c r="Z48" s="91" t="n"/>
      <c r="AA48" s="91" t="n"/>
      <c r="AB48" s="91" t="n"/>
      <c r="AC48" s="91" t="n"/>
      <c r="AD48" s="91" t="n"/>
      <c r="AE48" s="91" t="n"/>
      <c r="AF48" s="91" t="n"/>
      <c r="AG48" s="91" t="n"/>
      <c r="AH48" s="91" t="n"/>
      <c r="AI48" s="91" t="n"/>
      <c r="AJ48" s="91" t="n"/>
      <c r="AK48" s="91" t="n"/>
      <c r="AL48" s="91" t="n"/>
      <c r="AM48" s="91" t="n"/>
      <c r="AN48" s="91" t="n"/>
    </row>
    <row r="49">
      <c r="B49" s="91" t="n"/>
      <c r="C49" s="91" t="n"/>
      <c r="D49" s="91" t="n"/>
      <c r="E49" s="91" t="n"/>
      <c r="F49" s="91" t="n"/>
      <c r="G49" s="91" t="n"/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  <c r="Z49" s="91" t="n"/>
      <c r="AA49" s="91" t="n"/>
      <c r="AB49" s="91" t="n"/>
      <c r="AC49" s="91" t="n"/>
      <c r="AD49" s="91" t="n"/>
      <c r="AE49" s="91" t="n"/>
      <c r="AF49" s="91" t="n"/>
      <c r="AG49" s="91" t="n"/>
      <c r="AH49" s="91" t="n"/>
      <c r="AI49" s="91" t="n"/>
      <c r="AJ49" s="91" t="n"/>
      <c r="AK49" s="91" t="n"/>
      <c r="AL49" s="91" t="n"/>
      <c r="AM49" s="91" t="n"/>
      <c r="AN49" s="91" t="n"/>
    </row>
    <row r="50"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  <c r="AB50" s="91" t="n"/>
      <c r="AC50" s="91" t="n"/>
      <c r="AD50" s="91" t="n"/>
      <c r="AE50" s="91" t="n"/>
      <c r="AF50" s="91" t="n"/>
      <c r="AG50" s="91" t="n"/>
      <c r="AH50" s="91" t="n"/>
      <c r="AI50" s="91" t="n"/>
      <c r="AJ50" s="91" t="n"/>
      <c r="AK50" s="91" t="n"/>
      <c r="AL50" s="91" t="n"/>
      <c r="AM50" s="91" t="n"/>
      <c r="AN50" s="91" t="n"/>
    </row>
    <row r="51"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  <c r="AB51" s="91" t="n"/>
      <c r="AC51" s="91" t="n"/>
      <c r="AD51" s="91" t="n"/>
      <c r="AE51" s="91" t="n"/>
      <c r="AF51" s="91" t="n"/>
      <c r="AG51" s="91" t="n"/>
      <c r="AH51" s="91" t="n"/>
      <c r="AI51" s="91" t="n"/>
      <c r="AJ51" s="91" t="n"/>
      <c r="AK51" s="91" t="n"/>
      <c r="AL51" s="91" t="n"/>
      <c r="AM51" s="91" t="n"/>
      <c r="AN51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26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34155"/>
    <outlinePr summaryBelow="1" summaryRight="1"/>
    <pageSetUpPr/>
  </sheetPr>
  <dimension ref="B1:AN53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>
      <c r="B1" s="91" t="n"/>
      <c r="C1" s="106">
        <f>"▌ "&amp;IFERROR(IF(LANG="EN",INDEX(I18N_EN,MATCH("msg.collect",I18N_KEY,0)),INDEX(I18N_FR,MATCH("msg.collect",I18N_KEY,0))),"msg.collect")&amp;" · "&amp;IFERROR(IF(LANG="EN",INDEX(I18N_EN,MATCH("dept.fac",I18N_KEY,0)),INDEX(I18N_FR,MATCH("dept.fac",I18N_KEY,0))),"dept.fac")</f>
        <v/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</row>
    <row r="2">
      <c r="B2" s="91" t="n"/>
      <c r="C2" s="96">
        <f>IFERROR(IF(LANG="EN",INDEX(I18N_EN,MATCH("msg.help",I18N_KEY,0)),INDEX(I18N_FR,MATCH("msg.help",I18N_KEY,0))),"msg.help")</f>
        <v/>
      </c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</row>
    <row r="3">
      <c r="B3" s="91" t="n"/>
      <c r="C3" s="91" t="n"/>
      <c r="D3" s="91" t="n"/>
      <c r="E3" s="91" t="n"/>
      <c r="F3" s="91" t="n"/>
      <c r="G3" s="91" t="n"/>
      <c r="H3" s="91" t="n"/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  <c r="Z3" s="91" t="n"/>
      <c r="AA3" s="91" t="n"/>
      <c r="AB3" s="91" t="n"/>
      <c r="AC3" s="91" t="n"/>
      <c r="AD3" s="91" t="n"/>
      <c r="AE3" s="91" t="n"/>
      <c r="AF3" s="91" t="n"/>
      <c r="AG3" s="91" t="n"/>
      <c r="AH3" s="91" t="n"/>
      <c r="AI3" s="91" t="n"/>
      <c r="AJ3" s="91" t="n"/>
      <c r="AK3" s="91" t="n"/>
      <c r="AL3" s="91" t="n"/>
      <c r="AM3" s="91" t="n"/>
      <c r="AN3" s="91" t="n"/>
    </row>
    <row r="4">
      <c r="B4" s="91" t="n"/>
      <c r="C4" s="91" t="n"/>
      <c r="D4" s="91" t="n"/>
      <c r="E4" s="91" t="n"/>
      <c r="F4" s="91" t="n"/>
      <c r="G4" s="91" t="n"/>
      <c r="H4" s="91" t="n"/>
      <c r="I4" s="91" t="n"/>
      <c r="J4" s="91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  <c r="Z4" s="91" t="n"/>
      <c r="AA4" s="91" t="n"/>
      <c r="AB4" s="91" t="n"/>
      <c r="AC4" s="91" t="n"/>
      <c r="AD4" s="91" t="n"/>
      <c r="AE4" s="91" t="n"/>
      <c r="AF4" s="91" t="n"/>
      <c r="AG4" s="91" t="n"/>
      <c r="AH4" s="91" t="n"/>
      <c r="AI4" s="91" t="n"/>
      <c r="AJ4" s="91" t="n"/>
      <c r="AK4" s="91" t="n"/>
      <c r="AL4" s="91" t="n"/>
      <c r="AM4" s="91" t="n"/>
      <c r="AN4" s="91" t="n"/>
    </row>
    <row r="5">
      <c r="B5" s="91" t="n"/>
      <c r="C5" s="91" t="n"/>
      <c r="D5" s="91" t="n"/>
      <c r="E5" s="91" t="n"/>
      <c r="F5" s="91" t="n"/>
      <c r="G5" s="91" t="n"/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  <c r="Z5" s="91" t="n"/>
      <c r="AA5" s="91" t="n"/>
      <c r="AB5" s="91" t="n"/>
      <c r="AC5" s="91" t="n"/>
      <c r="AD5" s="91" t="n"/>
      <c r="AE5" s="91" t="n"/>
      <c r="AF5" s="91" t="n"/>
      <c r="AG5" s="91" t="n"/>
      <c r="AH5" s="91" t="n"/>
      <c r="AI5" s="91" t="n"/>
      <c r="AJ5" s="91" t="n"/>
      <c r="AK5" s="91" t="n"/>
      <c r="AL5" s="91" t="n"/>
      <c r="AM5" s="91" t="n"/>
      <c r="AN5" s="91" t="n"/>
    </row>
    <row r="6">
      <c r="B6" s="91" t="n"/>
      <c r="C6" s="102" t="inlineStr">
        <is>
          <t>KPI \ Mois</t>
        </is>
      </c>
      <c r="D6" s="107">
        <f>DATE(2024,1,1)</f>
        <v/>
      </c>
      <c r="E6" s="107">
        <f>DATE(2024,2,1)</f>
        <v/>
      </c>
      <c r="F6" s="107">
        <f>DATE(2024,3,1)</f>
        <v/>
      </c>
      <c r="G6" s="107">
        <f>DATE(2024,4,1)</f>
        <v/>
      </c>
      <c r="H6" s="107">
        <f>DATE(2024,5,1)</f>
        <v/>
      </c>
      <c r="I6" s="107">
        <f>DATE(2024,6,1)</f>
        <v/>
      </c>
      <c r="J6" s="107">
        <f>DATE(2024,7,1)</f>
        <v/>
      </c>
      <c r="K6" s="107">
        <f>DATE(2024,8,1)</f>
        <v/>
      </c>
      <c r="L6" s="107">
        <f>DATE(2024,9,1)</f>
        <v/>
      </c>
      <c r="M6" s="107">
        <f>DATE(2024,10,1)</f>
        <v/>
      </c>
      <c r="N6" s="107">
        <f>DATE(2024,11,1)</f>
        <v/>
      </c>
      <c r="O6" s="107">
        <f>DATE(2024,12,1)</f>
        <v/>
      </c>
      <c r="P6" s="107">
        <f>DATE(2025,1,1)</f>
        <v/>
      </c>
      <c r="Q6" s="107">
        <f>DATE(2025,2,1)</f>
        <v/>
      </c>
      <c r="R6" s="107">
        <f>DATE(2025,3,1)</f>
        <v/>
      </c>
      <c r="S6" s="107">
        <f>DATE(2025,4,1)</f>
        <v/>
      </c>
      <c r="T6" s="107">
        <f>DATE(2025,5,1)</f>
        <v/>
      </c>
      <c r="U6" s="107">
        <f>DATE(2025,6,1)</f>
        <v/>
      </c>
      <c r="V6" s="107">
        <f>DATE(2025,7,1)</f>
        <v/>
      </c>
      <c r="W6" s="107">
        <f>DATE(2025,8,1)</f>
        <v/>
      </c>
      <c r="X6" s="107">
        <f>DATE(2025,9,1)</f>
        <v/>
      </c>
      <c r="Y6" s="107">
        <f>DATE(2025,10,1)</f>
        <v/>
      </c>
      <c r="Z6" s="107">
        <f>DATE(2025,11,1)</f>
        <v/>
      </c>
      <c r="AA6" s="107">
        <f>DATE(2025,12,1)</f>
        <v/>
      </c>
      <c r="AB6" s="107">
        <f>DATE(2026,1,1)</f>
        <v/>
      </c>
      <c r="AC6" s="107">
        <f>DATE(2026,2,1)</f>
        <v/>
      </c>
      <c r="AD6" s="107">
        <f>DATE(2026,3,1)</f>
        <v/>
      </c>
      <c r="AE6" s="107">
        <f>DATE(2026,4,1)</f>
        <v/>
      </c>
      <c r="AF6" s="107">
        <f>DATE(2026,5,1)</f>
        <v/>
      </c>
      <c r="AG6" s="107">
        <f>DATE(2026,6,1)</f>
        <v/>
      </c>
      <c r="AH6" s="107">
        <f>DATE(2026,7,1)</f>
        <v/>
      </c>
      <c r="AI6" s="107">
        <f>DATE(2026,8,1)</f>
        <v/>
      </c>
      <c r="AJ6" s="107">
        <f>DATE(2026,9,1)</f>
        <v/>
      </c>
      <c r="AK6" s="107">
        <f>DATE(2026,10,1)</f>
        <v/>
      </c>
      <c r="AL6" s="107">
        <f>DATE(2026,11,1)</f>
        <v/>
      </c>
      <c r="AM6" s="107">
        <f>DATE(2026,12,1)</f>
        <v/>
      </c>
      <c r="AN6" s="91" t="n"/>
    </row>
    <row r="7">
      <c r="B7" s="91" t="n"/>
      <c r="C7" s="91" t="n"/>
      <c r="D7" s="91" t="n"/>
      <c r="E7" s="91" t="n"/>
      <c r="F7" s="91" t="n"/>
      <c r="G7" s="91" t="n"/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  <c r="Z7" s="91" t="n"/>
      <c r="AA7" s="91" t="n"/>
      <c r="AB7" s="91" t="n"/>
      <c r="AC7" s="91" t="n"/>
      <c r="AD7" s="91" t="n"/>
      <c r="AE7" s="91" t="n"/>
      <c r="AF7" s="91" t="n"/>
      <c r="AG7" s="91" t="n"/>
      <c r="AH7" s="91" t="n"/>
      <c r="AI7" s="91" t="n"/>
      <c r="AJ7" s="91" t="n"/>
      <c r="AK7" s="91" t="n"/>
      <c r="AL7" s="91" t="n"/>
      <c r="AM7" s="91" t="n"/>
      <c r="AN7" s="91" t="n"/>
    </row>
    <row r="8">
      <c r="B8" s="91" t="n"/>
      <c r="C8" s="108">
        <f>IFERROR(IF(LANG="EN",INDEX(I18N_EN,MATCH("kpi.fac.prev_corr",I18N_KEY,0)),INDEX(I18N_FR,MATCH("kpi.fac.prev_corr",I18N_KEY,0))),"kpi.fac.prev_corr")</f>
        <v/>
      </c>
      <c r="D8" s="110" t="n">
        <v>0.6387</v>
      </c>
      <c r="E8" s="110" t="n">
        <v>0.6531</v>
      </c>
      <c r="F8" s="110" t="n">
        <v>0.6473</v>
      </c>
      <c r="G8" s="110" t="n">
        <v>0.6548</v>
      </c>
      <c r="H8" s="110" t="n">
        <v>0.6523</v>
      </c>
      <c r="I8" s="110" t="n">
        <v>0.6449</v>
      </c>
      <c r="J8" s="110" t="n">
        <v>0.6607</v>
      </c>
      <c r="K8" s="110" t="n">
        <v>0.6695</v>
      </c>
      <c r="L8" s="110" t="n">
        <v>0.664</v>
      </c>
      <c r="M8" s="110" t="n">
        <v>0.6666</v>
      </c>
      <c r="N8" s="110" t="n">
        <v>0.6449</v>
      </c>
      <c r="O8" s="110" t="n">
        <v>0.6465</v>
      </c>
      <c r="P8" s="110" t="n">
        <v>0.6494</v>
      </c>
      <c r="Q8" s="110" t="n">
        <v>0.6492</v>
      </c>
      <c r="R8" s="110" t="n">
        <v>0.6637999999999999</v>
      </c>
      <c r="S8" s="110" t="n">
        <v>0.6654</v>
      </c>
      <c r="T8" s="110" t="n">
        <v>0.6549</v>
      </c>
      <c r="U8" s="110" t="n">
        <v>0.6731</v>
      </c>
      <c r="V8" s="110" t="n">
        <v>0.6525</v>
      </c>
      <c r="W8" s="110" t="n">
        <v>0.7067</v>
      </c>
      <c r="X8" s="110" t="n">
        <v>0.6646</v>
      </c>
      <c r="Y8" s="110" t="n">
        <v>0.6818</v>
      </c>
      <c r="Z8" s="110" t="n">
        <v>0.6506999999999999</v>
      </c>
      <c r="AA8" s="110" t="n">
        <v>0.6474</v>
      </c>
      <c r="AB8" s="110" t="n">
        <v>0.6846</v>
      </c>
      <c r="AC8" s="110" t="n">
        <v>0.6323</v>
      </c>
      <c r="AD8" s="110" t="n">
        <v>0.7158</v>
      </c>
      <c r="AE8" s="110" t="n">
        <v>0.6593</v>
      </c>
      <c r="AF8" s="110" t="n">
        <v>0.6555</v>
      </c>
      <c r="AG8" s="110" t="n">
        <v>0.7035</v>
      </c>
      <c r="AH8" s="110" t="n">
        <v>0.7016</v>
      </c>
      <c r="AI8" s="110" t="n">
        <v>0.7369</v>
      </c>
      <c r="AJ8" s="110" t="n">
        <v>0.6617</v>
      </c>
      <c r="AK8" s="110" t="n">
        <v>0.7403999999999999</v>
      </c>
      <c r="AL8" s="110" t="n">
        <v>0.6625</v>
      </c>
      <c r="AM8" s="110" t="n">
        <v>0.6841</v>
      </c>
      <c r="AN8" s="91" t="n"/>
    </row>
    <row r="9">
      <c r="B9" s="91" t="n"/>
      <c r="C9" s="108">
        <f>IFERROR(IF(LANG="EN",INDEX(I18N_EN,MATCH("kpi.fac.wo_prev",I18N_KEY,0)),INDEX(I18N_FR,MATCH("kpi.fac.wo_prev",I18N_KEY,0))),"kpi.fac.wo_prev")</f>
        <v/>
      </c>
      <c r="D9" s="109" t="n">
        <v>42</v>
      </c>
      <c r="E9" s="109" t="n">
        <v>41</v>
      </c>
      <c r="F9" s="109" t="n">
        <v>42</v>
      </c>
      <c r="G9" s="109" t="n">
        <v>42</v>
      </c>
      <c r="H9" s="109" t="n">
        <v>42</v>
      </c>
      <c r="I9" s="109" t="n">
        <v>42</v>
      </c>
      <c r="J9" s="109" t="n">
        <v>43</v>
      </c>
      <c r="K9" s="109" t="n">
        <v>41</v>
      </c>
      <c r="L9" s="109" t="n">
        <v>41</v>
      </c>
      <c r="M9" s="109" t="n">
        <v>42</v>
      </c>
      <c r="N9" s="109" t="n">
        <v>43</v>
      </c>
      <c r="O9" s="109" t="n">
        <v>41</v>
      </c>
      <c r="P9" s="109" t="n">
        <v>41</v>
      </c>
      <c r="Q9" s="109" t="n">
        <v>44</v>
      </c>
      <c r="R9" s="109" t="n">
        <v>42</v>
      </c>
      <c r="S9" s="109" t="n">
        <v>41</v>
      </c>
      <c r="T9" s="109" t="n">
        <v>45</v>
      </c>
      <c r="U9" s="109" t="n">
        <v>41</v>
      </c>
      <c r="V9" s="109" t="n">
        <v>43</v>
      </c>
      <c r="W9" s="109" t="n">
        <v>42</v>
      </c>
      <c r="X9" s="109" t="n">
        <v>42</v>
      </c>
      <c r="Y9" s="109" t="n">
        <v>45</v>
      </c>
      <c r="Z9" s="109" t="n">
        <v>46</v>
      </c>
      <c r="AA9" s="109" t="n">
        <v>47</v>
      </c>
      <c r="AB9" s="109" t="n">
        <v>45</v>
      </c>
      <c r="AC9" s="109" t="n">
        <v>42</v>
      </c>
      <c r="AD9" s="109" t="n">
        <v>45</v>
      </c>
      <c r="AE9" s="109" t="n">
        <v>43</v>
      </c>
      <c r="AF9" s="109" t="n">
        <v>45</v>
      </c>
      <c r="AG9" s="109" t="n">
        <v>41</v>
      </c>
      <c r="AH9" s="109" t="n">
        <v>44</v>
      </c>
      <c r="AI9" s="109" t="n">
        <v>45</v>
      </c>
      <c r="AJ9" s="109" t="n">
        <v>42</v>
      </c>
      <c r="AK9" s="109" t="n">
        <v>47</v>
      </c>
      <c r="AL9" s="109" t="n">
        <v>48</v>
      </c>
      <c r="AM9" s="109" t="n">
        <v>47</v>
      </c>
      <c r="AN9" s="91" t="n"/>
    </row>
    <row r="10">
      <c r="B10" s="91" t="n"/>
      <c r="C10" s="108">
        <f>IFERROR(IF(LANG="EN",INDEX(I18N_EN,MATCH("kpi.fac.wo_corr",I18N_KEY,0)),INDEX(I18N_FR,MATCH("kpi.fac.wo_corr",I18N_KEY,0))),"kpi.fac.wo_corr")</f>
        <v/>
      </c>
      <c r="D10" s="109" t="n">
        <v>23</v>
      </c>
      <c r="E10" s="109" t="n">
        <v>23</v>
      </c>
      <c r="F10" s="109" t="n">
        <v>23</v>
      </c>
      <c r="G10" s="109" t="n">
        <v>23</v>
      </c>
      <c r="H10" s="109" t="n">
        <v>23</v>
      </c>
      <c r="I10" s="109" t="n">
        <v>23</v>
      </c>
      <c r="J10" s="109" t="n">
        <v>24</v>
      </c>
      <c r="K10" s="109" t="n">
        <v>23</v>
      </c>
      <c r="L10" s="109" t="n">
        <v>24</v>
      </c>
      <c r="M10" s="109" t="n">
        <v>23</v>
      </c>
      <c r="N10" s="109" t="n">
        <v>23</v>
      </c>
      <c r="O10" s="109" t="n">
        <v>24</v>
      </c>
      <c r="P10" s="109" t="n">
        <v>23</v>
      </c>
      <c r="Q10" s="109" t="n">
        <v>24</v>
      </c>
      <c r="R10" s="109" t="n">
        <v>23</v>
      </c>
      <c r="S10" s="109" t="n">
        <v>22</v>
      </c>
      <c r="T10" s="109" t="n">
        <v>23</v>
      </c>
      <c r="U10" s="109" t="n">
        <v>24</v>
      </c>
      <c r="V10" s="109" t="n">
        <v>24</v>
      </c>
      <c r="W10" s="109" t="n">
        <v>23</v>
      </c>
      <c r="X10" s="109" t="n">
        <v>24</v>
      </c>
      <c r="Y10" s="109" t="n">
        <v>23</v>
      </c>
      <c r="Z10" s="109" t="n">
        <v>23</v>
      </c>
      <c r="AA10" s="109" t="n">
        <v>23</v>
      </c>
      <c r="AB10" s="109" t="n">
        <v>25</v>
      </c>
      <c r="AC10" s="109" t="n">
        <v>25</v>
      </c>
      <c r="AD10" s="109" t="n">
        <v>25</v>
      </c>
      <c r="AE10" s="109" t="n">
        <v>22</v>
      </c>
      <c r="AF10" s="109" t="n">
        <v>23</v>
      </c>
      <c r="AG10" s="109" t="n">
        <v>23</v>
      </c>
      <c r="AH10" s="109" t="n">
        <v>25</v>
      </c>
      <c r="AI10" s="109" t="n">
        <v>23</v>
      </c>
      <c r="AJ10" s="109" t="n">
        <v>27</v>
      </c>
      <c r="AK10" s="109" t="n">
        <v>25</v>
      </c>
      <c r="AL10" s="109" t="n">
        <v>26</v>
      </c>
      <c r="AM10" s="109" t="n">
        <v>24</v>
      </c>
      <c r="AN10" s="91" t="n"/>
    </row>
    <row r="11">
      <c r="B11" s="91" t="n"/>
      <c r="C11" s="108">
        <f>IFERROR(IF(LANG="EN",INDEX(I18N_EN,MATCH("kpi.fac.ot_backlog",I18N_KEY,0)),INDEX(I18N_FR,MATCH("kpi.fac.ot_backlog",I18N_KEY,0))),"kpi.fac.ot_backlog")</f>
        <v/>
      </c>
      <c r="D11" s="109" t="n">
        <v>12</v>
      </c>
      <c r="E11" s="109" t="n">
        <v>12</v>
      </c>
      <c r="F11" s="109" t="n">
        <v>12</v>
      </c>
      <c r="G11" s="109" t="n">
        <v>12</v>
      </c>
      <c r="H11" s="109" t="n">
        <v>12</v>
      </c>
      <c r="I11" s="109" t="n">
        <v>12</v>
      </c>
      <c r="J11" s="109" t="n">
        <v>12</v>
      </c>
      <c r="K11" s="109" t="n">
        <v>12</v>
      </c>
      <c r="L11" s="109" t="n">
        <v>12</v>
      </c>
      <c r="M11" s="109" t="n">
        <v>12</v>
      </c>
      <c r="N11" s="109" t="n">
        <v>12</v>
      </c>
      <c r="O11" s="109" t="n">
        <v>12</v>
      </c>
      <c r="P11" s="109" t="n">
        <v>12</v>
      </c>
      <c r="Q11" s="109" t="n">
        <v>12</v>
      </c>
      <c r="R11" s="109" t="n">
        <v>12</v>
      </c>
      <c r="S11" s="109" t="n">
        <v>12</v>
      </c>
      <c r="T11" s="109" t="n">
        <v>13</v>
      </c>
      <c r="U11" s="109" t="n">
        <v>12</v>
      </c>
      <c r="V11" s="109" t="n">
        <v>12</v>
      </c>
      <c r="W11" s="109" t="n">
        <v>12</v>
      </c>
      <c r="X11" s="109" t="n">
        <v>12</v>
      </c>
      <c r="Y11" s="109" t="n">
        <v>13</v>
      </c>
      <c r="Z11" s="109" t="n">
        <v>13</v>
      </c>
      <c r="AA11" s="109" t="n">
        <v>13</v>
      </c>
      <c r="AB11" s="109" t="n">
        <v>13</v>
      </c>
      <c r="AC11" s="109" t="n">
        <v>13</v>
      </c>
      <c r="AD11" s="109" t="n">
        <v>12</v>
      </c>
      <c r="AE11" s="109" t="n">
        <v>12</v>
      </c>
      <c r="AF11" s="109" t="n">
        <v>13</v>
      </c>
      <c r="AG11" s="109" t="n">
        <v>13</v>
      </c>
      <c r="AH11" s="109" t="n">
        <v>12</v>
      </c>
      <c r="AI11" s="109" t="n">
        <v>12</v>
      </c>
      <c r="AJ11" s="109" t="n">
        <v>12</v>
      </c>
      <c r="AK11" s="109" t="n">
        <v>12</v>
      </c>
      <c r="AL11" s="109" t="n">
        <v>12</v>
      </c>
      <c r="AM11" s="109" t="n">
        <v>13</v>
      </c>
      <c r="AN11" s="91" t="n"/>
    </row>
    <row r="12">
      <c r="B12" s="91" t="n"/>
      <c r="C12" s="108">
        <f>IFERROR(IF(LANG="EN",INDEX(I18N_EN,MATCH("kpi.fac.mttr",I18N_KEY,0)),INDEX(I18N_FR,MATCH("kpi.fac.mttr",I18N_KEY,0))),"kpi.fac.mttr")</f>
        <v/>
      </c>
      <c r="D12" s="109" t="n">
        <v>6.5</v>
      </c>
      <c r="E12" s="109" t="n">
        <v>6.59</v>
      </c>
      <c r="F12" s="109" t="n">
        <v>6.42</v>
      </c>
      <c r="G12" s="109" t="n">
        <v>6.49</v>
      </c>
      <c r="H12" s="109" t="n">
        <v>6.42</v>
      </c>
      <c r="I12" s="109" t="n">
        <v>6.73</v>
      </c>
      <c r="J12" s="109" t="n">
        <v>6.4</v>
      </c>
      <c r="K12" s="109" t="n">
        <v>6.6</v>
      </c>
      <c r="L12" s="109" t="n">
        <v>6.59</v>
      </c>
      <c r="M12" s="109" t="n">
        <v>6.75</v>
      </c>
      <c r="N12" s="109" t="n">
        <v>6.64</v>
      </c>
      <c r="O12" s="109" t="n">
        <v>6.38</v>
      </c>
      <c r="P12" s="109" t="n">
        <v>6.34</v>
      </c>
      <c r="Q12" s="109" t="n">
        <v>6.65</v>
      </c>
      <c r="R12" s="109" t="n">
        <v>6.75</v>
      </c>
      <c r="S12" s="109" t="n">
        <v>6.84</v>
      </c>
      <c r="T12" s="109" t="n">
        <v>6.76</v>
      </c>
      <c r="U12" s="109" t="n">
        <v>6.62</v>
      </c>
      <c r="V12" s="109" t="n">
        <v>6.69</v>
      </c>
      <c r="W12" s="109" t="n">
        <v>6.77</v>
      </c>
      <c r="X12" s="109" t="n">
        <v>6.85</v>
      </c>
      <c r="Y12" s="109" t="n">
        <v>6.38</v>
      </c>
      <c r="Z12" s="109" t="n">
        <v>7.09</v>
      </c>
      <c r="AA12" s="109" t="n">
        <v>6.78</v>
      </c>
      <c r="AB12" s="109" t="n">
        <v>6.46</v>
      </c>
      <c r="AC12" s="109" t="n">
        <v>6.75</v>
      </c>
      <c r="AD12" s="109" t="n">
        <v>6.59</v>
      </c>
      <c r="AE12" s="109" t="n">
        <v>6.56</v>
      </c>
      <c r="AF12" s="109" t="n">
        <v>6.65</v>
      </c>
      <c r="AG12" s="109" t="n">
        <v>7.04</v>
      </c>
      <c r="AH12" s="109" t="n">
        <v>6.46</v>
      </c>
      <c r="AI12" s="109" t="n">
        <v>7.37</v>
      </c>
      <c r="AJ12" s="109" t="n">
        <v>7.28</v>
      </c>
      <c r="AK12" s="109" t="n">
        <v>6.39</v>
      </c>
      <c r="AL12" s="109" t="n">
        <v>6.58</v>
      </c>
      <c r="AM12" s="109" t="n">
        <v>6.51</v>
      </c>
      <c r="AN12" s="91" t="n"/>
    </row>
    <row r="13">
      <c r="B13" s="91" t="n"/>
      <c r="C13" s="108">
        <f>IFERROR(IF(LANG="EN",INDEX(I18N_EN,MATCH("kpi.fac.ot_opened",I18N_KEY,0)),INDEX(I18N_FR,MATCH("kpi.fac.ot_opened",I18N_KEY,0))),"kpi.fac.ot_opened")</f>
        <v/>
      </c>
      <c r="D13" s="109" t="n">
        <v>64</v>
      </c>
      <c r="E13" s="109" t="n">
        <v>66</v>
      </c>
      <c r="F13" s="109" t="n">
        <v>66</v>
      </c>
      <c r="G13" s="109" t="n">
        <v>65</v>
      </c>
      <c r="H13" s="109" t="n">
        <v>64</v>
      </c>
      <c r="I13" s="109" t="n">
        <v>66</v>
      </c>
      <c r="J13" s="109" t="n">
        <v>66</v>
      </c>
      <c r="K13" s="109" t="n">
        <v>65</v>
      </c>
      <c r="L13" s="109" t="n">
        <v>66</v>
      </c>
      <c r="M13" s="109" t="n">
        <v>65</v>
      </c>
      <c r="N13" s="109" t="n">
        <v>66</v>
      </c>
      <c r="O13" s="109" t="n">
        <v>63</v>
      </c>
      <c r="P13" s="109" t="n">
        <v>65</v>
      </c>
      <c r="Q13" s="109" t="n">
        <v>65</v>
      </c>
      <c r="R13" s="109" t="n">
        <v>68</v>
      </c>
      <c r="S13" s="109" t="n">
        <v>64</v>
      </c>
      <c r="T13" s="109" t="n">
        <v>64</v>
      </c>
      <c r="U13" s="109" t="n">
        <v>67</v>
      </c>
      <c r="V13" s="109" t="n">
        <v>69</v>
      </c>
      <c r="W13" s="109" t="n">
        <v>69</v>
      </c>
      <c r="X13" s="109" t="n">
        <v>69</v>
      </c>
      <c r="Y13" s="109" t="n">
        <v>66</v>
      </c>
      <c r="Z13" s="109" t="n">
        <v>62</v>
      </c>
      <c r="AA13" s="109" t="n">
        <v>70</v>
      </c>
      <c r="AB13" s="109" t="n">
        <v>71</v>
      </c>
      <c r="AC13" s="109" t="n">
        <v>64</v>
      </c>
      <c r="AD13" s="109" t="n">
        <v>68</v>
      </c>
      <c r="AE13" s="109" t="n">
        <v>65</v>
      </c>
      <c r="AF13" s="109" t="n">
        <v>69</v>
      </c>
      <c r="AG13" s="109" t="n">
        <v>73</v>
      </c>
      <c r="AH13" s="109" t="n">
        <v>71</v>
      </c>
      <c r="AI13" s="109" t="n">
        <v>64</v>
      </c>
      <c r="AJ13" s="109" t="n">
        <v>63</v>
      </c>
      <c r="AK13" s="109" t="n">
        <v>68</v>
      </c>
      <c r="AL13" s="109" t="n">
        <v>65</v>
      </c>
      <c r="AM13" s="109" t="n">
        <v>73</v>
      </c>
      <c r="AN13" s="91" t="n"/>
    </row>
    <row r="14">
      <c r="B14" s="91" t="n"/>
      <c r="C14" s="108">
        <f>IFERROR(IF(LANG="EN",INDEX(I18N_EN,MATCH("kpi.fac.ot_closed",I18N_KEY,0)),INDEX(I18N_FR,MATCH("kpi.fac.ot_closed",I18N_KEY,0))),"kpi.fac.ot_closed")</f>
        <v/>
      </c>
      <c r="D14" s="109" t="n">
        <v>58</v>
      </c>
      <c r="E14" s="109" t="n">
        <v>58</v>
      </c>
      <c r="F14" s="109" t="n">
        <v>58</v>
      </c>
      <c r="G14" s="109" t="n">
        <v>57</v>
      </c>
      <c r="H14" s="109" t="n">
        <v>59</v>
      </c>
      <c r="I14" s="109" t="n">
        <v>57</v>
      </c>
      <c r="J14" s="109" t="n">
        <v>57</v>
      </c>
      <c r="K14" s="109" t="n">
        <v>60</v>
      </c>
      <c r="L14" s="109" t="n">
        <v>58</v>
      </c>
      <c r="M14" s="109" t="n">
        <v>61</v>
      </c>
      <c r="N14" s="109" t="n">
        <v>59</v>
      </c>
      <c r="O14" s="109" t="n">
        <v>60</v>
      </c>
      <c r="P14" s="109" t="n">
        <v>60</v>
      </c>
      <c r="Q14" s="109" t="n">
        <v>62</v>
      </c>
      <c r="R14" s="109" t="n">
        <v>59</v>
      </c>
      <c r="S14" s="109" t="n">
        <v>61</v>
      </c>
      <c r="T14" s="109" t="n">
        <v>61</v>
      </c>
      <c r="U14" s="109" t="n">
        <v>59</v>
      </c>
      <c r="V14" s="109" t="n">
        <v>60</v>
      </c>
      <c r="W14" s="109" t="n">
        <v>60</v>
      </c>
      <c r="X14" s="109" t="n">
        <v>61</v>
      </c>
      <c r="Y14" s="109" t="n">
        <v>58</v>
      </c>
      <c r="Z14" s="109" t="n">
        <v>62</v>
      </c>
      <c r="AA14" s="109" t="n">
        <v>62</v>
      </c>
      <c r="AB14" s="109" t="n">
        <v>60</v>
      </c>
      <c r="AC14" s="109" t="n">
        <v>59</v>
      </c>
      <c r="AD14" s="109" t="n">
        <v>56</v>
      </c>
      <c r="AE14" s="109" t="n">
        <v>57</v>
      </c>
      <c r="AF14" s="109" t="n">
        <v>62</v>
      </c>
      <c r="AG14" s="109" t="n">
        <v>62</v>
      </c>
      <c r="AH14" s="109" t="n">
        <v>59</v>
      </c>
      <c r="AI14" s="109" t="n">
        <v>63</v>
      </c>
      <c r="AJ14" s="109" t="n">
        <v>66</v>
      </c>
      <c r="AK14" s="109" t="n">
        <v>57</v>
      </c>
      <c r="AL14" s="109" t="n">
        <v>64</v>
      </c>
      <c r="AM14" s="109" t="n">
        <v>58</v>
      </c>
      <c r="AN14" s="91" t="n"/>
    </row>
    <row r="15">
      <c r="B15" s="91" t="n"/>
      <c r="C15" s="108">
        <f>IFERROR(IF(LANG="EN",INDEX(I18N_EN,MATCH("kpi.fac.energy_int",I18N_KEY,0)),INDEX(I18N_FR,MATCH("kpi.fac.energy_int",I18N_KEY,0))),"kpi.fac.energy_int")</f>
        <v/>
      </c>
      <c r="D15" s="109" t="n">
        <v>14.09</v>
      </c>
      <c r="E15" s="109" t="n">
        <v>14.1</v>
      </c>
      <c r="F15" s="109" t="n">
        <v>14.14</v>
      </c>
      <c r="G15" s="109" t="n">
        <v>13.93</v>
      </c>
      <c r="H15" s="109" t="n">
        <v>13.78</v>
      </c>
      <c r="I15" s="109" t="n">
        <v>14.01</v>
      </c>
      <c r="J15" s="109" t="n">
        <v>14.05</v>
      </c>
      <c r="K15" s="109" t="n">
        <v>13.77</v>
      </c>
      <c r="L15" s="109" t="n">
        <v>13.95</v>
      </c>
      <c r="M15" s="109" t="n">
        <v>14.66</v>
      </c>
      <c r="N15" s="109" t="n">
        <v>13.75</v>
      </c>
      <c r="O15" s="109" t="n">
        <v>14.31</v>
      </c>
      <c r="P15" s="109" t="n">
        <v>14.31</v>
      </c>
      <c r="Q15" s="109" t="n">
        <v>13.78</v>
      </c>
      <c r="R15" s="109" t="n">
        <v>14.01</v>
      </c>
      <c r="S15" s="109" t="n">
        <v>14.33</v>
      </c>
      <c r="T15" s="109" t="n">
        <v>14.44</v>
      </c>
      <c r="U15" s="109" t="n">
        <v>14.93</v>
      </c>
      <c r="V15" s="109" t="n">
        <v>13.85</v>
      </c>
      <c r="W15" s="109" t="n">
        <v>14.52</v>
      </c>
      <c r="X15" s="109" t="n">
        <v>15</v>
      </c>
      <c r="Y15" s="109" t="n">
        <v>14.64</v>
      </c>
      <c r="Z15" s="109" t="n">
        <v>14.43</v>
      </c>
      <c r="AA15" s="109" t="n">
        <v>15.17</v>
      </c>
      <c r="AB15" s="109" t="n">
        <v>14.47</v>
      </c>
      <c r="AC15" s="109" t="n">
        <v>14.82</v>
      </c>
      <c r="AD15" s="109" t="n">
        <v>14.42</v>
      </c>
      <c r="AE15" s="109" t="n">
        <v>14.33</v>
      </c>
      <c r="AF15" s="109" t="n">
        <v>13.4</v>
      </c>
      <c r="AG15" s="109" t="n">
        <v>14.32</v>
      </c>
      <c r="AH15" s="109" t="n">
        <v>13.58</v>
      </c>
      <c r="AI15" s="109" t="n">
        <v>14.75</v>
      </c>
      <c r="AJ15" s="109" t="n">
        <v>14.86</v>
      </c>
      <c r="AK15" s="109" t="n">
        <v>16.09</v>
      </c>
      <c r="AL15" s="109" t="n">
        <v>14.33</v>
      </c>
      <c r="AM15" s="109" t="n">
        <v>15.14</v>
      </c>
      <c r="AN15" s="91" t="n"/>
    </row>
    <row r="16">
      <c r="B16" s="91" t="n"/>
      <c r="C16" s="108">
        <f>IFERROR(IF(LANG="EN",INDEX(I18N_EN,MATCH("kpi.fac.util_cost",I18N_KEY,0)),INDEX(I18N_FR,MATCH("kpi.fac.util_cost",I18N_KEY,0))),"kpi.fac.util_cost")</f>
        <v/>
      </c>
      <c r="D16" s="110" t="n">
        <v>1.011</v>
      </c>
      <c r="E16" s="110" t="n">
        <v>1.0292</v>
      </c>
      <c r="F16" s="110" t="n">
        <v>1.0211</v>
      </c>
      <c r="G16" s="110" t="n">
        <v>1.0232</v>
      </c>
      <c r="H16" s="110" t="n">
        <v>1.0548</v>
      </c>
      <c r="I16" s="110" t="n">
        <v>1.0372</v>
      </c>
      <c r="J16" s="110" t="n">
        <v>1.0536</v>
      </c>
      <c r="K16" s="110" t="n">
        <v>1.0641</v>
      </c>
      <c r="L16" s="110" t="n">
        <v>1.0423</v>
      </c>
      <c r="M16" s="110" t="n">
        <v>1.0315</v>
      </c>
      <c r="N16" s="110" t="n">
        <v>1.0597</v>
      </c>
      <c r="O16" s="110" t="n">
        <v>1.065</v>
      </c>
      <c r="P16" s="110" t="n">
        <v>1.029</v>
      </c>
      <c r="Q16" s="110" t="n">
        <v>1.0529</v>
      </c>
      <c r="R16" s="110" t="n">
        <v>1.0776</v>
      </c>
      <c r="S16" s="110" t="n">
        <v>1.0621</v>
      </c>
      <c r="T16" s="110" t="n">
        <v>1.085</v>
      </c>
      <c r="U16" s="110" t="n">
        <v>1.0925</v>
      </c>
      <c r="V16" s="110" t="n">
        <v>1.0821</v>
      </c>
      <c r="W16" s="110" t="n">
        <v>1.0472</v>
      </c>
      <c r="X16" s="110" t="n">
        <v>1.0639</v>
      </c>
      <c r="Y16" s="110" t="n">
        <v>1.0222</v>
      </c>
      <c r="Z16" s="110" t="n">
        <v>1.1295</v>
      </c>
      <c r="AA16" s="110" t="n">
        <v>1.0401</v>
      </c>
      <c r="AB16" s="110" t="n">
        <v>1.0683</v>
      </c>
      <c r="AC16" s="110" t="n">
        <v>1.0833</v>
      </c>
      <c r="AD16" s="110" t="n">
        <v>1.1005</v>
      </c>
      <c r="AE16" s="110" t="n">
        <v>1.0303</v>
      </c>
      <c r="AF16" s="110" t="n">
        <v>1.1299</v>
      </c>
      <c r="AG16" s="110" t="n">
        <v>1.0474</v>
      </c>
      <c r="AH16" s="110" t="n">
        <v>1.1732</v>
      </c>
      <c r="AI16" s="110" t="n">
        <v>0.967</v>
      </c>
      <c r="AJ16" s="110" t="n">
        <v>1.1151</v>
      </c>
      <c r="AK16" s="110" t="n">
        <v>1.1182</v>
      </c>
      <c r="AL16" s="110" t="n">
        <v>1.009</v>
      </c>
      <c r="AM16" s="110" t="n">
        <v>1.1111</v>
      </c>
      <c r="AN16" s="91" t="n"/>
    </row>
    <row r="17">
      <c r="B17" s="91" t="n"/>
      <c r="C17" s="108">
        <f>IFERROR(IF(LANG="EN",INDEX(I18N_EN,MATCH("kpi.fac.consumption",I18N_KEY,0)),INDEX(I18N_FR,MATCH("kpi.fac.consumption",I18N_KEY,0))),"kpi.fac.consumption")</f>
        <v/>
      </c>
      <c r="D17" s="109" t="n">
        <v>32574</v>
      </c>
      <c r="E17" s="109" t="n">
        <v>32439</v>
      </c>
      <c r="F17" s="109" t="n">
        <v>31412</v>
      </c>
      <c r="G17" s="109" t="n">
        <v>32295</v>
      </c>
      <c r="H17" s="109" t="n">
        <v>32522</v>
      </c>
      <c r="I17" s="109" t="n">
        <v>32308</v>
      </c>
      <c r="J17" s="109" t="n">
        <v>32882</v>
      </c>
      <c r="K17" s="109" t="n">
        <v>31628</v>
      </c>
      <c r="L17" s="109" t="n">
        <v>31901</v>
      </c>
      <c r="M17" s="109" t="n">
        <v>32261</v>
      </c>
      <c r="N17" s="109" t="n">
        <v>32638</v>
      </c>
      <c r="O17" s="109" t="n">
        <v>31138</v>
      </c>
      <c r="P17" s="109" t="n">
        <v>32470</v>
      </c>
      <c r="Q17" s="109" t="n">
        <v>33414</v>
      </c>
      <c r="R17" s="109" t="n">
        <v>31637</v>
      </c>
      <c r="S17" s="109" t="n">
        <v>31466</v>
      </c>
      <c r="T17" s="109" t="n">
        <v>34490</v>
      </c>
      <c r="U17" s="109" t="n">
        <v>34086</v>
      </c>
      <c r="V17" s="109" t="n">
        <v>32196</v>
      </c>
      <c r="W17" s="109" t="n">
        <v>32919</v>
      </c>
      <c r="X17" s="109" t="n">
        <v>35146</v>
      </c>
      <c r="Y17" s="109" t="n">
        <v>34865</v>
      </c>
      <c r="Z17" s="109" t="n">
        <v>31950</v>
      </c>
      <c r="AA17" s="109" t="n">
        <v>32229</v>
      </c>
      <c r="AB17" s="109" t="n">
        <v>31287</v>
      </c>
      <c r="AC17" s="109" t="n">
        <v>34338</v>
      </c>
      <c r="AD17" s="109" t="n">
        <v>34571</v>
      </c>
      <c r="AE17" s="109" t="n">
        <v>34210</v>
      </c>
      <c r="AF17" s="109" t="n">
        <v>32406</v>
      </c>
      <c r="AG17" s="109" t="n">
        <v>34828</v>
      </c>
      <c r="AH17" s="109" t="n">
        <v>34224</v>
      </c>
      <c r="AI17" s="109" t="n">
        <v>33165</v>
      </c>
      <c r="AJ17" s="109" t="n">
        <v>32259</v>
      </c>
      <c r="AK17" s="109" t="n">
        <v>36670</v>
      </c>
      <c r="AL17" s="109" t="n">
        <v>30370</v>
      </c>
      <c r="AM17" s="109" t="n">
        <v>31087</v>
      </c>
      <c r="AN17" s="91" t="n"/>
    </row>
    <row r="18">
      <c r="B18" s="91" t="n"/>
      <c r="C18" s="108">
        <f>IFERROR(IF(LANG="EN",INDEX(I18N_EN,MATCH("kpi.fac.capex",I18N_KEY,0)),INDEX(I18N_FR,MATCH("kpi.fac.capex",I18N_KEY,0))),"kpi.fac.capex")</f>
        <v/>
      </c>
      <c r="D18" s="109" t="n">
        <v>44899751</v>
      </c>
      <c r="E18" s="109" t="n">
        <v>44912036</v>
      </c>
      <c r="F18" s="109" t="n">
        <v>44432941</v>
      </c>
      <c r="G18" s="109" t="n">
        <v>45913920</v>
      </c>
      <c r="H18" s="109" t="n">
        <v>46576666</v>
      </c>
      <c r="I18" s="109" t="n">
        <v>46509922</v>
      </c>
      <c r="J18" s="109" t="n">
        <v>45376125</v>
      </c>
      <c r="K18" s="109" t="n">
        <v>44258829</v>
      </c>
      <c r="L18" s="109" t="n">
        <v>45684947</v>
      </c>
      <c r="M18" s="109" t="n">
        <v>46412661</v>
      </c>
      <c r="N18" s="109" t="n">
        <v>45220207</v>
      </c>
      <c r="O18" s="109" t="n">
        <v>45456754</v>
      </c>
      <c r="P18" s="109" t="n">
        <v>46596461</v>
      </c>
      <c r="Q18" s="109" t="n">
        <v>44629378</v>
      </c>
      <c r="R18" s="109" t="n">
        <v>44809199</v>
      </c>
      <c r="S18" s="109" t="n">
        <v>44445860</v>
      </c>
      <c r="T18" s="109" t="n">
        <v>47358066</v>
      </c>
      <c r="U18" s="109" t="n">
        <v>44180896</v>
      </c>
      <c r="V18" s="109" t="n">
        <v>46544251</v>
      </c>
      <c r="W18" s="109" t="n">
        <v>49042008</v>
      </c>
      <c r="X18" s="109" t="n">
        <v>47151979</v>
      </c>
      <c r="Y18" s="109" t="n">
        <v>44998538</v>
      </c>
      <c r="Z18" s="109" t="n">
        <v>47984638</v>
      </c>
      <c r="AA18" s="109" t="n">
        <v>44386509</v>
      </c>
      <c r="AB18" s="109" t="n">
        <v>47196781</v>
      </c>
      <c r="AC18" s="109" t="n">
        <v>48509537</v>
      </c>
      <c r="AD18" s="109" t="n">
        <v>50037593</v>
      </c>
      <c r="AE18" s="109" t="n">
        <v>47693893</v>
      </c>
      <c r="AF18" s="109" t="n">
        <v>46305871</v>
      </c>
      <c r="AG18" s="109" t="n">
        <v>48411161</v>
      </c>
      <c r="AH18" s="109" t="n">
        <v>48136208</v>
      </c>
      <c r="AI18" s="109" t="n">
        <v>50387015</v>
      </c>
      <c r="AJ18" s="109" t="n">
        <v>44090603</v>
      </c>
      <c r="AK18" s="109" t="n">
        <v>42883053</v>
      </c>
      <c r="AL18" s="109" t="n">
        <v>50076061</v>
      </c>
      <c r="AM18" s="109" t="n">
        <v>48760551</v>
      </c>
      <c r="AN18" s="91" t="n"/>
    </row>
    <row r="19">
      <c r="B19" s="91" t="n"/>
      <c r="C19" s="108">
        <f>IFERROR(IF(LANG="EN",INDEX(I18N_EN,MATCH("kpi.fac.capex_var",I18N_KEY,0)),INDEX(I18N_FR,MATCH("kpi.fac.capex_var",I18N_KEY,0))),"kpi.fac.capex_var")</f>
        <v/>
      </c>
      <c r="D19" s="110" t="n">
        <v>0.9736</v>
      </c>
      <c r="E19" s="110" t="n">
        <v>0.9668</v>
      </c>
      <c r="F19" s="110" t="n">
        <v>0.9405</v>
      </c>
      <c r="G19" s="110" t="n">
        <v>0.978</v>
      </c>
      <c r="H19" s="110" t="n">
        <v>0.9691</v>
      </c>
      <c r="I19" s="110" t="n">
        <v>0.97</v>
      </c>
      <c r="J19" s="110" t="n">
        <v>0.9787</v>
      </c>
      <c r="K19" s="110" t="n">
        <v>0.9628</v>
      </c>
      <c r="L19" s="110" t="n">
        <v>0.9678</v>
      </c>
      <c r="M19" s="110" t="n">
        <v>0.9568</v>
      </c>
      <c r="N19" s="110" t="n">
        <v>1.011</v>
      </c>
      <c r="O19" s="110" t="n">
        <v>0.9734</v>
      </c>
      <c r="P19" s="110" t="n">
        <v>0.9695</v>
      </c>
      <c r="Q19" s="110" t="n">
        <v>1.0012</v>
      </c>
      <c r="R19" s="110" t="n">
        <v>0.9986</v>
      </c>
      <c r="S19" s="110" t="n">
        <v>0.9837</v>
      </c>
      <c r="T19" s="110" t="n">
        <v>0.968</v>
      </c>
      <c r="U19" s="110" t="n">
        <v>1.0017</v>
      </c>
      <c r="V19" s="110" t="n">
        <v>1.017</v>
      </c>
      <c r="W19" s="110" t="n">
        <v>1.0026</v>
      </c>
      <c r="X19" s="110" t="n">
        <v>1.0338</v>
      </c>
      <c r="Y19" s="110" t="n">
        <v>1.0155</v>
      </c>
      <c r="Z19" s="110" t="n">
        <v>1.0302</v>
      </c>
      <c r="AA19" s="110" t="n">
        <v>0.9996</v>
      </c>
      <c r="AB19" s="110" t="n">
        <v>1.0287</v>
      </c>
      <c r="AC19" s="110" t="n">
        <v>0.9883999999999999</v>
      </c>
      <c r="AD19" s="110" t="n">
        <v>1.0709</v>
      </c>
      <c r="AE19" s="110" t="n">
        <v>1.0675</v>
      </c>
      <c r="AF19" s="110" t="n">
        <v>0.9995000000000001</v>
      </c>
      <c r="AG19" s="110" t="n">
        <v>1.0469</v>
      </c>
      <c r="AH19" s="110" t="n">
        <v>1.0394</v>
      </c>
      <c r="AI19" s="110" t="n">
        <v>0.9989</v>
      </c>
      <c r="AJ19" s="110" t="n">
        <v>1.0266</v>
      </c>
      <c r="AK19" s="110" t="n">
        <v>1.0657</v>
      </c>
      <c r="AL19" s="110" t="n">
        <v>0.9475</v>
      </c>
      <c r="AM19" s="110" t="n">
        <v>1.0351</v>
      </c>
      <c r="AN19" s="91" t="n"/>
    </row>
    <row r="20">
      <c r="B20" s="91" t="n"/>
      <c r="C20" s="108">
        <f>IFERROR(IF(LANG="EN",INDEX(I18N_EN,MATCH("kpi.fac.capex_proj",I18N_KEY,0)),INDEX(I18N_FR,MATCH("kpi.fac.capex_proj",I18N_KEY,0))),"kpi.fac.capex_proj")</f>
        <v/>
      </c>
      <c r="D20" s="109" t="n">
        <v>4</v>
      </c>
      <c r="E20" s="109" t="n">
        <v>4</v>
      </c>
      <c r="F20" s="109" t="n">
        <v>4</v>
      </c>
      <c r="G20" s="109" t="n">
        <v>4</v>
      </c>
      <c r="H20" s="109" t="n">
        <v>4</v>
      </c>
      <c r="I20" s="109" t="n">
        <v>4</v>
      </c>
      <c r="J20" s="109" t="n">
        <v>4</v>
      </c>
      <c r="K20" s="109" t="n">
        <v>4</v>
      </c>
      <c r="L20" s="109" t="n">
        <v>4</v>
      </c>
      <c r="M20" s="109" t="n">
        <v>4</v>
      </c>
      <c r="N20" s="109" t="n">
        <v>4</v>
      </c>
      <c r="O20" s="109" t="n">
        <v>4</v>
      </c>
      <c r="P20" s="109" t="n">
        <v>4</v>
      </c>
      <c r="Q20" s="109" t="n">
        <v>4</v>
      </c>
      <c r="R20" s="109" t="n">
        <v>4</v>
      </c>
      <c r="S20" s="109" t="n">
        <v>4</v>
      </c>
      <c r="T20" s="109" t="n">
        <v>4</v>
      </c>
      <c r="U20" s="109" t="n">
        <v>4</v>
      </c>
      <c r="V20" s="109" t="n">
        <v>4</v>
      </c>
      <c r="W20" s="109" t="n">
        <v>4</v>
      </c>
      <c r="X20" s="109" t="n">
        <v>4</v>
      </c>
      <c r="Y20" s="109" t="n">
        <v>4</v>
      </c>
      <c r="Z20" s="109" t="n">
        <v>4</v>
      </c>
      <c r="AA20" s="109" t="n">
        <v>4</v>
      </c>
      <c r="AB20" s="109" t="n">
        <v>4</v>
      </c>
      <c r="AC20" s="109" t="n">
        <v>4</v>
      </c>
      <c r="AD20" s="109" t="n">
        <v>4</v>
      </c>
      <c r="AE20" s="109" t="n">
        <v>4</v>
      </c>
      <c r="AF20" s="109" t="n">
        <v>4</v>
      </c>
      <c r="AG20" s="109" t="n">
        <v>4</v>
      </c>
      <c r="AH20" s="109" t="n">
        <v>4</v>
      </c>
      <c r="AI20" s="109" t="n">
        <v>4</v>
      </c>
      <c r="AJ20" s="109" t="n">
        <v>4</v>
      </c>
      <c r="AK20" s="109" t="n">
        <v>4</v>
      </c>
      <c r="AL20" s="109" t="n">
        <v>4</v>
      </c>
      <c r="AM20" s="109" t="n">
        <v>4</v>
      </c>
      <c r="AN20" s="91" t="n"/>
    </row>
    <row r="21">
      <c r="B21" s="91" t="n"/>
      <c r="C21" s="108">
        <f>IFERROR(IF(LANG="EN",INDEX(I18N_EN,MATCH("kpi.fac.inspections",I18N_KEY,0)),INDEX(I18N_FR,MATCH("kpi.fac.inspections",I18N_KEY,0))),"kpi.fac.inspections")</f>
        <v/>
      </c>
      <c r="D21" s="109" t="n">
        <v>8</v>
      </c>
      <c r="E21" s="109" t="n">
        <v>8</v>
      </c>
      <c r="F21" s="109" t="n">
        <v>8</v>
      </c>
      <c r="G21" s="109" t="n">
        <v>8</v>
      </c>
      <c r="H21" s="109" t="n">
        <v>8</v>
      </c>
      <c r="I21" s="109" t="n">
        <v>8</v>
      </c>
      <c r="J21" s="109" t="n">
        <v>8</v>
      </c>
      <c r="K21" s="109" t="n">
        <v>8</v>
      </c>
      <c r="L21" s="109" t="n">
        <v>8</v>
      </c>
      <c r="M21" s="109" t="n">
        <v>8</v>
      </c>
      <c r="N21" s="109" t="n">
        <v>8</v>
      </c>
      <c r="O21" s="109" t="n">
        <v>8</v>
      </c>
      <c r="P21" s="109" t="n">
        <v>8</v>
      </c>
      <c r="Q21" s="109" t="n">
        <v>8</v>
      </c>
      <c r="R21" s="109" t="n">
        <v>8</v>
      </c>
      <c r="S21" s="109" t="n">
        <v>8</v>
      </c>
      <c r="T21" s="109" t="n">
        <v>8</v>
      </c>
      <c r="U21" s="109" t="n">
        <v>8</v>
      </c>
      <c r="V21" s="109" t="n">
        <v>8</v>
      </c>
      <c r="W21" s="109" t="n">
        <v>9</v>
      </c>
      <c r="X21" s="109" t="n">
        <v>8</v>
      </c>
      <c r="Y21" s="109" t="n">
        <v>8</v>
      </c>
      <c r="Z21" s="109" t="n">
        <v>8</v>
      </c>
      <c r="AA21" s="109" t="n">
        <v>8</v>
      </c>
      <c r="AB21" s="109" t="n">
        <v>9</v>
      </c>
      <c r="AC21" s="109" t="n">
        <v>8</v>
      </c>
      <c r="AD21" s="109" t="n">
        <v>8</v>
      </c>
      <c r="AE21" s="109" t="n">
        <v>8</v>
      </c>
      <c r="AF21" s="109" t="n">
        <v>8</v>
      </c>
      <c r="AG21" s="109" t="n">
        <v>8</v>
      </c>
      <c r="AH21" s="109" t="n">
        <v>8</v>
      </c>
      <c r="AI21" s="109" t="n">
        <v>9</v>
      </c>
      <c r="AJ21" s="109" t="n">
        <v>8</v>
      </c>
      <c r="AK21" s="109" t="n">
        <v>9</v>
      </c>
      <c r="AL21" s="109" t="n">
        <v>8</v>
      </c>
      <c r="AM21" s="109" t="n">
        <v>9</v>
      </c>
      <c r="AN21" s="91" t="n"/>
    </row>
    <row r="22">
      <c r="B22" s="91" t="n"/>
      <c r="C22" s="108">
        <f>IFERROR(IF(LANG="EN",INDEX(I18N_EN,MATCH("kpi.fac.insp_conform",I18N_KEY,0)),INDEX(I18N_FR,MATCH("kpi.fac.insp_conform",I18N_KEY,0))),"kpi.fac.insp_conform")</f>
        <v/>
      </c>
      <c r="D22" s="110" t="n">
        <v>0.8971</v>
      </c>
      <c r="E22" s="110" t="n">
        <v>0.9172</v>
      </c>
      <c r="F22" s="110" t="n">
        <v>0.8848</v>
      </c>
      <c r="G22" s="110" t="n">
        <v>0.8902</v>
      </c>
      <c r="H22" s="110" t="n">
        <v>0.8834</v>
      </c>
      <c r="I22" s="110" t="n">
        <v>0.892</v>
      </c>
      <c r="J22" s="110" t="n">
        <v>0.9071</v>
      </c>
      <c r="K22" s="110" t="n">
        <v>0.8948</v>
      </c>
      <c r="L22" s="110" t="n">
        <v>0.9156</v>
      </c>
      <c r="M22" s="110" t="n">
        <v>0.8845</v>
      </c>
      <c r="N22" s="110" t="n">
        <v>0.9326</v>
      </c>
      <c r="O22" s="110" t="n">
        <v>0.9071</v>
      </c>
      <c r="P22" s="110" t="n">
        <v>0.9036</v>
      </c>
      <c r="Q22" s="110" t="n">
        <v>0.9153</v>
      </c>
      <c r="R22" s="110" t="n">
        <v>0.9183</v>
      </c>
      <c r="S22" s="110" t="n">
        <v>0.9479</v>
      </c>
      <c r="T22" s="110" t="n">
        <v>0.9287</v>
      </c>
      <c r="U22" s="110" t="n">
        <v>0.9447</v>
      </c>
      <c r="V22" s="110" t="n">
        <v>0.9605</v>
      </c>
      <c r="W22" s="110" t="n">
        <v>0.918</v>
      </c>
      <c r="X22" s="110" t="n">
        <v>0.975</v>
      </c>
      <c r="Y22" s="110" t="n">
        <v>0.9498</v>
      </c>
      <c r="Z22" s="110" t="n">
        <v>0.9123</v>
      </c>
      <c r="AA22" s="110" t="n">
        <v>0.872</v>
      </c>
      <c r="AB22" s="110" t="n">
        <v>0.8749</v>
      </c>
      <c r="AC22" s="110" t="n">
        <v>0.925</v>
      </c>
      <c r="AD22" s="110" t="n">
        <v>0.8818</v>
      </c>
      <c r="AE22" s="110" t="n">
        <v>1.0081</v>
      </c>
      <c r="AF22" s="110" t="n">
        <v>0.9038</v>
      </c>
      <c r="AG22" s="110" t="n">
        <v>0.9567</v>
      </c>
      <c r="AH22" s="110" t="n">
        <v>1.0243</v>
      </c>
      <c r="AI22" s="110" t="n">
        <v>0.9321</v>
      </c>
      <c r="AJ22" s="110" t="n">
        <v>0.9452</v>
      </c>
      <c r="AK22" s="110" t="n">
        <v>1.0185</v>
      </c>
      <c r="AL22" s="110" t="n">
        <v>0.9225</v>
      </c>
      <c r="AM22" s="110" t="n">
        <v>1.0222</v>
      </c>
      <c r="AN22" s="91" t="n"/>
    </row>
    <row r="23">
      <c r="B23" s="91" t="n"/>
      <c r="C23" s="108">
        <f>IFERROR(IF(LANG="EN",INDEX(I18N_EN,MATCH("kpi.fac.nonconform",I18N_KEY,0)),INDEX(I18N_FR,MATCH("kpi.fac.nonconform",I18N_KEY,0))),"kpi.fac.nonconform")</f>
        <v/>
      </c>
      <c r="D23" s="109" t="n">
        <v>5</v>
      </c>
      <c r="E23" s="109" t="n">
        <v>5</v>
      </c>
      <c r="F23" s="109" t="n">
        <v>5</v>
      </c>
      <c r="G23" s="109" t="n">
        <v>5</v>
      </c>
      <c r="H23" s="109" t="n">
        <v>5</v>
      </c>
      <c r="I23" s="109" t="n">
        <v>5</v>
      </c>
      <c r="J23" s="109" t="n">
        <v>5</v>
      </c>
      <c r="K23" s="109" t="n">
        <v>5</v>
      </c>
      <c r="L23" s="109" t="n">
        <v>5</v>
      </c>
      <c r="M23" s="109" t="n">
        <v>5</v>
      </c>
      <c r="N23" s="109" t="n">
        <v>5</v>
      </c>
      <c r="O23" s="109" t="n">
        <v>5</v>
      </c>
      <c r="P23" s="109" t="n">
        <v>5</v>
      </c>
      <c r="Q23" s="109" t="n">
        <v>5</v>
      </c>
      <c r="R23" s="109" t="n">
        <v>5</v>
      </c>
      <c r="S23" s="109" t="n">
        <v>5</v>
      </c>
      <c r="T23" s="109" t="n">
        <v>5</v>
      </c>
      <c r="U23" s="109" t="n">
        <v>5</v>
      </c>
      <c r="V23" s="109" t="n">
        <v>5</v>
      </c>
      <c r="W23" s="109" t="n">
        <v>5</v>
      </c>
      <c r="X23" s="109" t="n">
        <v>5</v>
      </c>
      <c r="Y23" s="109" t="n">
        <v>5</v>
      </c>
      <c r="Z23" s="109" t="n">
        <v>5</v>
      </c>
      <c r="AA23" s="109" t="n">
        <v>5</v>
      </c>
      <c r="AB23" s="109" t="n">
        <v>5</v>
      </c>
      <c r="AC23" s="109" t="n">
        <v>5</v>
      </c>
      <c r="AD23" s="109" t="n">
        <v>5</v>
      </c>
      <c r="AE23" s="109" t="n">
        <v>5</v>
      </c>
      <c r="AF23" s="109" t="n">
        <v>5</v>
      </c>
      <c r="AG23" s="109" t="n">
        <v>5</v>
      </c>
      <c r="AH23" s="109" t="n">
        <v>6</v>
      </c>
      <c r="AI23" s="109" t="n">
        <v>5</v>
      </c>
      <c r="AJ23" s="109" t="n">
        <v>5</v>
      </c>
      <c r="AK23" s="109" t="n">
        <v>5</v>
      </c>
      <c r="AL23" s="109" t="n">
        <v>5</v>
      </c>
      <c r="AM23" s="109" t="n">
        <v>5</v>
      </c>
      <c r="AN23" s="91" t="n"/>
    </row>
    <row r="24">
      <c r="B24" s="91" t="n"/>
      <c r="C24" s="108">
        <f>IFERROR(IF(LANG="EN",INDEX(I18N_EN,MATCH("kpi.fac.cleanliness",I18N_KEY,0)),INDEX(I18N_FR,MATCH("kpi.fac.cleanliness",I18N_KEY,0))),"kpi.fac.cleanliness")</f>
        <v/>
      </c>
      <c r="D24" s="109" t="n">
        <v>8.289999999999999</v>
      </c>
      <c r="E24" s="109" t="n">
        <v>8.27</v>
      </c>
      <c r="F24" s="109" t="n">
        <v>8.279999999999999</v>
      </c>
      <c r="G24" s="109" t="n">
        <v>8.32</v>
      </c>
      <c r="H24" s="109" t="n">
        <v>8.369999999999999</v>
      </c>
      <c r="I24" s="109" t="n">
        <v>8.43</v>
      </c>
      <c r="J24" s="109" t="n">
        <v>8.359999999999999</v>
      </c>
      <c r="K24" s="109" t="n">
        <v>8.390000000000001</v>
      </c>
      <c r="L24" s="109" t="n">
        <v>8.48</v>
      </c>
      <c r="M24" s="109" t="n">
        <v>8.32</v>
      </c>
      <c r="N24" s="109" t="n">
        <v>8.57</v>
      </c>
      <c r="O24" s="109" t="n">
        <v>8.43</v>
      </c>
      <c r="P24" s="109" t="n">
        <v>8.59</v>
      </c>
      <c r="Q24" s="109" t="n">
        <v>8.26</v>
      </c>
      <c r="R24" s="109" t="n">
        <v>8.220000000000001</v>
      </c>
      <c r="S24" s="109" t="n">
        <v>8.890000000000001</v>
      </c>
      <c r="T24" s="109" t="n">
        <v>8.23</v>
      </c>
      <c r="U24" s="109" t="n">
        <v>8.640000000000001</v>
      </c>
      <c r="V24" s="109" t="n">
        <v>8.390000000000001</v>
      </c>
      <c r="W24" s="109" t="n">
        <v>8.77</v>
      </c>
      <c r="X24" s="109" t="n">
        <v>8.789999999999999</v>
      </c>
      <c r="Y24" s="109" t="n">
        <v>9.050000000000001</v>
      </c>
      <c r="Z24" s="109" t="n">
        <v>8.81</v>
      </c>
      <c r="AA24" s="109" t="n">
        <v>9.02</v>
      </c>
      <c r="AB24" s="109" t="n">
        <v>8.109999999999999</v>
      </c>
      <c r="AC24" s="109" t="n">
        <v>8.01</v>
      </c>
      <c r="AD24" s="109" t="n">
        <v>8.800000000000001</v>
      </c>
      <c r="AE24" s="109" t="n">
        <v>8.44</v>
      </c>
      <c r="AF24" s="109" t="n">
        <v>8.68</v>
      </c>
      <c r="AG24" s="109" t="n">
        <v>9.06</v>
      </c>
      <c r="AH24" s="109" t="n">
        <v>8.449999999999999</v>
      </c>
      <c r="AI24" s="109" t="n">
        <v>9.08</v>
      </c>
      <c r="AJ24" s="109" t="n">
        <v>8.25</v>
      </c>
      <c r="AK24" s="109" t="n">
        <v>8.49</v>
      </c>
      <c r="AL24" s="109" t="n">
        <v>9.57</v>
      </c>
      <c r="AM24" s="109" t="n">
        <v>8.5</v>
      </c>
      <c r="AN24" s="91" t="n"/>
    </row>
    <row r="25">
      <c r="B25" s="91" t="n"/>
      <c r="C25" s="108">
        <f>IFERROR(IF(LANG="EN",INDEX(I18N_EN,MATCH("kpi.fac.hygiene_audits",I18N_KEY,0)),INDEX(I18N_FR,MATCH("kpi.fac.hygiene_audits",I18N_KEY,0))),"kpi.fac.hygiene_audits")</f>
        <v/>
      </c>
      <c r="D25" s="109" t="n">
        <v>4</v>
      </c>
      <c r="E25" s="109" t="n">
        <v>4</v>
      </c>
      <c r="F25" s="109" t="n">
        <v>4</v>
      </c>
      <c r="G25" s="109" t="n">
        <v>4</v>
      </c>
      <c r="H25" s="109" t="n">
        <v>4</v>
      </c>
      <c r="I25" s="109" t="n">
        <v>4</v>
      </c>
      <c r="J25" s="109" t="n">
        <v>4</v>
      </c>
      <c r="K25" s="109" t="n">
        <v>4</v>
      </c>
      <c r="L25" s="109" t="n">
        <v>4</v>
      </c>
      <c r="M25" s="109" t="n">
        <v>4</v>
      </c>
      <c r="N25" s="109" t="n">
        <v>4</v>
      </c>
      <c r="O25" s="109" t="n">
        <v>4</v>
      </c>
      <c r="P25" s="109" t="n">
        <v>4</v>
      </c>
      <c r="Q25" s="109" t="n">
        <v>4</v>
      </c>
      <c r="R25" s="109" t="n">
        <v>4</v>
      </c>
      <c r="S25" s="109" t="n">
        <v>4</v>
      </c>
      <c r="T25" s="109" t="n">
        <v>4</v>
      </c>
      <c r="U25" s="109" t="n">
        <v>4</v>
      </c>
      <c r="V25" s="109" t="n">
        <v>4</v>
      </c>
      <c r="W25" s="109" t="n">
        <v>4</v>
      </c>
      <c r="X25" s="109" t="n">
        <v>4</v>
      </c>
      <c r="Y25" s="109" t="n">
        <v>4</v>
      </c>
      <c r="Z25" s="109" t="n">
        <v>4</v>
      </c>
      <c r="AA25" s="109" t="n">
        <v>4</v>
      </c>
      <c r="AB25" s="109" t="n">
        <v>4</v>
      </c>
      <c r="AC25" s="109" t="n">
        <v>4</v>
      </c>
      <c r="AD25" s="109" t="n">
        <v>4</v>
      </c>
      <c r="AE25" s="109" t="n">
        <v>4</v>
      </c>
      <c r="AF25" s="109" t="n">
        <v>4</v>
      </c>
      <c r="AG25" s="109" t="n">
        <v>4</v>
      </c>
      <c r="AH25" s="109" t="n">
        <v>4</v>
      </c>
      <c r="AI25" s="109" t="n">
        <v>4</v>
      </c>
      <c r="AJ25" s="109" t="n">
        <v>4</v>
      </c>
      <c r="AK25" s="109" t="n">
        <v>4</v>
      </c>
      <c r="AL25" s="109" t="n">
        <v>4</v>
      </c>
      <c r="AM25" s="109" t="n">
        <v>4</v>
      </c>
      <c r="AN25" s="91" t="n"/>
    </row>
    <row r="26">
      <c r="B26" s="91" t="n"/>
      <c r="C26" s="108">
        <f>IFERROR(IF(LANG="EN",INDEX(I18N_EN,MATCH("kpi.fac.clean_complaints",I18N_KEY,0)),INDEX(I18N_FR,MATCH("kpi.fac.clean_complaints",I18N_KEY,0))),"kpi.fac.clean_complaints")</f>
        <v/>
      </c>
      <c r="D26" s="109" t="n">
        <v>3</v>
      </c>
      <c r="E26" s="109" t="n">
        <v>3</v>
      </c>
      <c r="F26" s="109" t="n">
        <v>3</v>
      </c>
      <c r="G26" s="109" t="n">
        <v>3</v>
      </c>
      <c r="H26" s="109" t="n">
        <v>3</v>
      </c>
      <c r="I26" s="109" t="n">
        <v>3</v>
      </c>
      <c r="J26" s="109" t="n">
        <v>3</v>
      </c>
      <c r="K26" s="109" t="n">
        <v>3</v>
      </c>
      <c r="L26" s="109" t="n">
        <v>3</v>
      </c>
      <c r="M26" s="109" t="n">
        <v>3</v>
      </c>
      <c r="N26" s="109" t="n">
        <v>3</v>
      </c>
      <c r="O26" s="109" t="n">
        <v>3</v>
      </c>
      <c r="P26" s="109" t="n">
        <v>3</v>
      </c>
      <c r="Q26" s="109" t="n">
        <v>3</v>
      </c>
      <c r="R26" s="109" t="n">
        <v>3</v>
      </c>
      <c r="S26" s="109" t="n">
        <v>3</v>
      </c>
      <c r="T26" s="109" t="n">
        <v>3</v>
      </c>
      <c r="U26" s="109" t="n">
        <v>3</v>
      </c>
      <c r="V26" s="109" t="n">
        <v>3</v>
      </c>
      <c r="W26" s="109" t="n">
        <v>3</v>
      </c>
      <c r="X26" s="109" t="n">
        <v>3</v>
      </c>
      <c r="Y26" s="109" t="n">
        <v>3</v>
      </c>
      <c r="Z26" s="109" t="n">
        <v>3</v>
      </c>
      <c r="AA26" s="109" t="n">
        <v>3</v>
      </c>
      <c r="AB26" s="109" t="n">
        <v>3</v>
      </c>
      <c r="AC26" s="109" t="n">
        <v>3</v>
      </c>
      <c r="AD26" s="109" t="n">
        <v>3</v>
      </c>
      <c r="AE26" s="109" t="n">
        <v>3</v>
      </c>
      <c r="AF26" s="109" t="n">
        <v>3</v>
      </c>
      <c r="AG26" s="109" t="n">
        <v>3</v>
      </c>
      <c r="AH26" s="109" t="n">
        <v>3</v>
      </c>
      <c r="AI26" s="109" t="n">
        <v>3</v>
      </c>
      <c r="AJ26" s="109" t="n">
        <v>3</v>
      </c>
      <c r="AK26" s="109" t="n">
        <v>3</v>
      </c>
      <c r="AL26" s="109" t="n">
        <v>3</v>
      </c>
      <c r="AM26" s="109" t="n">
        <v>3</v>
      </c>
      <c r="AN26" s="91" t="n"/>
    </row>
    <row r="27">
      <c r="B27" s="91" t="n"/>
      <c r="C27" s="108">
        <f>IFERROR(IF(LANG="EN",INDEX(I18N_EN,MATCH("kpi.fac.sla",I18N_KEY,0)),INDEX(I18N_FR,MATCH("kpi.fac.sla",I18N_KEY,0))),"kpi.fac.sla")</f>
        <v/>
      </c>
      <c r="D27" s="110" t="n">
        <v>0.9235</v>
      </c>
      <c r="E27" s="110" t="n">
        <v>0.9407</v>
      </c>
      <c r="F27" s="110" t="n">
        <v>0.9257</v>
      </c>
      <c r="G27" s="110" t="n">
        <v>0.9294</v>
      </c>
      <c r="H27" s="110" t="n">
        <v>0.9467</v>
      </c>
      <c r="I27" s="110" t="n">
        <v>0.9597</v>
      </c>
      <c r="J27" s="110" t="n">
        <v>0.9323</v>
      </c>
      <c r="K27" s="110" t="n">
        <v>0.9441000000000001</v>
      </c>
      <c r="L27" s="110" t="n">
        <v>0.9609</v>
      </c>
      <c r="M27" s="110" t="n">
        <v>0.9503</v>
      </c>
      <c r="N27" s="110" t="n">
        <v>0.9497</v>
      </c>
      <c r="O27" s="110" t="n">
        <v>0.9341</v>
      </c>
      <c r="P27" s="110" t="n">
        <v>0.975</v>
      </c>
      <c r="Q27" s="110" t="n">
        <v>0.9135</v>
      </c>
      <c r="R27" s="110" t="n">
        <v>0.9605</v>
      </c>
      <c r="S27" s="110" t="n">
        <v>0.9669</v>
      </c>
      <c r="T27" s="110" t="n">
        <v>0.9125</v>
      </c>
      <c r="U27" s="110" t="n">
        <v>0.9737</v>
      </c>
      <c r="V27" s="110" t="n">
        <v>0.9615</v>
      </c>
      <c r="W27" s="110" t="n">
        <v>0.9523</v>
      </c>
      <c r="X27" s="110" t="n">
        <v>0.9088000000000001</v>
      </c>
      <c r="Y27" s="110" t="n">
        <v>0.9500999999999999</v>
      </c>
      <c r="Z27" s="110" t="n">
        <v>0.893</v>
      </c>
      <c r="AA27" s="110" t="n">
        <v>0.9446</v>
      </c>
      <c r="AB27" s="110" t="n">
        <v>1.007</v>
      </c>
      <c r="AC27" s="110" t="n">
        <v>0.9752</v>
      </c>
      <c r="AD27" s="110" t="n">
        <v>1.0109</v>
      </c>
      <c r="AE27" s="110" t="n">
        <v>0.9305</v>
      </c>
      <c r="AF27" s="110" t="n">
        <v>1.0256</v>
      </c>
      <c r="AG27" s="110" t="n">
        <v>0.9738</v>
      </c>
      <c r="AH27" s="110" t="n">
        <v>0.9142</v>
      </c>
      <c r="AI27" s="110" t="n">
        <v>0.9171</v>
      </c>
      <c r="AJ27" s="110" t="n">
        <v>0.9071</v>
      </c>
      <c r="AK27" s="110" t="n">
        <v>1.0395</v>
      </c>
      <c r="AL27" s="110" t="n">
        <v>1.0118</v>
      </c>
      <c r="AM27" s="110" t="n">
        <v>1.004</v>
      </c>
      <c r="AN27" s="91" t="n"/>
    </row>
    <row r="28">
      <c r="B28" s="91" t="n"/>
      <c r="C28" s="91" t="n"/>
      <c r="D28" s="91" t="n"/>
      <c r="E28" s="91" t="n"/>
      <c r="F28" s="91" t="n"/>
      <c r="G28" s="91" t="n"/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  <c r="Z28" s="91" t="n"/>
      <c r="AA28" s="91" t="n"/>
      <c r="AB28" s="91" t="n"/>
      <c r="AC28" s="91" t="n"/>
      <c r="AD28" s="91" t="n"/>
      <c r="AE28" s="91" t="n"/>
      <c r="AF28" s="91" t="n"/>
      <c r="AG28" s="91" t="n"/>
      <c r="AH28" s="91" t="n"/>
      <c r="AI28" s="91" t="n"/>
      <c r="AJ28" s="91" t="n"/>
      <c r="AK28" s="91" t="n"/>
      <c r="AL28" s="91" t="n"/>
      <c r="AM28" s="91" t="n"/>
      <c r="AN28" s="91" t="n"/>
    </row>
    <row r="29">
      <c r="B29" s="91" t="n"/>
      <c r="C29" s="99" t="inlineStr">
        <is>
          <t>💬 Commentaires (KPI × mois)</t>
        </is>
      </c>
      <c r="D29" s="91" t="n"/>
      <c r="E29" s="91" t="n"/>
      <c r="F29" s="91" t="n"/>
      <c r="G29" s="91" t="n"/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  <c r="Z29" s="91" t="n"/>
      <c r="AA29" s="91" t="n"/>
      <c r="AB29" s="91" t="n"/>
      <c r="AC29" s="91" t="n"/>
      <c r="AD29" s="91" t="n"/>
      <c r="AE29" s="91" t="n"/>
      <c r="AF29" s="91" t="n"/>
      <c r="AG29" s="91" t="n"/>
      <c r="AH29" s="91" t="n"/>
      <c r="AI29" s="91" t="n"/>
      <c r="AJ29" s="91" t="n"/>
      <c r="AK29" s="91" t="n"/>
      <c r="AL29" s="91" t="n"/>
      <c r="AM29" s="91" t="n"/>
      <c r="AN29" s="91" t="n"/>
    </row>
    <row r="30">
      <c r="B30" s="91" t="n"/>
      <c r="C30" s="111">
        <f>IFERROR(IF(LANG="EN",INDEX(I18N_EN,MATCH("kpi.fac.prev_corr",I18N_KEY,0)),INDEX(I18N_FR,MATCH("kpi.fac.prev_corr",I18N_KEY,0))),"kpi.fac.prev_corr")</f>
        <v/>
      </c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91" t="n"/>
    </row>
    <row r="31">
      <c r="B31" s="91" t="n"/>
      <c r="C31" s="111">
        <f>IFERROR(IF(LANG="EN",INDEX(I18N_EN,MATCH("kpi.fac.wo_prev",I18N_KEY,0)),INDEX(I18N_FR,MATCH("kpi.fac.wo_prev",I18N_KEY,0))),"kpi.fac.wo_prev")</f>
        <v/>
      </c>
      <c r="D31" s="112" t="n"/>
      <c r="E31" s="112" t="n"/>
      <c r="F31" s="112" t="n"/>
      <c r="G31" s="112" t="n"/>
      <c r="H31" s="112" t="n"/>
      <c r="I31" s="112" t="n"/>
      <c r="J31" s="112" t="n"/>
      <c r="K31" s="112" t="n"/>
      <c r="L31" s="112" t="n"/>
      <c r="M31" s="112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91" t="n"/>
    </row>
    <row r="32">
      <c r="B32" s="91" t="n"/>
      <c r="C32" s="111">
        <f>IFERROR(IF(LANG="EN",INDEX(I18N_EN,MATCH("kpi.fac.wo_corr",I18N_KEY,0)),INDEX(I18N_FR,MATCH("kpi.fac.wo_corr",I18N_KEY,0))),"kpi.fac.wo_corr")</f>
        <v/>
      </c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91" t="n"/>
    </row>
    <row r="33">
      <c r="B33" s="91" t="n"/>
      <c r="C33" s="111">
        <f>IFERROR(IF(LANG="EN",INDEX(I18N_EN,MATCH("kpi.fac.ot_backlog",I18N_KEY,0)),INDEX(I18N_FR,MATCH("kpi.fac.ot_backlog",I18N_KEY,0))),"kpi.fac.ot_backlog")</f>
        <v/>
      </c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91" t="n"/>
    </row>
    <row r="34">
      <c r="B34" s="91" t="n"/>
      <c r="C34" s="111">
        <f>IFERROR(IF(LANG="EN",INDEX(I18N_EN,MATCH("kpi.fac.mttr",I18N_KEY,0)),INDEX(I18N_FR,MATCH("kpi.fac.mttr",I18N_KEY,0))),"kpi.fac.mttr")</f>
        <v/>
      </c>
      <c r="D34" s="112" t="n"/>
      <c r="E34" s="112" t="n"/>
      <c r="F34" s="112" t="n"/>
      <c r="G34" s="112" t="n"/>
      <c r="H34" s="112" t="n"/>
      <c r="I34" s="112" t="n"/>
      <c r="J34" s="112" t="n"/>
      <c r="K34" s="112" t="n"/>
      <c r="L34" s="112" t="n"/>
      <c r="M34" s="112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91" t="n"/>
    </row>
    <row r="35">
      <c r="B35" s="91" t="n"/>
      <c r="C35" s="111">
        <f>IFERROR(IF(LANG="EN",INDEX(I18N_EN,MATCH("kpi.fac.ot_opened",I18N_KEY,0)),INDEX(I18N_FR,MATCH("kpi.fac.ot_opened",I18N_KEY,0))),"kpi.fac.ot_opened")</f>
        <v/>
      </c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91" t="n"/>
    </row>
    <row r="36">
      <c r="B36" s="91" t="n"/>
      <c r="C36" s="111">
        <f>IFERROR(IF(LANG="EN",INDEX(I18N_EN,MATCH("kpi.fac.ot_closed",I18N_KEY,0)),INDEX(I18N_FR,MATCH("kpi.fac.ot_closed",I18N_KEY,0))),"kpi.fac.ot_closed")</f>
        <v/>
      </c>
      <c r="D36" s="112" t="n"/>
      <c r="E36" s="112" t="n"/>
      <c r="F36" s="112" t="n"/>
      <c r="G36" s="112" t="n"/>
      <c r="H36" s="112" t="n"/>
      <c r="I36" s="112" t="n"/>
      <c r="J36" s="112" t="n"/>
      <c r="K36" s="112" t="n"/>
      <c r="L36" s="112" t="n"/>
      <c r="M36" s="112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91" t="n"/>
    </row>
    <row r="37">
      <c r="B37" s="91" t="n"/>
      <c r="C37" s="111">
        <f>IFERROR(IF(LANG="EN",INDEX(I18N_EN,MATCH("kpi.fac.energy_int",I18N_KEY,0)),INDEX(I18N_FR,MATCH("kpi.fac.energy_int",I18N_KEY,0))),"kpi.fac.energy_int")</f>
        <v/>
      </c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91" t="n"/>
    </row>
    <row r="38">
      <c r="B38" s="91" t="n"/>
      <c r="C38" s="111">
        <f>IFERROR(IF(LANG="EN",INDEX(I18N_EN,MATCH("kpi.fac.util_cost",I18N_KEY,0)),INDEX(I18N_FR,MATCH("kpi.fac.util_cost",I18N_KEY,0))),"kpi.fac.util_cost")</f>
        <v/>
      </c>
      <c r="D38" s="112" t="n"/>
      <c r="E38" s="112" t="n"/>
      <c r="F38" s="112" t="n"/>
      <c r="G38" s="112" t="n"/>
      <c r="H38" s="112" t="n"/>
      <c r="I38" s="112" t="n"/>
      <c r="J38" s="112" t="n"/>
      <c r="K38" s="112" t="n"/>
      <c r="L38" s="112" t="n"/>
      <c r="M38" s="112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91" t="n"/>
    </row>
    <row r="39">
      <c r="B39" s="91" t="n"/>
      <c r="C39" s="111">
        <f>IFERROR(IF(LANG="EN",INDEX(I18N_EN,MATCH("kpi.fac.consumption",I18N_KEY,0)),INDEX(I18N_FR,MATCH("kpi.fac.consumption",I18N_KEY,0))),"kpi.fac.consumption")</f>
        <v/>
      </c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91" t="n"/>
    </row>
    <row r="40">
      <c r="B40" s="91" t="n"/>
      <c r="C40" s="111">
        <f>IFERROR(IF(LANG="EN",INDEX(I18N_EN,MATCH("kpi.fac.capex",I18N_KEY,0)),INDEX(I18N_FR,MATCH("kpi.fac.capex",I18N_KEY,0))),"kpi.fac.capex")</f>
        <v/>
      </c>
      <c r="D40" s="112" t="n"/>
      <c r="E40" s="112" t="n"/>
      <c r="F40" s="112" t="n"/>
      <c r="G40" s="112" t="n"/>
      <c r="H40" s="112" t="n"/>
      <c r="I40" s="112" t="n"/>
      <c r="J40" s="112" t="n"/>
      <c r="K40" s="112" t="n"/>
      <c r="L40" s="112" t="n"/>
      <c r="M40" s="112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91" t="n"/>
    </row>
    <row r="41">
      <c r="B41" s="91" t="n"/>
      <c r="C41" s="111">
        <f>IFERROR(IF(LANG="EN",INDEX(I18N_EN,MATCH("kpi.fac.capex_var",I18N_KEY,0)),INDEX(I18N_FR,MATCH("kpi.fac.capex_var",I18N_KEY,0))),"kpi.fac.capex_var")</f>
        <v/>
      </c>
      <c r="D41" s="112" t="n"/>
      <c r="E41" s="112" t="n"/>
      <c r="F41" s="112" t="n"/>
      <c r="G41" s="112" t="n"/>
      <c r="H41" s="112" t="n"/>
      <c r="I41" s="112" t="n"/>
      <c r="J41" s="112" t="n"/>
      <c r="K41" s="112" t="n"/>
      <c r="L41" s="112" t="n"/>
      <c r="M41" s="112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91" t="n"/>
    </row>
    <row r="42">
      <c r="B42" s="91" t="n"/>
      <c r="C42" s="111">
        <f>IFERROR(IF(LANG="EN",INDEX(I18N_EN,MATCH("kpi.fac.capex_proj",I18N_KEY,0)),INDEX(I18N_FR,MATCH("kpi.fac.capex_proj",I18N_KEY,0))),"kpi.fac.capex_proj")</f>
        <v/>
      </c>
      <c r="D42" s="112" t="n"/>
      <c r="E42" s="112" t="n"/>
      <c r="F42" s="112" t="n"/>
      <c r="G42" s="112" t="n"/>
      <c r="H42" s="112" t="n"/>
      <c r="I42" s="112" t="n"/>
      <c r="J42" s="112" t="n"/>
      <c r="K42" s="112" t="n"/>
      <c r="L42" s="112" t="n"/>
      <c r="M42" s="112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91" t="n"/>
    </row>
    <row r="43">
      <c r="B43" s="91" t="n"/>
      <c r="C43" s="111">
        <f>IFERROR(IF(LANG="EN",INDEX(I18N_EN,MATCH("kpi.fac.inspections",I18N_KEY,0)),INDEX(I18N_FR,MATCH("kpi.fac.inspections",I18N_KEY,0))),"kpi.fac.inspections")</f>
        <v/>
      </c>
      <c r="D43" s="112" t="n"/>
      <c r="E43" s="112" t="n"/>
      <c r="F43" s="112" t="n"/>
      <c r="G43" s="112" t="n"/>
      <c r="H43" s="112" t="n"/>
      <c r="I43" s="112" t="n"/>
      <c r="J43" s="112" t="n"/>
      <c r="K43" s="112" t="n"/>
      <c r="L43" s="112" t="n"/>
      <c r="M43" s="112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91" t="n"/>
    </row>
    <row r="44">
      <c r="B44" s="91" t="n"/>
      <c r="C44" s="111">
        <f>IFERROR(IF(LANG="EN",INDEX(I18N_EN,MATCH("kpi.fac.insp_conform",I18N_KEY,0)),INDEX(I18N_FR,MATCH("kpi.fac.insp_conform",I18N_KEY,0))),"kpi.fac.insp_conform")</f>
        <v/>
      </c>
      <c r="D44" s="112" t="n"/>
      <c r="E44" s="112" t="n"/>
      <c r="F44" s="112" t="n"/>
      <c r="G44" s="112" t="n"/>
      <c r="H44" s="112" t="n"/>
      <c r="I44" s="112" t="n"/>
      <c r="J44" s="112" t="n"/>
      <c r="K44" s="112" t="n"/>
      <c r="L44" s="112" t="n"/>
      <c r="M44" s="112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91" t="n"/>
    </row>
    <row r="45">
      <c r="B45" s="91" t="n"/>
      <c r="C45" s="111">
        <f>IFERROR(IF(LANG="EN",INDEX(I18N_EN,MATCH("kpi.fac.nonconform",I18N_KEY,0)),INDEX(I18N_FR,MATCH("kpi.fac.nonconform",I18N_KEY,0))),"kpi.fac.nonconform")</f>
        <v/>
      </c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91" t="n"/>
    </row>
    <row r="46">
      <c r="B46" s="91" t="n"/>
      <c r="C46" s="111">
        <f>IFERROR(IF(LANG="EN",INDEX(I18N_EN,MATCH("kpi.fac.cleanliness",I18N_KEY,0)),INDEX(I18N_FR,MATCH("kpi.fac.cleanliness",I18N_KEY,0))),"kpi.fac.cleanliness")</f>
        <v/>
      </c>
      <c r="D46" s="112" t="n"/>
      <c r="E46" s="112" t="n"/>
      <c r="F46" s="112" t="n"/>
      <c r="G46" s="112" t="n"/>
      <c r="H46" s="112" t="n"/>
      <c r="I46" s="112" t="n"/>
      <c r="J46" s="112" t="n"/>
      <c r="K46" s="112" t="n"/>
      <c r="L46" s="112" t="n"/>
      <c r="M46" s="112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91" t="n"/>
    </row>
    <row r="47">
      <c r="B47" s="91" t="n"/>
      <c r="C47" s="111">
        <f>IFERROR(IF(LANG="EN",INDEX(I18N_EN,MATCH("kpi.fac.hygiene_audits",I18N_KEY,0)),INDEX(I18N_FR,MATCH("kpi.fac.hygiene_audits",I18N_KEY,0))),"kpi.fac.hygiene_audits")</f>
        <v/>
      </c>
      <c r="D47" s="112" t="n"/>
      <c r="E47" s="112" t="n"/>
      <c r="F47" s="112" t="n"/>
      <c r="G47" s="112" t="n"/>
      <c r="H47" s="112" t="n"/>
      <c r="I47" s="112" t="n"/>
      <c r="J47" s="112" t="n"/>
      <c r="K47" s="112" t="n"/>
      <c r="L47" s="112" t="n"/>
      <c r="M47" s="112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91" t="n"/>
    </row>
    <row r="48">
      <c r="B48" s="91" t="n"/>
      <c r="C48" s="111">
        <f>IFERROR(IF(LANG="EN",INDEX(I18N_EN,MATCH("kpi.fac.clean_complaints",I18N_KEY,0)),INDEX(I18N_FR,MATCH("kpi.fac.clean_complaints",I18N_KEY,0))),"kpi.fac.clean_complaints")</f>
        <v/>
      </c>
      <c r="D48" s="112" t="n"/>
      <c r="E48" s="112" t="n"/>
      <c r="F48" s="112" t="n"/>
      <c r="G48" s="112" t="n"/>
      <c r="H48" s="112" t="n"/>
      <c r="I48" s="112" t="n"/>
      <c r="J48" s="112" t="n"/>
      <c r="K48" s="112" t="n"/>
      <c r="L48" s="112" t="n"/>
      <c r="M48" s="112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91" t="n"/>
    </row>
    <row r="49">
      <c r="B49" s="91" t="n"/>
      <c r="C49" s="111">
        <f>IFERROR(IF(LANG="EN",INDEX(I18N_EN,MATCH("kpi.fac.sla",I18N_KEY,0)),INDEX(I18N_FR,MATCH("kpi.fac.sla",I18N_KEY,0))),"kpi.fac.sla")</f>
        <v/>
      </c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91" t="n"/>
    </row>
    <row r="50">
      <c r="B50" s="91" t="n"/>
      <c r="C50" s="91" t="n"/>
      <c r="D50" s="91" t="n"/>
      <c r="E50" s="91" t="n"/>
      <c r="F50" s="91" t="n"/>
      <c r="G50" s="91" t="n"/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  <c r="Z50" s="91" t="n"/>
      <c r="AA50" s="91" t="n"/>
      <c r="AB50" s="91" t="n"/>
      <c r="AC50" s="91" t="n"/>
      <c r="AD50" s="91" t="n"/>
      <c r="AE50" s="91" t="n"/>
      <c r="AF50" s="91" t="n"/>
      <c r="AG50" s="91" t="n"/>
      <c r="AH50" s="91" t="n"/>
      <c r="AI50" s="91" t="n"/>
      <c r="AJ50" s="91" t="n"/>
      <c r="AK50" s="91" t="n"/>
      <c r="AL50" s="91" t="n"/>
      <c r="AM50" s="91" t="n"/>
      <c r="AN50" s="91" t="n"/>
    </row>
    <row r="51">
      <c r="B51" s="91" t="n"/>
      <c r="C51" s="91" t="n"/>
      <c r="D51" s="91" t="n"/>
      <c r="E51" s="91" t="n"/>
      <c r="F51" s="91" t="n"/>
      <c r="G51" s="91" t="n"/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  <c r="Z51" s="91" t="n"/>
      <c r="AA51" s="91" t="n"/>
      <c r="AB51" s="91" t="n"/>
      <c r="AC51" s="91" t="n"/>
      <c r="AD51" s="91" t="n"/>
      <c r="AE51" s="91" t="n"/>
      <c r="AF51" s="91" t="n"/>
      <c r="AG51" s="91" t="n"/>
      <c r="AH51" s="91" t="n"/>
      <c r="AI51" s="91" t="n"/>
      <c r="AJ51" s="91" t="n"/>
      <c r="AK51" s="91" t="n"/>
      <c r="AL51" s="91" t="n"/>
      <c r="AM51" s="91" t="n"/>
      <c r="AN51" s="91" t="n"/>
    </row>
    <row r="52">
      <c r="B52" s="91" t="n"/>
      <c r="C52" s="91" t="n"/>
      <c r="D52" s="91" t="n"/>
      <c r="E52" s="91" t="n"/>
      <c r="F52" s="91" t="n"/>
      <c r="G52" s="91" t="n"/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  <c r="X52" s="91" t="n"/>
      <c r="Y52" s="91" t="n"/>
      <c r="Z52" s="91" t="n"/>
      <c r="AA52" s="91" t="n"/>
      <c r="AB52" s="91" t="n"/>
      <c r="AC52" s="91" t="n"/>
      <c r="AD52" s="91" t="n"/>
      <c r="AE52" s="91" t="n"/>
      <c r="AF52" s="91" t="n"/>
      <c r="AG52" s="91" t="n"/>
      <c r="AH52" s="91" t="n"/>
      <c r="AI52" s="91" t="n"/>
      <c r="AJ52" s="91" t="n"/>
      <c r="AK52" s="91" t="n"/>
      <c r="AL52" s="91" t="n"/>
      <c r="AM52" s="91" t="n"/>
      <c r="AN52" s="91" t="n"/>
    </row>
    <row r="53">
      <c r="B53" s="91" t="n"/>
      <c r="C53" s="91" t="n"/>
      <c r="D53" s="91" t="n"/>
      <c r="E53" s="91" t="n"/>
      <c r="F53" s="91" t="n"/>
      <c r="G53" s="91" t="n"/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  <c r="Z53" s="91" t="n"/>
      <c r="AA53" s="91" t="n"/>
      <c r="AB53" s="91" t="n"/>
      <c r="AC53" s="91" t="n"/>
      <c r="AD53" s="91" t="n"/>
      <c r="AE53" s="91" t="n"/>
      <c r="AF53" s="91" t="n"/>
      <c r="AG53" s="91" t="n"/>
      <c r="AH53" s="91" t="n"/>
      <c r="AI53" s="91" t="n"/>
      <c r="AJ53" s="91" t="n"/>
      <c r="AK53" s="91" t="n"/>
      <c r="AL53" s="91" t="n"/>
      <c r="AM53" s="91" t="n"/>
      <c r="AN53" s="9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 password="DB5F"/>
  <conditionalFormatting sqref="D6:AM6">
    <cfRule type="expression" priority="1" dxfId="6">
      <formula>D$6=PERIODE</formula>
    </cfRule>
  </conditionalFormatting>
  <conditionalFormatting sqref="D8:AM27">
    <cfRule type="expression" priority="2" dxfId="7">
      <formula>AND(D$6=PERIODE,ISBLANK(D8))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4A3B8"/>
    <outlinePr summaryBelow="1" summaryRight="1"/>
    <pageSetUpPr/>
  </sheetPr>
  <dimension ref="C1:N14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3" max="3"/>
    <col width="26" customWidth="1" min="4" max="4"/>
    <col width="26" customWidth="1" min="5" max="5"/>
    <col width="22" customWidth="1" min="10" max="10"/>
  </cols>
  <sheetData>
    <row r="1">
      <c r="C1" s="113">
        <f>"↩ "&amp;IFERROR(IF(LANG="EN",INDEX(I18N_EN,MATCH("nav.title",I18N_KEY,0)),INDEX(I18N_FR,MATCH("nav.title",I18N_KEY,0))),"nav.title")</f>
        <v/>
      </c>
    </row>
    <row r="2">
      <c r="C2" s="114" t="inlineStr">
        <is>
          <t>M4 · Dictionnaire KPI &amp; Méthodologie</t>
        </is>
      </c>
    </row>
    <row r="3"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</row>
    <row r="5">
      <c r="C5" s="115" t="inlineStr">
        <is>
          <t>Clé</t>
        </is>
      </c>
      <c r="D5" s="115" t="inlineStr">
        <is>
          <t>FR</t>
        </is>
      </c>
      <c r="E5" s="115" t="inlineStr">
        <is>
          <t>EN</t>
        </is>
      </c>
      <c r="F5" s="115" t="inlineStr">
        <is>
          <t>Unité</t>
        </is>
      </c>
      <c r="G5" s="115" t="inlineStr">
        <is>
          <t>Agg</t>
        </is>
      </c>
      <c r="H5" s="115" t="inlineStr">
        <is>
          <t>Dépt</t>
        </is>
      </c>
      <c r="I5" s="115" t="inlineStr">
        <is>
          <t>Budget</t>
        </is>
      </c>
      <c r="J5" s="115" t="inlineStr">
        <is>
          <t>Sous-module H2</t>
        </is>
      </c>
    </row>
    <row r="6">
      <c r="C6" s="116" t="inlineStr">
        <is>
          <t>kpi.rh.headcount</t>
        </is>
      </c>
      <c r="D6" s="117" t="inlineStr">
        <is>
          <t>Effectif (ETP)</t>
        </is>
      </c>
      <c r="E6" s="117" t="inlineStr">
        <is>
          <t>Headcount (FTE)</t>
        </is>
      </c>
      <c r="F6" s="117" t="inlineStr">
        <is>
          <t>ETP</t>
        </is>
      </c>
      <c r="G6" s="118" t="inlineStr">
        <is>
          <t>LAST</t>
        </is>
      </c>
      <c r="H6" s="117" t="inlineStr">
        <is>
          <t>rh</t>
        </is>
      </c>
      <c r="I6" s="117" t="inlineStr"/>
      <c r="J6" s="119" t="inlineStr">
        <is>
          <t>Effectifs</t>
        </is>
      </c>
    </row>
    <row r="7">
      <c r="C7" s="116" t="inlineStr">
        <is>
          <t>kpi.rh.fte_gap</t>
        </is>
      </c>
      <c r="D7" s="117" t="inlineStr">
        <is>
          <t>Écart ETP vs budget</t>
        </is>
      </c>
      <c r="E7" s="117" t="inlineStr">
        <is>
          <t>FTE gap vs budget</t>
        </is>
      </c>
      <c r="F7" s="117" t="inlineStr">
        <is>
          <t>ETP</t>
        </is>
      </c>
      <c r="G7" s="118" t="inlineStr">
        <is>
          <t>LAST</t>
        </is>
      </c>
      <c r="H7" s="117" t="inlineStr">
        <is>
          <t>rh</t>
        </is>
      </c>
      <c r="I7" s="117" t="inlineStr">
        <is>
          <t>✓</t>
        </is>
      </c>
      <c r="J7" s="119" t="inlineStr">
        <is>
          <t>Effectifs</t>
        </is>
      </c>
    </row>
    <row r="8">
      <c r="C8" s="116" t="inlineStr">
        <is>
          <t>kpi.rh.open_pos</t>
        </is>
      </c>
      <c r="D8" s="117" t="inlineStr">
        <is>
          <t>Postes ouverts</t>
        </is>
      </c>
      <c r="E8" s="117" t="inlineStr">
        <is>
          <t>Open positions</t>
        </is>
      </c>
      <c r="F8" s="117" t="inlineStr">
        <is>
          <t>nb</t>
        </is>
      </c>
      <c r="G8" s="118" t="inlineStr">
        <is>
          <t>LAST</t>
        </is>
      </c>
      <c r="H8" s="117" t="inlineStr">
        <is>
          <t>rh</t>
        </is>
      </c>
      <c r="I8" s="117" t="inlineStr"/>
      <c r="J8" s="119" t="inlineStr">
        <is>
          <t>Recrutement</t>
        </is>
      </c>
    </row>
    <row r="9">
      <c r="C9" s="116" t="inlineStr">
        <is>
          <t>kpi.rh.ttf</t>
        </is>
      </c>
      <c r="D9" s="117" t="inlineStr">
        <is>
          <t>Time-to-fill</t>
        </is>
      </c>
      <c r="E9" s="117" t="inlineStr">
        <is>
          <t>Time-to-fill</t>
        </is>
      </c>
      <c r="F9" s="117" t="inlineStr">
        <is>
          <t>j</t>
        </is>
      </c>
      <c r="G9" s="118" t="inlineStr">
        <is>
          <t>AVG</t>
        </is>
      </c>
      <c r="H9" s="117" t="inlineStr">
        <is>
          <t>rh</t>
        </is>
      </c>
      <c r="I9" s="117" t="inlineStr"/>
      <c r="J9" s="119" t="inlineStr">
        <is>
          <t>Recrutement</t>
        </is>
      </c>
    </row>
    <row r="10">
      <c r="C10" s="116" t="inlineStr">
        <is>
          <t>kpi.rh.payroll</t>
        </is>
      </c>
      <c r="D10" s="117" t="inlineStr">
        <is>
          <t>Masse salariale</t>
        </is>
      </c>
      <c r="E10" s="117" t="inlineStr">
        <is>
          <t>Payroll</t>
        </is>
      </c>
      <c r="F10" s="117" t="inlineStr">
        <is>
          <t>FCFA</t>
        </is>
      </c>
      <c r="G10" s="118" t="inlineStr">
        <is>
          <t>SUM</t>
        </is>
      </c>
      <c r="H10" s="117" t="inlineStr">
        <is>
          <t>rh</t>
        </is>
      </c>
      <c r="I10" s="117" t="inlineStr">
        <is>
          <t>✓</t>
        </is>
      </c>
      <c r="J10" s="119" t="inlineStr">
        <is>
          <t>Masse salariale</t>
        </is>
      </c>
    </row>
    <row r="11">
      <c r="C11" s="116" t="inlineStr">
        <is>
          <t>kpi.rh.payroll_var</t>
        </is>
      </c>
      <c r="D11" s="117" t="inlineStr">
        <is>
          <t>Masse sal. vs budget</t>
        </is>
      </c>
      <c r="E11" s="117" t="inlineStr">
        <is>
          <t>Payroll vs budget</t>
        </is>
      </c>
      <c r="F11" s="117" t="inlineStr">
        <is>
          <t>%</t>
        </is>
      </c>
      <c r="G11" s="118" t="inlineStr">
        <is>
          <t>RATIO</t>
        </is>
      </c>
      <c r="H11" s="117" t="inlineStr">
        <is>
          <t>rh</t>
        </is>
      </c>
      <c r="I11" s="117" t="inlineStr"/>
      <c r="J11" s="119" t="inlineStr">
        <is>
          <t>Masse salariale</t>
        </is>
      </c>
    </row>
    <row r="12">
      <c r="C12" s="116" t="inlineStr">
        <is>
          <t>kpi.rh.turnover</t>
        </is>
      </c>
      <c r="D12" s="117" t="inlineStr">
        <is>
          <t>Turnover</t>
        </is>
      </c>
      <c r="E12" s="117" t="inlineStr">
        <is>
          <t>Turnover</t>
        </is>
      </c>
      <c r="F12" s="117" t="inlineStr">
        <is>
          <t>%</t>
        </is>
      </c>
      <c r="G12" s="118" t="inlineStr">
        <is>
          <t>AVG</t>
        </is>
      </c>
      <c r="H12" s="117" t="inlineStr">
        <is>
          <t>rh</t>
        </is>
      </c>
      <c r="I12" s="117" t="inlineStr"/>
      <c r="J12" s="119" t="inlineStr">
        <is>
          <t>Climat social</t>
        </is>
      </c>
    </row>
    <row r="13">
      <c r="C13" s="116" t="inlineStr">
        <is>
          <t>kpi.rh.absence</t>
        </is>
      </c>
      <c r="D13" s="117" t="inlineStr">
        <is>
          <t>Absentéisme</t>
        </is>
      </c>
      <c r="E13" s="117" t="inlineStr">
        <is>
          <t>Absenteeism</t>
        </is>
      </c>
      <c r="F13" s="117" t="inlineStr">
        <is>
          <t>%</t>
        </is>
      </c>
      <c r="G13" s="118" t="inlineStr">
        <is>
          <t>AVG</t>
        </is>
      </c>
      <c r="H13" s="117" t="inlineStr">
        <is>
          <t>rh</t>
        </is>
      </c>
      <c r="I13" s="117" t="inlineStr"/>
      <c r="J13" s="119" t="inlineStr">
        <is>
          <t>Climat social</t>
        </is>
      </c>
    </row>
    <row r="14">
      <c r="C14" s="116" t="inlineStr">
        <is>
          <t>kpi.rh.train_hours</t>
        </is>
      </c>
      <c r="D14" s="117" t="inlineStr">
        <is>
          <t>Heures form./agent</t>
        </is>
      </c>
      <c r="E14" s="117" t="inlineStr">
        <is>
          <t>Training hrs/FTE</t>
        </is>
      </c>
      <c r="F14" s="117" t="inlineStr">
        <is>
          <t>h</t>
        </is>
      </c>
      <c r="G14" s="118" t="inlineStr">
        <is>
          <t>AVG</t>
        </is>
      </c>
      <c r="H14" s="117" t="inlineStr">
        <is>
          <t>rh</t>
        </is>
      </c>
      <c r="I14" s="117" t="inlineStr"/>
      <c r="J14" s="119" t="inlineStr">
        <is>
          <t>Formation</t>
        </is>
      </c>
    </row>
    <row r="15">
      <c r="C15" s="116" t="inlineStr">
        <is>
          <t>kpi.rh.train_cover</t>
        </is>
      </c>
      <c r="D15" s="117" t="inlineStr">
        <is>
          <t>Couverture formation</t>
        </is>
      </c>
      <c r="E15" s="117" t="inlineStr">
        <is>
          <t>Training coverage</t>
        </is>
      </c>
      <c r="F15" s="117" t="inlineStr">
        <is>
          <t>%</t>
        </is>
      </c>
      <c r="G15" s="118" t="inlineStr">
        <is>
          <t>AVG</t>
        </is>
      </c>
      <c r="H15" s="117" t="inlineStr">
        <is>
          <t>rh</t>
        </is>
      </c>
      <c r="I15" s="117" t="inlineStr"/>
      <c r="J15" s="119" t="inlineStr">
        <is>
          <t>Formation</t>
        </is>
      </c>
    </row>
    <row r="16">
      <c r="C16" s="116" t="inlineStr">
        <is>
          <t>kpi.lease.occ_gla</t>
        </is>
      </c>
      <c r="D16" s="117" t="inlineStr">
        <is>
          <t>Occupation (GLA)</t>
        </is>
      </c>
      <c r="E16" s="117" t="inlineStr">
        <is>
          <t>Occupancy (GLA)</t>
        </is>
      </c>
      <c r="F16" s="117" t="inlineStr">
        <is>
          <t>%</t>
        </is>
      </c>
      <c r="G16" s="118" t="inlineStr">
        <is>
          <t>AVG</t>
        </is>
      </c>
      <c r="H16" s="117" t="inlineStr">
        <is>
          <t>lease</t>
        </is>
      </c>
      <c r="I16" s="117" t="inlineStr">
        <is>
          <t>✓</t>
        </is>
      </c>
      <c r="J16" s="119" t="inlineStr">
        <is>
          <t>Occupation</t>
        </is>
      </c>
    </row>
    <row r="17">
      <c r="C17" s="116" t="inlineStr">
        <is>
          <t>kpi.lease.occ_unit</t>
        </is>
      </c>
      <c r="D17" s="117" t="inlineStr">
        <is>
          <t>Occupation (unités)</t>
        </is>
      </c>
      <c r="E17" s="117" t="inlineStr">
        <is>
          <t>Occupancy (units)</t>
        </is>
      </c>
      <c r="F17" s="117" t="inlineStr">
        <is>
          <t>%</t>
        </is>
      </c>
      <c r="G17" s="118" t="inlineStr">
        <is>
          <t>AVG</t>
        </is>
      </c>
      <c r="H17" s="117" t="inlineStr">
        <is>
          <t>lease</t>
        </is>
      </c>
      <c r="I17" s="117" t="inlineStr"/>
      <c r="J17" s="119" t="inlineStr">
        <is>
          <t>Occupation</t>
        </is>
      </c>
    </row>
    <row r="18">
      <c r="C18" s="116" t="inlineStr">
        <is>
          <t>kpi.lease.gla_vacant</t>
        </is>
      </c>
      <c r="D18" s="117" t="inlineStr">
        <is>
          <t>GLA vacant</t>
        </is>
      </c>
      <c r="E18" s="117" t="inlineStr">
        <is>
          <t>Vacant GLA</t>
        </is>
      </c>
      <c r="F18" s="117" t="inlineStr">
        <is>
          <t>m²</t>
        </is>
      </c>
      <c r="G18" s="118" t="inlineStr">
        <is>
          <t>LAST</t>
        </is>
      </c>
      <c r="H18" s="117" t="inlineStr">
        <is>
          <t>lease</t>
        </is>
      </c>
      <c r="I18" s="117" t="inlineStr"/>
      <c r="J18" s="119" t="inlineStr">
        <is>
          <t>Vacance &amp; rétention</t>
        </is>
      </c>
    </row>
    <row r="19">
      <c r="C19" s="116" t="inlineStr">
        <is>
          <t>kpi.lease.ocr</t>
        </is>
      </c>
      <c r="D19" s="117" t="inlineStr">
        <is>
          <t>Taux d'effort (OCR)</t>
        </is>
      </c>
      <c r="E19" s="117" t="inlineStr">
        <is>
          <t>Occupancy Cost Ratio</t>
        </is>
      </c>
      <c r="F19" s="117" t="inlineStr">
        <is>
          <t>%</t>
        </is>
      </c>
      <c r="G19" s="118" t="inlineStr">
        <is>
          <t>RATIO</t>
        </is>
      </c>
      <c r="H19" s="117" t="inlineStr">
        <is>
          <t>lease</t>
        </is>
      </c>
      <c r="I19" s="117" t="inlineStr">
        <is>
          <t>✓</t>
        </is>
      </c>
      <c r="J19" s="119" t="inlineStr">
        <is>
          <t>Effort locataire</t>
        </is>
      </c>
    </row>
    <row r="20">
      <c r="C20" s="116" t="inlineStr">
        <is>
          <t>kpi.lease.passing</t>
        </is>
      </c>
      <c r="D20" s="117" t="inlineStr">
        <is>
          <t>Loyer en place</t>
        </is>
      </c>
      <c r="E20" s="117" t="inlineStr">
        <is>
          <t>Passing rent</t>
        </is>
      </c>
      <c r="F20" s="117" t="inlineStr">
        <is>
          <t>FCFA</t>
        </is>
      </c>
      <c r="G20" s="118" t="inlineStr">
        <is>
          <t>LAST</t>
        </is>
      </c>
      <c r="H20" s="117" t="inlineStr">
        <is>
          <t>lease</t>
        </is>
      </c>
      <c r="I20" s="117" t="inlineStr">
        <is>
          <t>✓</t>
        </is>
      </c>
      <c r="J20" s="119" t="inlineStr">
        <is>
          <t>Loyers &amp; réversion</t>
        </is>
      </c>
    </row>
    <row r="21">
      <c r="C21" s="116" t="inlineStr">
        <is>
          <t>kpi.lease.erv</t>
        </is>
      </c>
      <c r="D21" s="117" t="inlineStr">
        <is>
          <t>Valeur locative (ERV)</t>
        </is>
      </c>
      <c r="E21" s="117" t="inlineStr">
        <is>
          <t>Est. Rental Value</t>
        </is>
      </c>
      <c r="F21" s="117" t="inlineStr">
        <is>
          <t>FCFA</t>
        </is>
      </c>
      <c r="G21" s="118" t="inlineStr">
        <is>
          <t>LAST</t>
        </is>
      </c>
      <c r="H21" s="117" t="inlineStr">
        <is>
          <t>lease</t>
        </is>
      </c>
      <c r="I21" s="117" t="inlineStr"/>
      <c r="J21" s="119" t="inlineStr">
        <is>
          <t>Loyers &amp; réversion</t>
        </is>
      </c>
    </row>
    <row r="22">
      <c r="C22" s="116" t="inlineStr">
        <is>
          <t>kpi.lease.reversion</t>
        </is>
      </c>
      <c r="D22" s="117" t="inlineStr">
        <is>
          <t>Réversion</t>
        </is>
      </c>
      <c r="E22" s="117" t="inlineStr">
        <is>
          <t>Reversion</t>
        </is>
      </c>
      <c r="F22" s="117" t="inlineStr">
        <is>
          <t>%</t>
        </is>
      </c>
      <c r="G22" s="118" t="inlineStr">
        <is>
          <t>RATIO</t>
        </is>
      </c>
      <c r="H22" s="117" t="inlineStr">
        <is>
          <t>lease</t>
        </is>
      </c>
      <c r="I22" s="117" t="inlineStr"/>
      <c r="J22" s="119" t="inlineStr">
        <is>
          <t>Loyers &amp; réversion</t>
        </is>
      </c>
    </row>
    <row r="23">
      <c r="C23" s="116" t="inlineStr">
        <is>
          <t>kpi.lease.vac_age</t>
        </is>
      </c>
      <c r="D23" s="117" t="inlineStr">
        <is>
          <t>Ancienneté vacance</t>
        </is>
      </c>
      <c r="E23" s="117" t="inlineStr">
        <is>
          <t>Vacancy age</t>
        </is>
      </c>
      <c r="F23" s="117" t="inlineStr">
        <is>
          <t>mois</t>
        </is>
      </c>
      <c r="G23" s="118" t="inlineStr">
        <is>
          <t>AVG</t>
        </is>
      </c>
      <c r="H23" s="117" t="inlineStr">
        <is>
          <t>lease</t>
        </is>
      </c>
      <c r="I23" s="117" t="inlineStr"/>
      <c r="J23" s="119" t="inlineStr">
        <is>
          <t>Vacance &amp; rétention</t>
        </is>
      </c>
    </row>
    <row r="24">
      <c r="C24" s="116" t="inlineStr">
        <is>
          <t>kpi.lease.retention</t>
        </is>
      </c>
      <c r="D24" s="117" t="inlineStr">
        <is>
          <t>Rétention renouvel.</t>
        </is>
      </c>
      <c r="E24" s="117" t="inlineStr">
        <is>
          <t>Renewal retention</t>
        </is>
      </c>
      <c r="F24" s="117" t="inlineStr">
        <is>
          <t>%</t>
        </is>
      </c>
      <c r="G24" s="118" t="inlineStr">
        <is>
          <t>AVG</t>
        </is>
      </c>
      <c r="H24" s="117" t="inlineStr">
        <is>
          <t>lease</t>
        </is>
      </c>
      <c r="I24" s="117" t="inlineStr"/>
      <c r="J24" s="119" t="inlineStr">
        <is>
          <t>Vacance &amp; rétention</t>
        </is>
      </c>
    </row>
    <row r="25">
      <c r="C25" s="116" t="inlineStr">
        <is>
          <t>kpi.lease.incentives</t>
        </is>
      </c>
      <c r="D25" s="117" t="inlineStr">
        <is>
          <t>Franchises/incentives</t>
        </is>
      </c>
      <c r="E25" s="117" t="inlineStr">
        <is>
          <t>Incentives</t>
        </is>
      </c>
      <c r="F25" s="117" t="inlineStr">
        <is>
          <t>FCFA</t>
        </is>
      </c>
      <c r="G25" s="118" t="inlineStr">
        <is>
          <t>SUM</t>
        </is>
      </c>
      <c r="H25" s="117" t="inlineStr">
        <is>
          <t>lease</t>
        </is>
      </c>
      <c r="I25" s="117" t="inlineStr">
        <is>
          <t>✓</t>
        </is>
      </c>
      <c r="J25" s="119" t="inlineStr">
        <is>
          <t>Incentives &amp; WALT</t>
        </is>
      </c>
    </row>
    <row r="26">
      <c r="C26" s="116" t="inlineStr">
        <is>
          <t>kpi.lease.rent_sqm</t>
        </is>
      </c>
      <c r="D26" s="117" t="inlineStr">
        <is>
          <t>Loyer moyen /m²</t>
        </is>
      </c>
      <c r="E26" s="117" t="inlineStr">
        <is>
          <t>Avg rent/sqm</t>
        </is>
      </c>
      <c r="F26" s="117" t="inlineStr">
        <is>
          <t>FCFA/m²</t>
        </is>
      </c>
      <c r="G26" s="118" t="inlineStr">
        <is>
          <t>RATIO</t>
        </is>
      </c>
      <c r="H26" s="117" t="inlineStr">
        <is>
          <t>lease</t>
        </is>
      </c>
      <c r="I26" s="117" t="inlineStr">
        <is>
          <t>✓</t>
        </is>
      </c>
      <c r="J26" s="119" t="inlineStr">
        <is>
          <t>Loyers &amp; réversion</t>
        </is>
      </c>
    </row>
    <row r="27">
      <c r="C27" s="116" t="inlineStr">
        <is>
          <t>kpi.lease.walt</t>
        </is>
      </c>
      <c r="D27" s="117" t="inlineStr">
        <is>
          <t>Durée résiduelle (WALT)</t>
        </is>
      </c>
      <c r="E27" s="117" t="inlineStr">
        <is>
          <t>WALT</t>
        </is>
      </c>
      <c r="F27" s="117" t="inlineStr">
        <is>
          <t>ans</t>
        </is>
      </c>
      <c r="G27" s="118" t="inlineStr">
        <is>
          <t>AVG</t>
        </is>
      </c>
      <c r="H27" s="117" t="inlineStr">
        <is>
          <t>lease</t>
        </is>
      </c>
      <c r="I27" s="117" t="inlineStr"/>
      <c r="J27" s="119" t="inlineStr">
        <is>
          <t>Incentives &amp; WALT</t>
        </is>
      </c>
    </row>
    <row r="28">
      <c r="C28" s="116" t="inlineStr">
        <is>
          <t>kpi.rec.ar</t>
        </is>
      </c>
      <c r="D28" s="117" t="inlineStr">
        <is>
          <t>Créances (AR)</t>
        </is>
      </c>
      <c r="E28" s="117" t="inlineStr">
        <is>
          <t>Receivables</t>
        </is>
      </c>
      <c r="F28" s="117" t="inlineStr">
        <is>
          <t>FCFA</t>
        </is>
      </c>
      <c r="G28" s="118" t="inlineStr">
        <is>
          <t>LAST</t>
        </is>
      </c>
      <c r="H28" s="117" t="inlineStr">
        <is>
          <t>rec</t>
        </is>
      </c>
      <c r="I28" s="117" t="inlineStr"/>
      <c r="J28" s="119" t="inlineStr">
        <is>
          <t>Encours &amp; balance âgée</t>
        </is>
      </c>
    </row>
    <row r="29">
      <c r="C29" s="116" t="inlineStr">
        <is>
          <t>kpi.rec.aged_0_30</t>
        </is>
      </c>
      <c r="D29" s="117" t="inlineStr">
        <is>
          <t>Âgée 0-30j</t>
        </is>
      </c>
      <c r="E29" s="117" t="inlineStr">
        <is>
          <t>Aged 0-30d</t>
        </is>
      </c>
      <c r="F29" s="117" t="inlineStr">
        <is>
          <t>FCFA</t>
        </is>
      </c>
      <c r="G29" s="118" t="inlineStr">
        <is>
          <t>LAST</t>
        </is>
      </c>
      <c r="H29" s="117" t="inlineStr">
        <is>
          <t>rec</t>
        </is>
      </c>
      <c r="I29" s="117" t="inlineStr"/>
      <c r="J29" s="119" t="inlineStr">
        <is>
          <t>Encours &amp; balance âgée</t>
        </is>
      </c>
    </row>
    <row r="30">
      <c r="C30" s="116" t="inlineStr">
        <is>
          <t>kpi.rec.aged_30_60</t>
        </is>
      </c>
      <c r="D30" s="117" t="inlineStr">
        <is>
          <t>Âgée 30-60j</t>
        </is>
      </c>
      <c r="E30" s="117" t="inlineStr">
        <is>
          <t>Aged 30-60d</t>
        </is>
      </c>
      <c r="F30" s="117" t="inlineStr">
        <is>
          <t>FCFA</t>
        </is>
      </c>
      <c r="G30" s="118" t="inlineStr">
        <is>
          <t>LAST</t>
        </is>
      </c>
      <c r="H30" s="117" t="inlineStr">
        <is>
          <t>rec</t>
        </is>
      </c>
      <c r="I30" s="117" t="inlineStr"/>
      <c r="J30" s="119" t="inlineStr">
        <is>
          <t>Encours &amp; balance âgée</t>
        </is>
      </c>
    </row>
    <row r="31">
      <c r="C31" s="116" t="inlineStr">
        <is>
          <t>kpi.rec.aged_60_90</t>
        </is>
      </c>
      <c r="D31" s="117" t="inlineStr">
        <is>
          <t>Âgée 60-90j</t>
        </is>
      </c>
      <c r="E31" s="117" t="inlineStr">
        <is>
          <t>Aged 60-90d</t>
        </is>
      </c>
      <c r="F31" s="117" t="inlineStr">
        <is>
          <t>FCFA</t>
        </is>
      </c>
      <c r="G31" s="118" t="inlineStr">
        <is>
          <t>LAST</t>
        </is>
      </c>
      <c r="H31" s="117" t="inlineStr">
        <is>
          <t>rec</t>
        </is>
      </c>
      <c r="I31" s="117" t="inlineStr"/>
      <c r="J31" s="119" t="inlineStr">
        <is>
          <t>Encours &amp; balance âgée</t>
        </is>
      </c>
    </row>
    <row r="32">
      <c r="C32" s="116" t="inlineStr">
        <is>
          <t>kpi.rec.aged_90p</t>
        </is>
      </c>
      <c r="D32" s="117" t="inlineStr">
        <is>
          <t>Âgée 90j+</t>
        </is>
      </c>
      <c r="E32" s="117" t="inlineStr">
        <is>
          <t>Aged 90d+</t>
        </is>
      </c>
      <c r="F32" s="117" t="inlineStr">
        <is>
          <t>FCFA</t>
        </is>
      </c>
      <c r="G32" s="118" t="inlineStr">
        <is>
          <t>LAST</t>
        </is>
      </c>
      <c r="H32" s="117" t="inlineStr">
        <is>
          <t>rec</t>
        </is>
      </c>
      <c r="I32" s="117" t="inlineStr"/>
      <c r="J32" s="119" t="inlineStr">
        <is>
          <t>Encours &amp; balance âgée</t>
        </is>
      </c>
    </row>
    <row r="33">
      <c r="C33" s="116" t="inlineStr">
        <is>
          <t>kpi.rec.dso</t>
        </is>
      </c>
      <c r="D33" s="117" t="inlineStr">
        <is>
          <t>DSO réel</t>
        </is>
      </c>
      <c r="E33" s="117" t="inlineStr">
        <is>
          <t>DSO</t>
        </is>
      </c>
      <c r="F33" s="117" t="inlineStr">
        <is>
          <t>j</t>
        </is>
      </c>
      <c r="G33" s="118" t="inlineStr">
        <is>
          <t>RATIO</t>
        </is>
      </c>
      <c r="H33" s="117" t="inlineStr">
        <is>
          <t>rec</t>
        </is>
      </c>
      <c r="I33" s="117" t="inlineStr"/>
      <c r="J33" s="119" t="inlineStr">
        <is>
          <t>DSO &amp; recouvrement</t>
        </is>
      </c>
    </row>
    <row r="34">
      <c r="C34" s="116" t="inlineStr">
        <is>
          <t>kpi.rec.recovery</t>
        </is>
      </c>
      <c r="D34" s="117" t="inlineStr">
        <is>
          <t>Taux recouvrement</t>
        </is>
      </c>
      <c r="E34" s="117" t="inlineStr">
        <is>
          <t>Recovery rate</t>
        </is>
      </c>
      <c r="F34" s="117" t="inlineStr">
        <is>
          <t>%</t>
        </is>
      </c>
      <c r="G34" s="118" t="inlineStr">
        <is>
          <t>RATIO</t>
        </is>
      </c>
      <c r="H34" s="117" t="inlineStr">
        <is>
          <t>rec</t>
        </is>
      </c>
      <c r="I34" s="117" t="inlineStr">
        <is>
          <t>✓</t>
        </is>
      </c>
      <c r="J34" s="119" t="inlineStr">
        <is>
          <t>DSO &amp; recouvrement</t>
        </is>
      </c>
    </row>
    <row r="35">
      <c r="C35" s="116" t="inlineStr">
        <is>
          <t>kpi.rec.collected</t>
        </is>
      </c>
      <c r="D35" s="117" t="inlineStr">
        <is>
          <t>Encaissements</t>
        </is>
      </c>
      <c r="E35" s="117" t="inlineStr">
        <is>
          <t>Collections</t>
        </is>
      </c>
      <c r="F35" s="117" t="inlineStr">
        <is>
          <t>FCFA</t>
        </is>
      </c>
      <c r="G35" s="118" t="inlineStr">
        <is>
          <t>SUM</t>
        </is>
      </c>
      <c r="H35" s="117" t="inlineStr">
        <is>
          <t>rec</t>
        </is>
      </c>
      <c r="I35" s="117" t="inlineStr">
        <is>
          <t>✓</t>
        </is>
      </c>
      <c r="J35" s="119" t="inlineStr">
        <is>
          <t>DSO &amp; recouvrement</t>
        </is>
      </c>
    </row>
    <row r="36">
      <c r="C36" s="116" t="inlineStr">
        <is>
          <t>kpi.rec.billed</t>
        </is>
      </c>
      <c r="D36" s="117" t="inlineStr">
        <is>
          <t>Facturé</t>
        </is>
      </c>
      <c r="E36" s="117" t="inlineStr">
        <is>
          <t>Billed</t>
        </is>
      </c>
      <c r="F36" s="117" t="inlineStr">
        <is>
          <t>FCFA</t>
        </is>
      </c>
      <c r="G36" s="118" t="inlineStr">
        <is>
          <t>SUM</t>
        </is>
      </c>
      <c r="H36" s="117" t="inlineStr">
        <is>
          <t>rec</t>
        </is>
      </c>
      <c r="I36" s="117" t="inlineStr"/>
      <c r="J36" s="119" t="inlineStr">
        <is>
          <t>DSO &amp; recouvrement</t>
        </is>
      </c>
    </row>
    <row r="37">
      <c r="C37" s="116" t="inlineStr">
        <is>
          <t>kpi.rec.dunning</t>
        </is>
      </c>
      <c r="D37" s="117" t="inlineStr">
        <is>
          <t>Relances émises</t>
        </is>
      </c>
      <c r="E37" s="117" t="inlineStr">
        <is>
          <t>Dunning notices</t>
        </is>
      </c>
      <c r="F37" s="117" t="inlineStr">
        <is>
          <t>nb</t>
        </is>
      </c>
      <c r="G37" s="118" t="inlineStr">
        <is>
          <t>SUM</t>
        </is>
      </c>
      <c r="H37" s="117" t="inlineStr">
        <is>
          <t>rec</t>
        </is>
      </c>
      <c r="I37" s="117" t="inlineStr"/>
      <c r="J37" s="119" t="inlineStr">
        <is>
          <t>Suivi de recouvrement</t>
        </is>
      </c>
    </row>
    <row r="38">
      <c r="C38" s="116" t="inlineStr">
        <is>
          <t>kpi.rec.promises</t>
        </is>
      </c>
      <c r="D38" s="117" t="inlineStr">
        <is>
          <t>Promesses de paiement</t>
        </is>
      </c>
      <c r="E38" s="117" t="inlineStr">
        <is>
          <t>Payment promises</t>
        </is>
      </c>
      <c r="F38" s="117" t="inlineStr">
        <is>
          <t>FCFA</t>
        </is>
      </c>
      <c r="G38" s="118" t="inlineStr">
        <is>
          <t>SUM</t>
        </is>
      </c>
      <c r="H38" s="117" t="inlineStr">
        <is>
          <t>rec</t>
        </is>
      </c>
      <c r="I38" s="117" t="inlineStr"/>
      <c r="J38" s="119" t="inlineStr">
        <is>
          <t>Suivi de recouvrement</t>
        </is>
      </c>
    </row>
    <row r="39">
      <c r="C39" s="116" t="inlineStr">
        <is>
          <t>kpi.rec.promise_kept</t>
        </is>
      </c>
      <c r="D39" s="117" t="inlineStr">
        <is>
          <t>Taux promesses tenues</t>
        </is>
      </c>
      <c r="E39" s="117" t="inlineStr">
        <is>
          <t>Promise-kept rate</t>
        </is>
      </c>
      <c r="F39" s="117" t="inlineStr">
        <is>
          <t>%</t>
        </is>
      </c>
      <c r="G39" s="118" t="inlineStr">
        <is>
          <t>AVG</t>
        </is>
      </c>
      <c r="H39" s="117" t="inlineStr">
        <is>
          <t>rec</t>
        </is>
      </c>
      <c r="I39" s="117" t="inlineStr"/>
      <c r="J39" s="119" t="inlineStr">
        <is>
          <t>Suivi de recouvrement</t>
        </is>
      </c>
    </row>
    <row r="40">
      <c r="C40" s="116" t="inlineStr">
        <is>
          <t>kpi.rec.collected_dun</t>
        </is>
      </c>
      <c r="D40" s="117" t="inlineStr">
        <is>
          <t>Encaissé sur relance</t>
        </is>
      </c>
      <c r="E40" s="117" t="inlineStr">
        <is>
          <t>Collected via dunning</t>
        </is>
      </c>
      <c r="F40" s="117" t="inlineStr">
        <is>
          <t>FCFA</t>
        </is>
      </c>
      <c r="G40" s="118" t="inlineStr">
        <is>
          <t>SUM</t>
        </is>
      </c>
      <c r="H40" s="117" t="inlineStr">
        <is>
          <t>rec</t>
        </is>
      </c>
      <c r="I40" s="117" t="inlineStr">
        <is>
          <t>✓</t>
        </is>
      </c>
      <c r="J40" s="119" t="inlineStr">
        <is>
          <t>Suivi de recouvrement</t>
        </is>
      </c>
    </row>
    <row r="41">
      <c r="C41" s="116" t="inlineStr">
        <is>
          <t>kpi.rec.provision</t>
        </is>
      </c>
      <c r="D41" s="117" t="inlineStr">
        <is>
          <t>Provisions douteuses</t>
        </is>
      </c>
      <c r="E41" s="117" t="inlineStr">
        <is>
          <t>Doubtful provisions</t>
        </is>
      </c>
      <c r="F41" s="117" t="inlineStr">
        <is>
          <t>%</t>
        </is>
      </c>
      <c r="G41" s="118" t="inlineStr">
        <is>
          <t>RATIO</t>
        </is>
      </c>
      <c r="H41" s="117" t="inlineStr">
        <is>
          <t>rec</t>
        </is>
      </c>
      <c r="I41" s="117" t="inlineStr"/>
      <c r="J41" s="119" t="inlineStr">
        <is>
          <t>Provisions</t>
        </is>
      </c>
    </row>
    <row r="42">
      <c r="C42" s="116" t="inlineStr">
        <is>
          <t>kpi.rec.litige_count</t>
        </is>
      </c>
      <c r="D42" s="117" t="inlineStr">
        <is>
          <t>Dossiers en litige</t>
        </is>
      </c>
      <c r="E42" s="117" t="inlineStr">
        <is>
          <t>Disputed cases</t>
        </is>
      </c>
      <c r="F42" s="117" t="inlineStr">
        <is>
          <t>nb</t>
        </is>
      </c>
      <c r="G42" s="118" t="inlineStr">
        <is>
          <t>LAST</t>
        </is>
      </c>
      <c r="H42" s="117" t="inlineStr">
        <is>
          <t>rec</t>
        </is>
      </c>
      <c r="I42" s="117" t="inlineStr"/>
      <c r="J42" s="119" t="inlineStr">
        <is>
          <t>Litiges &amp; contentieux</t>
        </is>
      </c>
    </row>
    <row r="43">
      <c r="C43" s="116" t="inlineStr">
        <is>
          <t>kpi.rec.litige_amount</t>
        </is>
      </c>
      <c r="D43" s="117" t="inlineStr">
        <is>
          <t>Montant en litige</t>
        </is>
      </c>
      <c r="E43" s="117" t="inlineStr">
        <is>
          <t>Disputed amount</t>
        </is>
      </c>
      <c r="F43" s="117" t="inlineStr">
        <is>
          <t>FCFA</t>
        </is>
      </c>
      <c r="G43" s="118" t="inlineStr">
        <is>
          <t>LAST</t>
        </is>
      </c>
      <c r="H43" s="117" t="inlineStr">
        <is>
          <t>rec</t>
        </is>
      </c>
      <c r="I43" s="117" t="inlineStr"/>
      <c r="J43" s="119" t="inlineStr">
        <is>
          <t>Litiges &amp; contentieux</t>
        </is>
      </c>
    </row>
    <row r="44">
      <c r="C44" s="116" t="inlineStr">
        <is>
          <t>kpi.rec.litige_resolved</t>
        </is>
      </c>
      <c r="D44" s="117" t="inlineStr">
        <is>
          <t>Taux résolution litiges</t>
        </is>
      </c>
      <c r="E44" s="117" t="inlineStr">
        <is>
          <t>Dispute resolution rate</t>
        </is>
      </c>
      <c r="F44" s="117" t="inlineStr">
        <is>
          <t>%</t>
        </is>
      </c>
      <c r="G44" s="118" t="inlineStr">
        <is>
          <t>AVG</t>
        </is>
      </c>
      <c r="H44" s="117" t="inlineStr">
        <is>
          <t>rec</t>
        </is>
      </c>
      <c r="I44" s="117" t="inlineStr"/>
      <c r="J44" s="119" t="inlineStr">
        <is>
          <t>Litiges &amp; contentieux</t>
        </is>
      </c>
    </row>
    <row r="45">
      <c r="C45" s="116" t="inlineStr">
        <is>
          <t>kpi.rec.litige_age</t>
        </is>
      </c>
      <c r="D45" s="117" t="inlineStr">
        <is>
          <t>Ancienneté litige</t>
        </is>
      </c>
      <c r="E45" s="117" t="inlineStr">
        <is>
          <t>Dispute age</t>
        </is>
      </c>
      <c r="F45" s="117" t="inlineStr">
        <is>
          <t>mois</t>
        </is>
      </c>
      <c r="G45" s="118" t="inlineStr">
        <is>
          <t>AVG</t>
        </is>
      </c>
      <c r="H45" s="117" t="inlineStr">
        <is>
          <t>rec</t>
        </is>
      </c>
      <c r="I45" s="117" t="inlineStr"/>
      <c r="J45" s="119" t="inlineStr">
        <is>
          <t>Litiges &amp; contentieux</t>
        </is>
      </c>
    </row>
    <row r="46">
      <c r="C46" s="116" t="inlineStr">
        <is>
          <t>kpi.foot.total</t>
        </is>
      </c>
      <c r="D46" s="117" t="inlineStr">
        <is>
          <t>Fréquentation</t>
        </is>
      </c>
      <c r="E46" s="117" t="inlineStr">
        <is>
          <t>Total footfall</t>
        </is>
      </c>
      <c r="F46" s="117" t="inlineStr">
        <is>
          <t>visites</t>
        </is>
      </c>
      <c r="G46" s="118" t="inlineStr">
        <is>
          <t>SUM</t>
        </is>
      </c>
      <c r="H46" s="117" t="inlineStr">
        <is>
          <t>foot</t>
        </is>
      </c>
      <c r="I46" s="117" t="inlineStr">
        <is>
          <t>✓</t>
        </is>
      </c>
      <c r="J46" s="119" t="inlineStr">
        <is>
          <t>Fréquentation vs budget</t>
        </is>
      </c>
    </row>
    <row r="47">
      <c r="C47" s="116" t="inlineStr">
        <is>
          <t>kpi.foot.vs_budget</t>
        </is>
      </c>
      <c r="D47" s="117" t="inlineStr">
        <is>
          <t>Footfall vs budget</t>
        </is>
      </c>
      <c r="E47" s="117" t="inlineStr">
        <is>
          <t>Footfall vs budget</t>
        </is>
      </c>
      <c r="F47" s="117" t="inlineStr">
        <is>
          <t>%</t>
        </is>
      </c>
      <c r="G47" s="118" t="inlineStr">
        <is>
          <t>RATIO</t>
        </is>
      </c>
      <c r="H47" s="117" t="inlineStr">
        <is>
          <t>foot</t>
        </is>
      </c>
      <c r="I47" s="117" t="inlineStr"/>
      <c r="J47" s="119" t="inlineStr">
        <is>
          <t>Fréquentation vs budget</t>
        </is>
      </c>
    </row>
    <row r="48">
      <c r="C48" s="116" t="inlineStr">
        <is>
          <t>kpi.foot.per_sqm</t>
        </is>
      </c>
      <c r="D48" s="117" t="inlineStr">
        <is>
          <t>Footfall /m²</t>
        </is>
      </c>
      <c r="E48" s="117" t="inlineStr">
        <is>
          <t>Footfall/sqm</t>
        </is>
      </c>
      <c r="F48" s="117" t="inlineStr">
        <is>
          <t>v/m²</t>
        </is>
      </c>
      <c r="G48" s="118" t="inlineStr">
        <is>
          <t>RATIO</t>
        </is>
      </c>
      <c r="H48" s="117" t="inlineStr">
        <is>
          <t>foot</t>
        </is>
      </c>
      <c r="I48" s="117" t="inlineStr"/>
      <c r="J48" s="119" t="inlineStr">
        <is>
          <t>Densité &amp; conversion</t>
        </is>
      </c>
    </row>
    <row r="49">
      <c r="C49" s="116" t="inlineStr">
        <is>
          <t>kpi.foot.conversion</t>
        </is>
      </c>
      <c r="D49" s="117" t="inlineStr">
        <is>
          <t>Conversion→ventes</t>
        </is>
      </c>
      <c r="E49" s="117" t="inlineStr">
        <is>
          <t>Footfall→sales conv.</t>
        </is>
      </c>
      <c r="F49" s="117" t="inlineStr">
        <is>
          <t>%</t>
        </is>
      </c>
      <c r="G49" s="118" t="inlineStr">
        <is>
          <t>RATIO</t>
        </is>
      </c>
      <c r="H49" s="117" t="inlineStr">
        <is>
          <t>foot</t>
        </is>
      </c>
      <c r="I49" s="117" t="inlineStr"/>
      <c r="J49" s="119" t="inlineStr">
        <is>
          <t>Densité &amp; conversion</t>
        </is>
      </c>
    </row>
    <row r="50">
      <c r="C50" s="116" t="inlineStr">
        <is>
          <t>kpi.foot.dwell</t>
        </is>
      </c>
      <c r="D50" s="117" t="inlineStr">
        <is>
          <t>Temps de visite</t>
        </is>
      </c>
      <c r="E50" s="117" t="inlineStr">
        <is>
          <t>Dwell time</t>
        </is>
      </c>
      <c r="F50" s="117" t="inlineStr">
        <is>
          <t>min</t>
        </is>
      </c>
      <c r="G50" s="118" t="inlineStr">
        <is>
          <t>AVG</t>
        </is>
      </c>
      <c r="H50" s="117" t="inlineStr">
        <is>
          <t>foot</t>
        </is>
      </c>
      <c r="I50" s="117" t="inlineStr"/>
      <c r="J50" s="119" t="inlineStr">
        <is>
          <t>Dwell time</t>
        </is>
      </c>
    </row>
    <row r="51">
      <c r="C51" s="116" t="inlineStr">
        <is>
          <t>kpi.foot.peak_share</t>
        </is>
      </c>
      <c r="D51" s="117" t="inlineStr">
        <is>
          <t>Part heure de pointe</t>
        </is>
      </c>
      <c r="E51" s="117" t="inlineStr">
        <is>
          <t>Peak-hour share</t>
        </is>
      </c>
      <c r="F51" s="117" t="inlineStr">
        <is>
          <t>%</t>
        </is>
      </c>
      <c r="G51" s="118" t="inlineStr">
        <is>
          <t>AVG</t>
        </is>
      </c>
      <c r="H51" s="117" t="inlineStr">
        <is>
          <t>foot</t>
        </is>
      </c>
      <c r="I51" s="117" t="inlineStr"/>
      <c r="J51" s="119" t="inlineStr">
        <is>
          <t>Répartition par zone</t>
        </is>
      </c>
    </row>
    <row r="52">
      <c r="C52" s="116" t="inlineStr">
        <is>
          <t>kpi.foot.weekend_share</t>
        </is>
      </c>
      <c r="D52" s="117" t="inlineStr">
        <is>
          <t>Part week-end</t>
        </is>
      </c>
      <c r="E52" s="117" t="inlineStr">
        <is>
          <t>Weekend share</t>
        </is>
      </c>
      <c r="F52" s="117" t="inlineStr">
        <is>
          <t>%</t>
        </is>
      </c>
      <c r="G52" s="118" t="inlineStr">
        <is>
          <t>AVG</t>
        </is>
      </c>
      <c r="H52" s="117" t="inlineStr">
        <is>
          <t>foot</t>
        </is>
      </c>
      <c r="I52" s="117" t="inlineStr"/>
      <c r="J52" s="119" t="inlineStr">
        <is>
          <t>Répartition par zone</t>
        </is>
      </c>
    </row>
    <row r="53">
      <c r="C53" s="116" t="inlineStr">
        <is>
          <t>kpi.mkt.events</t>
        </is>
      </c>
      <c r="D53" s="117" t="inlineStr">
        <is>
          <t>Événements</t>
        </is>
      </c>
      <c r="E53" s="117" t="inlineStr">
        <is>
          <t>Events</t>
        </is>
      </c>
      <c r="F53" s="117" t="inlineStr">
        <is>
          <t>nb</t>
        </is>
      </c>
      <c r="G53" s="118" t="inlineStr">
        <is>
          <t>SUM</t>
        </is>
      </c>
      <c r="H53" s="117" t="inlineStr">
        <is>
          <t>mkt</t>
        </is>
      </c>
      <c r="I53" s="117" t="inlineStr"/>
      <c r="J53" s="119" t="inlineStr">
        <is>
          <t>Événements</t>
        </is>
      </c>
    </row>
    <row r="54">
      <c r="C54" s="116" t="inlineStr">
        <is>
          <t>kpi.mkt.event_att</t>
        </is>
      </c>
      <c r="D54" s="117" t="inlineStr">
        <is>
          <t>Affluence événements</t>
        </is>
      </c>
      <c r="E54" s="117" t="inlineStr">
        <is>
          <t>Event attendance</t>
        </is>
      </c>
      <c r="F54" s="117" t="inlineStr">
        <is>
          <t>visites</t>
        </is>
      </c>
      <c r="G54" s="118" t="inlineStr">
        <is>
          <t>SUM</t>
        </is>
      </c>
      <c r="H54" s="117" t="inlineStr">
        <is>
          <t>mkt</t>
        </is>
      </c>
      <c r="I54" s="117" t="inlineStr"/>
      <c r="J54" s="119" t="inlineStr">
        <is>
          <t>Événements</t>
        </is>
      </c>
    </row>
    <row r="55">
      <c r="C55" s="116" t="inlineStr">
        <is>
          <t>kpi.mkt.event_roi</t>
        </is>
      </c>
      <c r="D55" s="117" t="inlineStr">
        <is>
          <t>ROI événement</t>
        </is>
      </c>
      <c r="E55" s="117" t="inlineStr">
        <is>
          <t>Event ROI</t>
        </is>
      </c>
      <c r="F55" s="117" t="inlineStr">
        <is>
          <t>%</t>
        </is>
      </c>
      <c r="G55" s="118" t="inlineStr">
        <is>
          <t>RATIO</t>
        </is>
      </c>
      <c r="H55" s="117" t="inlineStr">
        <is>
          <t>mkt</t>
        </is>
      </c>
      <c r="I55" s="117" t="inlineStr"/>
      <c r="J55" s="119" t="inlineStr">
        <is>
          <t>Événements</t>
        </is>
      </c>
    </row>
    <row r="56">
      <c r="C56" s="116" t="inlineStr">
        <is>
          <t>kpi.mkt.event_sat</t>
        </is>
      </c>
      <c r="D56" s="117" t="inlineStr">
        <is>
          <t>Satisfaction événement</t>
        </is>
      </c>
      <c r="E56" s="117" t="inlineStr">
        <is>
          <t>Event satisfaction</t>
        </is>
      </c>
      <c r="F56" s="117" t="inlineStr">
        <is>
          <t>score</t>
        </is>
      </c>
      <c r="G56" s="118" t="inlineStr">
        <is>
          <t>AVG</t>
        </is>
      </c>
      <c r="H56" s="117" t="inlineStr">
        <is>
          <t>mkt</t>
        </is>
      </c>
      <c r="I56" s="117" t="inlineStr"/>
      <c r="J56" s="119" t="inlineStr">
        <is>
          <t>Événements</t>
        </is>
      </c>
    </row>
    <row r="57">
      <c r="C57" s="116" t="inlineStr">
        <is>
          <t>kpi.mkt.engagement</t>
        </is>
      </c>
      <c r="D57" s="117" t="inlineStr">
        <is>
          <t>Taux d'engagement</t>
        </is>
      </c>
      <c r="E57" s="117" t="inlineStr">
        <is>
          <t>Engagement rate</t>
        </is>
      </c>
      <c r="F57" s="117" t="inlineStr">
        <is>
          <t>%</t>
        </is>
      </c>
      <c r="G57" s="118" t="inlineStr">
        <is>
          <t>AVG</t>
        </is>
      </c>
      <c r="H57" s="117" t="inlineStr">
        <is>
          <t>mkt</t>
        </is>
      </c>
      <c r="I57" s="117" t="inlineStr"/>
      <c r="J57" s="119" t="inlineStr">
        <is>
          <t>Marketing digital</t>
        </is>
      </c>
    </row>
    <row r="58">
      <c r="C58" s="116" t="inlineStr">
        <is>
          <t>kpi.mkt.followers</t>
        </is>
      </c>
      <c r="D58" s="117" t="inlineStr">
        <is>
          <t>Abonnés</t>
        </is>
      </c>
      <c r="E58" s="117" t="inlineStr">
        <is>
          <t>Followers</t>
        </is>
      </c>
      <c r="F58" s="117" t="inlineStr">
        <is>
          <t>nb</t>
        </is>
      </c>
      <c r="G58" s="118" t="inlineStr">
        <is>
          <t>LAST</t>
        </is>
      </c>
      <c r="H58" s="117" t="inlineStr">
        <is>
          <t>mkt</t>
        </is>
      </c>
      <c r="I58" s="117" t="inlineStr"/>
      <c r="J58" s="119" t="inlineStr">
        <is>
          <t>Marketing digital</t>
        </is>
      </c>
    </row>
    <row r="59">
      <c r="C59" s="116" t="inlineStr">
        <is>
          <t>kpi.mkt.reach</t>
        </is>
      </c>
      <c r="D59" s="117" t="inlineStr">
        <is>
          <t>Portée (reach)</t>
        </is>
      </c>
      <c r="E59" s="117" t="inlineStr">
        <is>
          <t>Reach</t>
        </is>
      </c>
      <c r="F59" s="117" t="inlineStr">
        <is>
          <t>nb</t>
        </is>
      </c>
      <c r="G59" s="118" t="inlineStr">
        <is>
          <t>SUM</t>
        </is>
      </c>
      <c r="H59" s="117" t="inlineStr">
        <is>
          <t>mkt</t>
        </is>
      </c>
      <c r="I59" s="117" t="inlineStr"/>
      <c r="J59" s="119" t="inlineStr">
        <is>
          <t>Marketing digital</t>
        </is>
      </c>
    </row>
    <row r="60">
      <c r="C60" s="116" t="inlineStr">
        <is>
          <t>kpi.mkt.cpa</t>
        </is>
      </c>
      <c r="D60" s="117" t="inlineStr">
        <is>
          <t>Coût/acquisition</t>
        </is>
      </c>
      <c r="E60" s="117" t="inlineStr">
        <is>
          <t>CPA</t>
        </is>
      </c>
      <c r="F60" s="117" t="inlineStr">
        <is>
          <t>FCFA</t>
        </is>
      </c>
      <c r="G60" s="118" t="inlineStr">
        <is>
          <t>RATIO</t>
        </is>
      </c>
      <c r="H60" s="117" t="inlineStr">
        <is>
          <t>mkt</t>
        </is>
      </c>
      <c r="I60" s="117" t="inlineStr"/>
      <c r="J60" s="119" t="inlineStr">
        <is>
          <t>Marketing digital</t>
        </is>
      </c>
    </row>
    <row r="61">
      <c r="C61" s="116" t="inlineStr">
        <is>
          <t>kpi.mkt.digital_conv</t>
        </is>
      </c>
      <c r="D61" s="117" t="inlineStr">
        <is>
          <t>Conversion digitale</t>
        </is>
      </c>
      <c r="E61" s="117" t="inlineStr">
        <is>
          <t>Digital conversion</t>
        </is>
      </c>
      <c r="F61" s="117" t="inlineStr">
        <is>
          <t>%</t>
        </is>
      </c>
      <c r="G61" s="118" t="inlineStr">
        <is>
          <t>RATIO</t>
        </is>
      </c>
      <c r="H61" s="117" t="inlineStr">
        <is>
          <t>mkt</t>
        </is>
      </c>
      <c r="I61" s="117" t="inlineStr"/>
      <c r="J61" s="119" t="inlineStr">
        <is>
          <t>Marketing digital</t>
        </is>
      </c>
    </row>
    <row r="62">
      <c r="C62" s="116" t="inlineStr">
        <is>
          <t>kpi.mkt.spend</t>
        </is>
      </c>
      <c r="D62" s="117" t="inlineStr">
        <is>
          <t>Dépense mkt</t>
        </is>
      </c>
      <c r="E62" s="117" t="inlineStr">
        <is>
          <t>Marketing spend</t>
        </is>
      </c>
      <c r="F62" s="117" t="inlineStr">
        <is>
          <t>FCFA</t>
        </is>
      </c>
      <c r="G62" s="118" t="inlineStr">
        <is>
          <t>SUM</t>
        </is>
      </c>
      <c r="H62" s="117" t="inlineStr">
        <is>
          <t>mkt</t>
        </is>
      </c>
      <c r="I62" s="117" t="inlineStr">
        <is>
          <t>✓</t>
        </is>
      </c>
      <c r="J62" s="119" t="inlineStr">
        <is>
          <t>Publicité &amp; communication</t>
        </is>
      </c>
    </row>
    <row r="63">
      <c r="C63" s="116" t="inlineStr">
        <is>
          <t>kpi.mkt.spend_pct</t>
        </is>
      </c>
      <c r="D63" s="117" t="inlineStr">
        <is>
          <t>Spend % du CA</t>
        </is>
      </c>
      <c r="E63" s="117" t="inlineStr">
        <is>
          <t>Spend % revenue</t>
        </is>
      </c>
      <c r="F63" s="117" t="inlineStr">
        <is>
          <t>%</t>
        </is>
      </c>
      <c r="G63" s="118" t="inlineStr">
        <is>
          <t>RATIO</t>
        </is>
      </c>
      <c r="H63" s="117" t="inlineStr">
        <is>
          <t>mkt</t>
        </is>
      </c>
      <c r="I63" s="117" t="inlineStr"/>
      <c r="J63" s="119" t="inlineStr">
        <is>
          <t>Publicité &amp; communication</t>
        </is>
      </c>
    </row>
    <row r="64">
      <c r="C64" s="116" t="inlineStr">
        <is>
          <t>kpi.mkt.impressions</t>
        </is>
      </c>
      <c r="D64" s="117" t="inlineStr">
        <is>
          <t>Impressions pub</t>
        </is>
      </c>
      <c r="E64" s="117" t="inlineStr">
        <is>
          <t>Ad impressions</t>
        </is>
      </c>
      <c r="F64" s="117" t="inlineStr">
        <is>
          <t>nb</t>
        </is>
      </c>
      <c r="G64" s="118" t="inlineStr">
        <is>
          <t>SUM</t>
        </is>
      </c>
      <c r="H64" s="117" t="inlineStr">
        <is>
          <t>mkt</t>
        </is>
      </c>
      <c r="I64" s="117" t="inlineStr"/>
      <c r="J64" s="119" t="inlineStr">
        <is>
          <t>Publicité &amp; communication</t>
        </is>
      </c>
    </row>
    <row r="65">
      <c r="C65" s="116" t="inlineStr">
        <is>
          <t>kpi.mkt.campaigns</t>
        </is>
      </c>
      <c r="D65" s="117" t="inlineStr">
        <is>
          <t>Campagnes actives</t>
        </is>
      </c>
      <c r="E65" s="117" t="inlineStr">
        <is>
          <t>Active campaigns</t>
        </is>
      </c>
      <c r="F65" s="117" t="inlineStr">
        <is>
          <t>nb</t>
        </is>
      </c>
      <c r="G65" s="118" t="inlineStr">
        <is>
          <t>LAST</t>
        </is>
      </c>
      <c r="H65" s="117" t="inlineStr">
        <is>
          <t>mkt</t>
        </is>
      </c>
      <c r="I65" s="117" t="inlineStr"/>
      <c r="J65" s="119" t="inlineStr">
        <is>
          <t>Publicité &amp; communication</t>
        </is>
      </c>
    </row>
    <row r="66">
      <c r="C66" s="116" t="inlineStr">
        <is>
          <t>kpi.mkt.nps</t>
        </is>
      </c>
      <c r="D66" s="117" t="inlineStr">
        <is>
          <t>NPS</t>
        </is>
      </c>
      <c r="E66" s="117" t="inlineStr">
        <is>
          <t>NPS</t>
        </is>
      </c>
      <c r="F66" s="117" t="inlineStr">
        <is>
          <t>score</t>
        </is>
      </c>
      <c r="G66" s="118" t="inlineStr">
        <is>
          <t>AVG</t>
        </is>
      </c>
      <c r="H66" s="117" t="inlineStr">
        <is>
          <t>mkt</t>
        </is>
      </c>
      <c r="I66" s="117" t="inlineStr"/>
      <c r="J66" s="119" t="inlineStr">
        <is>
          <t>Analyse données (CRM/fidélité)</t>
        </is>
      </c>
    </row>
    <row r="67">
      <c r="C67" s="116" t="inlineStr">
        <is>
          <t>kpi.mkt.members</t>
        </is>
      </c>
      <c r="D67" s="117" t="inlineStr">
        <is>
          <t>Membres fidélité</t>
        </is>
      </c>
      <c r="E67" s="117" t="inlineStr">
        <is>
          <t>Loyalty members</t>
        </is>
      </c>
      <c r="F67" s="117" t="inlineStr">
        <is>
          <t>nb</t>
        </is>
      </c>
      <c r="G67" s="118" t="inlineStr">
        <is>
          <t>LAST</t>
        </is>
      </c>
      <c r="H67" s="117" t="inlineStr">
        <is>
          <t>mkt</t>
        </is>
      </c>
      <c r="I67" s="117" t="inlineStr"/>
      <c r="J67" s="119" t="inlineStr">
        <is>
          <t>Analyse données (CRM/fidélité)</t>
        </is>
      </c>
    </row>
    <row r="68">
      <c r="C68" s="116" t="inlineStr">
        <is>
          <t>kpi.mkt.member_act</t>
        </is>
      </c>
      <c r="D68" s="117" t="inlineStr">
        <is>
          <t>Activation membres</t>
        </is>
      </c>
      <c r="E68" s="117" t="inlineStr">
        <is>
          <t>Member activation</t>
        </is>
      </c>
      <c r="F68" s="117" t="inlineStr">
        <is>
          <t>%</t>
        </is>
      </c>
      <c r="G68" s="118" t="inlineStr">
        <is>
          <t>AVG</t>
        </is>
      </c>
      <c r="H68" s="117" t="inlineStr">
        <is>
          <t>mkt</t>
        </is>
      </c>
      <c r="I68" s="117" t="inlineStr"/>
      <c r="J68" s="119" t="inlineStr">
        <is>
          <t>Analyse données (CRM/fidélité)</t>
        </is>
      </c>
    </row>
    <row r="69">
      <c r="C69" s="116" t="inlineStr">
        <is>
          <t>kpi.mkt.basket_member</t>
        </is>
      </c>
      <c r="D69" s="117" t="inlineStr">
        <is>
          <t>Panier moyen membre</t>
        </is>
      </c>
      <c r="E69" s="117" t="inlineStr">
        <is>
          <t>Avg member basket</t>
        </is>
      </c>
      <c r="F69" s="117" t="inlineStr">
        <is>
          <t>FCFA</t>
        </is>
      </c>
      <c r="G69" s="118" t="inlineStr">
        <is>
          <t>AVG</t>
        </is>
      </c>
      <c r="H69" s="117" t="inlineStr">
        <is>
          <t>mkt</t>
        </is>
      </c>
      <c r="I69" s="117" t="inlineStr"/>
      <c r="J69" s="119" t="inlineStr">
        <is>
          <t>Analyse données (CRM/fidélité)</t>
        </is>
      </c>
    </row>
    <row r="70">
      <c r="C70" s="116" t="inlineStr">
        <is>
          <t>kpi.com.tenant_sales</t>
        </is>
      </c>
      <c r="D70" s="117" t="inlineStr">
        <is>
          <t>Ventes locataires</t>
        </is>
      </c>
      <c r="E70" s="117" t="inlineStr">
        <is>
          <t>Tenant sales</t>
        </is>
      </c>
      <c r="F70" s="117" t="inlineStr">
        <is>
          <t>FCFA</t>
        </is>
      </c>
      <c r="G70" s="118" t="inlineStr">
        <is>
          <t>SUM</t>
        </is>
      </c>
      <c r="H70" s="117" t="inlineStr">
        <is>
          <t>com</t>
        </is>
      </c>
      <c r="I70" s="117" t="inlineStr">
        <is>
          <t>✓</t>
        </is>
      </c>
      <c r="J70" s="119" t="inlineStr">
        <is>
          <t>Ventes &amp; CA/m²</t>
        </is>
      </c>
    </row>
    <row r="71">
      <c r="C71" s="116" t="inlineStr">
        <is>
          <t>kpi.com.total_sales</t>
        </is>
      </c>
      <c r="D71" s="117" t="inlineStr">
        <is>
          <t>CA total locataires</t>
        </is>
      </c>
      <c r="E71" s="117" t="inlineStr">
        <is>
          <t>Total turnover</t>
        </is>
      </c>
      <c r="F71" s="117" t="inlineStr">
        <is>
          <t>FCFA</t>
        </is>
      </c>
      <c r="G71" s="118" t="inlineStr">
        <is>
          <t>SUM</t>
        </is>
      </c>
      <c r="H71" s="117" t="inlineStr">
        <is>
          <t>com</t>
        </is>
      </c>
      <c r="I71" s="117" t="inlineStr">
        <is>
          <t>✓</t>
        </is>
      </c>
      <c r="J71" s="119" t="inlineStr">
        <is>
          <t>Ventes &amp; CA/m²</t>
        </is>
      </c>
    </row>
    <row r="72">
      <c r="C72" s="116" t="inlineStr">
        <is>
          <t>kpi.com.sales_sqm</t>
        </is>
      </c>
      <c r="D72" s="117" t="inlineStr">
        <is>
          <t>CA /m²</t>
        </is>
      </c>
      <c r="E72" s="117" t="inlineStr">
        <is>
          <t>Sales/sqm</t>
        </is>
      </c>
      <c r="F72" s="117" t="inlineStr">
        <is>
          <t>FCFA/m²</t>
        </is>
      </c>
      <c r="G72" s="118" t="inlineStr">
        <is>
          <t>RATIO</t>
        </is>
      </c>
      <c r="H72" s="117" t="inlineStr">
        <is>
          <t>com</t>
        </is>
      </c>
      <c r="I72" s="117" t="inlineStr"/>
      <c r="J72" s="119" t="inlineStr">
        <is>
          <t>Ventes &amp; CA/m²</t>
        </is>
      </c>
    </row>
    <row r="73">
      <c r="C73" s="116" t="inlineStr">
        <is>
          <t>kpi.com.lfl</t>
        </is>
      </c>
      <c r="D73" s="117" t="inlineStr">
        <is>
          <t>Like-for-like</t>
        </is>
      </c>
      <c r="E73" s="117" t="inlineStr">
        <is>
          <t>Like-for-like</t>
        </is>
      </c>
      <c r="F73" s="117" t="inlineStr">
        <is>
          <t>%</t>
        </is>
      </c>
      <c r="G73" s="118" t="inlineStr">
        <is>
          <t>RATIO</t>
        </is>
      </c>
      <c r="H73" s="117" t="inlineStr">
        <is>
          <t>com</t>
        </is>
      </c>
      <c r="I73" s="117" t="inlineStr"/>
      <c r="J73" s="119" t="inlineStr">
        <is>
          <t>Ventes &amp; CA/m²</t>
        </is>
      </c>
    </row>
    <row r="74">
      <c r="C74" s="116" t="inlineStr">
        <is>
          <t>kpi.com.new_leases</t>
        </is>
      </c>
      <c r="D74" s="117" t="inlineStr">
        <is>
          <t>Nouveaux baux</t>
        </is>
      </c>
      <c r="E74" s="117" t="inlineStr">
        <is>
          <t>New leases</t>
        </is>
      </c>
      <c r="F74" s="117" t="inlineStr">
        <is>
          <t>nb</t>
        </is>
      </c>
      <c r="G74" s="118" t="inlineStr">
        <is>
          <t>SUM</t>
        </is>
      </c>
      <c r="H74" s="117" t="inlineStr">
        <is>
          <t>com</t>
        </is>
      </c>
      <c r="I74" s="117" t="inlineStr">
        <is>
          <t>✓</t>
        </is>
      </c>
      <c r="J74" s="119" t="inlineStr">
        <is>
          <t>Location à bail</t>
        </is>
      </c>
    </row>
    <row r="75">
      <c r="C75" s="116" t="inlineStr">
        <is>
          <t>kpi.com.pipeline</t>
        </is>
      </c>
      <c r="D75" s="117" t="inlineStr">
        <is>
          <t>Pipeline pondéré</t>
        </is>
      </c>
      <c r="E75" s="117" t="inlineStr">
        <is>
          <t>Weighted pipeline</t>
        </is>
      </c>
      <c r="F75" s="117" t="inlineStr">
        <is>
          <t>FCFA</t>
        </is>
      </c>
      <c r="G75" s="118" t="inlineStr">
        <is>
          <t>LAST</t>
        </is>
      </c>
      <c r="H75" s="117" t="inlineStr">
        <is>
          <t>com</t>
        </is>
      </c>
      <c r="I75" s="117" t="inlineStr">
        <is>
          <t>✓</t>
        </is>
      </c>
      <c r="J75" s="119" t="inlineStr">
        <is>
          <t>Location à bail</t>
        </is>
      </c>
    </row>
    <row r="76">
      <c r="C76" s="116" t="inlineStr">
        <is>
          <t>kpi.com.leases_renewed</t>
        </is>
      </c>
      <c r="D76" s="117" t="inlineStr">
        <is>
          <t>Baux renouvelés</t>
        </is>
      </c>
      <c r="E76" s="117" t="inlineStr">
        <is>
          <t>Leases renewed</t>
        </is>
      </c>
      <c r="F76" s="117" t="inlineStr">
        <is>
          <t>nb</t>
        </is>
      </c>
      <c r="G76" s="118" t="inlineStr">
        <is>
          <t>SUM</t>
        </is>
      </c>
      <c r="H76" s="117" t="inlineStr">
        <is>
          <t>com</t>
        </is>
      </c>
      <c r="I76" s="117" t="inlineStr"/>
      <c r="J76" s="119" t="inlineStr">
        <is>
          <t>Location à bail</t>
        </is>
      </c>
    </row>
    <row r="77">
      <c r="C77" s="116" t="inlineStr">
        <is>
          <t>kpi.com.pipeline_conv</t>
        </is>
      </c>
      <c r="D77" s="117" t="inlineStr">
        <is>
          <t>Conversion pipeline</t>
        </is>
      </c>
      <c r="E77" s="117" t="inlineStr">
        <is>
          <t>Pipeline conversion</t>
        </is>
      </c>
      <c r="F77" s="117" t="inlineStr">
        <is>
          <t>%</t>
        </is>
      </c>
      <c r="G77" s="118" t="inlineStr">
        <is>
          <t>RATIO</t>
        </is>
      </c>
      <c r="H77" s="117" t="inlineStr">
        <is>
          <t>com</t>
        </is>
      </c>
      <c r="I77" s="117" t="inlineStr"/>
      <c r="J77" s="119" t="inlineStr">
        <is>
          <t>Location à bail</t>
        </is>
      </c>
    </row>
    <row r="78">
      <c r="C78" s="116" t="inlineStr">
        <is>
          <t>kpi.com.popup_count</t>
        </is>
      </c>
      <c r="D78" s="117" t="inlineStr">
        <is>
          <t>Locations pop-up (nb)</t>
        </is>
      </c>
      <c r="E78" s="117" t="inlineStr">
        <is>
          <t>Pop-up rentals (nb)</t>
        </is>
      </c>
      <c r="F78" s="117" t="inlineStr">
        <is>
          <t>nb</t>
        </is>
      </c>
      <c r="G78" s="118" t="inlineStr">
        <is>
          <t>LAST</t>
        </is>
      </c>
      <c r="H78" s="117" t="inlineStr">
        <is>
          <t>com</t>
        </is>
      </c>
      <c r="I78" s="117" t="inlineStr">
        <is>
          <t>✓</t>
        </is>
      </c>
      <c r="J78" s="119" t="inlineStr">
        <is>
          <t>Pop-store / specialty</t>
        </is>
      </c>
    </row>
    <row r="79">
      <c r="C79" s="116" t="inlineStr">
        <is>
          <t>kpi.com.popup_rev</t>
        </is>
      </c>
      <c r="D79" s="117" t="inlineStr">
        <is>
          <t>Revenus pop-up</t>
        </is>
      </c>
      <c r="E79" s="117" t="inlineStr">
        <is>
          <t>Pop-up revenue</t>
        </is>
      </c>
      <c r="F79" s="117" t="inlineStr">
        <is>
          <t>FCFA</t>
        </is>
      </c>
      <c r="G79" s="118" t="inlineStr">
        <is>
          <t>SUM</t>
        </is>
      </c>
      <c r="H79" s="117" t="inlineStr">
        <is>
          <t>com</t>
        </is>
      </c>
      <c r="I79" s="117" t="inlineStr">
        <is>
          <t>✓</t>
        </is>
      </c>
      <c r="J79" s="119" t="inlineStr">
        <is>
          <t>Pop-store / specialty</t>
        </is>
      </c>
    </row>
    <row r="80">
      <c r="C80" s="116" t="inlineStr">
        <is>
          <t>kpi.com.kiosk_occ</t>
        </is>
      </c>
      <c r="D80" s="117" t="inlineStr">
        <is>
          <t>Taux d'occupation pop-up</t>
        </is>
      </c>
      <c r="E80" s="117" t="inlineStr">
        <is>
          <t>Pop-up occupancy</t>
        </is>
      </c>
      <c r="F80" s="117" t="inlineStr">
        <is>
          <t>%</t>
        </is>
      </c>
      <c r="G80" s="118" t="inlineStr">
        <is>
          <t>AVG</t>
        </is>
      </c>
      <c r="H80" s="117" t="inlineStr">
        <is>
          <t>com</t>
        </is>
      </c>
      <c r="I80" s="117" t="inlineStr">
        <is>
          <t>✓</t>
        </is>
      </c>
      <c r="J80" s="119" t="inlineStr">
        <is>
          <t>Pop-store / specialty</t>
        </is>
      </c>
    </row>
    <row r="81">
      <c r="C81" s="116" t="inlineStr">
        <is>
          <t>kpi.com.market_rev</t>
        </is>
      </c>
      <c r="D81" s="117" t="inlineStr">
        <is>
          <t>Revenus Le Market</t>
        </is>
      </c>
      <c r="E81" s="117" t="inlineStr">
        <is>
          <t>Le Market revenue</t>
        </is>
      </c>
      <c r="F81" s="117" t="inlineStr">
        <is>
          <t>FCFA</t>
        </is>
      </c>
      <c r="G81" s="118" t="inlineStr">
        <is>
          <t>SUM</t>
        </is>
      </c>
      <c r="H81" s="117" t="inlineStr">
        <is>
          <t>com</t>
        </is>
      </c>
      <c r="I81" s="117" t="inlineStr">
        <is>
          <t>✓</t>
        </is>
      </c>
      <c r="J81" s="119" t="inlineStr">
        <is>
          <t>Le Market</t>
        </is>
      </c>
    </row>
    <row r="82">
      <c r="C82" s="116" t="inlineStr">
        <is>
          <t>kpi.com.market_occ</t>
        </is>
      </c>
      <c r="D82" s="117" t="inlineStr">
        <is>
          <t>Taux d'occupation Le Market</t>
        </is>
      </c>
      <c r="E82" s="117" t="inlineStr">
        <is>
          <t>Le Market occupancy</t>
        </is>
      </c>
      <c r="F82" s="117" t="inlineStr">
        <is>
          <t>%</t>
        </is>
      </c>
      <c r="G82" s="118" t="inlineStr">
        <is>
          <t>AVG</t>
        </is>
      </c>
      <c r="H82" s="117" t="inlineStr">
        <is>
          <t>com</t>
        </is>
      </c>
      <c r="I82" s="117" t="inlineStr">
        <is>
          <t>✓</t>
        </is>
      </c>
      <c r="J82" s="119" t="inlineStr">
        <is>
          <t>Le Market</t>
        </is>
      </c>
    </row>
    <row r="83">
      <c r="C83" s="116" t="inlineStr">
        <is>
          <t>kpi.com.market_stalls</t>
        </is>
      </c>
      <c r="D83" s="117" t="inlineStr">
        <is>
          <t>Kiosques loués (Le Market)</t>
        </is>
      </c>
      <c r="E83" s="117" t="inlineStr">
        <is>
          <t>Le Market kiosks let</t>
        </is>
      </c>
      <c r="F83" s="117" t="inlineStr">
        <is>
          <t>nb</t>
        </is>
      </c>
      <c r="G83" s="118" t="inlineStr">
        <is>
          <t>LAST</t>
        </is>
      </c>
      <c r="H83" s="117" t="inlineStr">
        <is>
          <t>com</t>
        </is>
      </c>
      <c r="I83" s="117" t="inlineStr">
        <is>
          <t>✓</t>
        </is>
      </c>
      <c r="J83" s="119" t="inlineStr">
        <is>
          <t>Le Market</t>
        </is>
      </c>
    </row>
    <row r="84">
      <c r="C84" s="116" t="inlineStr">
        <is>
          <t>kpi.com.media_sales</t>
        </is>
      </c>
      <c r="D84" s="117" t="inlineStr">
        <is>
          <t>Régie publicitaire</t>
        </is>
      </c>
      <c r="E84" s="117" t="inlineStr">
        <is>
          <t>Media sales</t>
        </is>
      </c>
      <c r="F84" s="117" t="inlineStr">
        <is>
          <t>FCFA</t>
        </is>
      </c>
      <c r="G84" s="118" t="inlineStr">
        <is>
          <t>SUM</t>
        </is>
      </c>
      <c r="H84" s="117" t="inlineStr">
        <is>
          <t>com</t>
        </is>
      </c>
      <c r="I84" s="117" t="inlineStr">
        <is>
          <t>✓</t>
        </is>
      </c>
      <c r="J84" s="119" t="inlineStr">
        <is>
          <t>Partenariats &amp; activations</t>
        </is>
      </c>
    </row>
    <row r="85">
      <c r="C85" s="116" t="inlineStr">
        <is>
          <t>kpi.com.partnership_rev</t>
        </is>
      </c>
      <c r="D85" s="117" t="inlineStr">
        <is>
          <t>Revenus partenariats</t>
        </is>
      </c>
      <c r="E85" s="117" t="inlineStr">
        <is>
          <t>Partnership revenue</t>
        </is>
      </c>
      <c r="F85" s="117" t="inlineStr">
        <is>
          <t>FCFA</t>
        </is>
      </c>
      <c r="G85" s="118" t="inlineStr">
        <is>
          <t>SUM</t>
        </is>
      </c>
      <c r="H85" s="117" t="inlineStr">
        <is>
          <t>com</t>
        </is>
      </c>
      <c r="I85" s="117" t="inlineStr"/>
      <c r="J85" s="119" t="inlineStr">
        <is>
          <t>Partenariats &amp; activations</t>
        </is>
      </c>
    </row>
    <row r="86">
      <c r="C86" s="116" t="inlineStr">
        <is>
          <t>kpi.com.activations</t>
        </is>
      </c>
      <c r="D86" s="117" t="inlineStr">
        <is>
          <t>Activations annonceurs</t>
        </is>
      </c>
      <c r="E86" s="117" t="inlineStr">
        <is>
          <t>Advertiser activations</t>
        </is>
      </c>
      <c r="F86" s="117" t="inlineStr">
        <is>
          <t>nb</t>
        </is>
      </c>
      <c r="G86" s="118" t="inlineStr">
        <is>
          <t>SUM</t>
        </is>
      </c>
      <c r="H86" s="117" t="inlineStr">
        <is>
          <t>com</t>
        </is>
      </c>
      <c r="I86" s="117" t="inlineStr"/>
      <c r="J86" s="119" t="inlineStr">
        <is>
          <t>Partenariats &amp; activations</t>
        </is>
      </c>
    </row>
    <row r="87">
      <c r="C87" s="116" t="inlineStr">
        <is>
          <t>kpi.com.activation_rev</t>
        </is>
      </c>
      <c r="D87" s="117" t="inlineStr">
        <is>
          <t>Revenus activations</t>
        </is>
      </c>
      <c r="E87" s="117" t="inlineStr">
        <is>
          <t>Activation revenue</t>
        </is>
      </c>
      <c r="F87" s="117" t="inlineStr">
        <is>
          <t>FCFA</t>
        </is>
      </c>
      <c r="G87" s="118" t="inlineStr">
        <is>
          <t>SUM</t>
        </is>
      </c>
      <c r="H87" s="117" t="inlineStr">
        <is>
          <t>com</t>
        </is>
      </c>
      <c r="I87" s="117" t="inlineStr"/>
      <c r="J87" s="119" t="inlineStr">
        <is>
          <t>Partenariats &amp; activations</t>
        </is>
      </c>
    </row>
    <row r="88">
      <c r="C88" s="116" t="inlineStr">
        <is>
          <t>kpi.com.discount</t>
        </is>
      </c>
      <c r="D88" s="117" t="inlineStr">
        <is>
          <t>Escompte % CA brut</t>
        </is>
      </c>
      <c r="E88" s="117" t="inlineStr">
        <is>
          <t>Discount % gross</t>
        </is>
      </c>
      <c r="F88" s="117" t="inlineStr">
        <is>
          <t>%</t>
        </is>
      </c>
      <c r="G88" s="118" t="inlineStr">
        <is>
          <t>RATIO</t>
        </is>
      </c>
      <c r="H88" s="117" t="inlineStr">
        <is>
          <t>com</t>
        </is>
      </c>
      <c r="I88" s="117" t="inlineStr"/>
      <c r="J88" s="119" t="inlineStr">
        <is>
          <t>Remises</t>
        </is>
      </c>
    </row>
    <row r="89">
      <c r="C89" s="116" t="inlineStr">
        <is>
          <t>kpi.hsse.incidents</t>
        </is>
      </c>
      <c r="D89" s="117" t="inlineStr">
        <is>
          <t>Incidents</t>
        </is>
      </c>
      <c r="E89" s="117" t="inlineStr">
        <is>
          <t>Incidents</t>
        </is>
      </c>
      <c r="F89" s="117" t="inlineStr">
        <is>
          <t>nb</t>
        </is>
      </c>
      <c r="G89" s="118" t="inlineStr">
        <is>
          <t>SUM</t>
        </is>
      </c>
      <c r="H89" s="117" t="inlineStr">
        <is>
          <t>hsse</t>
        </is>
      </c>
      <c r="I89" s="117" t="inlineStr"/>
      <c r="J89" s="119" t="inlineStr">
        <is>
          <t>Incidents</t>
        </is>
      </c>
    </row>
    <row r="90">
      <c r="C90" s="116" t="inlineStr">
        <is>
          <t>kpi.hsse.incident_sev</t>
        </is>
      </c>
      <c r="D90" s="117" t="inlineStr">
        <is>
          <t>Gravité incidents</t>
        </is>
      </c>
      <c r="E90" s="117" t="inlineStr">
        <is>
          <t>Incident severity</t>
        </is>
      </c>
      <c r="F90" s="117" t="inlineStr">
        <is>
          <t>score</t>
        </is>
      </c>
      <c r="G90" s="118" t="inlineStr">
        <is>
          <t>AVG</t>
        </is>
      </c>
      <c r="H90" s="117" t="inlineStr">
        <is>
          <t>hsse</t>
        </is>
      </c>
      <c r="I90" s="117" t="inlineStr"/>
      <c r="J90" s="119" t="inlineStr">
        <is>
          <t>Incidents</t>
        </is>
      </c>
    </row>
    <row r="91">
      <c r="C91" s="116" t="inlineStr">
        <is>
          <t>kpi.hsse.tf</t>
        </is>
      </c>
      <c r="D91" s="117" t="inlineStr">
        <is>
          <t>Taux de fréquence</t>
        </is>
      </c>
      <c r="E91" s="117" t="inlineStr">
        <is>
          <t>Frequency rate</t>
        </is>
      </c>
      <c r="F91" s="117" t="inlineStr">
        <is>
          <t>TF</t>
        </is>
      </c>
      <c r="G91" s="118" t="inlineStr">
        <is>
          <t>RATIO</t>
        </is>
      </c>
      <c r="H91" s="117" t="inlineStr">
        <is>
          <t>hsse</t>
        </is>
      </c>
      <c r="I91" s="117" t="inlineStr"/>
      <c r="J91" s="119" t="inlineStr">
        <is>
          <t>Accidentologie</t>
        </is>
      </c>
    </row>
    <row r="92">
      <c r="C92" s="116" t="inlineStr">
        <is>
          <t>kpi.hsse.tg</t>
        </is>
      </c>
      <c r="D92" s="117" t="inlineStr">
        <is>
          <t>Taux de gravité</t>
        </is>
      </c>
      <c r="E92" s="117" t="inlineStr">
        <is>
          <t>Severity rate</t>
        </is>
      </c>
      <c r="F92" s="117" t="inlineStr">
        <is>
          <t>TG</t>
        </is>
      </c>
      <c r="G92" s="118" t="inlineStr">
        <is>
          <t>RATIO</t>
        </is>
      </c>
      <c r="H92" s="117" t="inlineStr">
        <is>
          <t>hsse</t>
        </is>
      </c>
      <c r="I92" s="117" t="inlineStr"/>
      <c r="J92" s="119" t="inlineStr">
        <is>
          <t>Accidentologie</t>
        </is>
      </c>
    </row>
    <row r="93">
      <c r="C93" s="116" t="inlineStr">
        <is>
          <t>kpi.hsse.nearmiss</t>
        </is>
      </c>
      <c r="D93" s="117" t="inlineStr">
        <is>
          <t>Presqu'accidents</t>
        </is>
      </c>
      <c r="E93" s="117" t="inlineStr">
        <is>
          <t>Near-misses</t>
        </is>
      </c>
      <c r="F93" s="117" t="inlineStr">
        <is>
          <t>nb</t>
        </is>
      </c>
      <c r="G93" s="118" t="inlineStr">
        <is>
          <t>SUM</t>
        </is>
      </c>
      <c r="H93" s="117" t="inlineStr">
        <is>
          <t>hsse</t>
        </is>
      </c>
      <c r="I93" s="117" t="inlineStr"/>
      <c r="J93" s="119" t="inlineStr">
        <is>
          <t>Accidentologie</t>
        </is>
      </c>
    </row>
    <row r="94">
      <c r="C94" s="116" t="inlineStr">
        <is>
          <t>kpi.hsse.days_no_lti</t>
        </is>
      </c>
      <c r="D94" s="117" t="inlineStr">
        <is>
          <t>Jours sans accident</t>
        </is>
      </c>
      <c r="E94" s="117" t="inlineStr">
        <is>
          <t>Days w/o LTI</t>
        </is>
      </c>
      <c r="F94" s="117" t="inlineStr">
        <is>
          <t>j</t>
        </is>
      </c>
      <c r="G94" s="118" t="inlineStr">
        <is>
          <t>LAST</t>
        </is>
      </c>
      <c r="H94" s="117" t="inlineStr">
        <is>
          <t>hsse</t>
        </is>
      </c>
      <c r="I94" s="117" t="inlineStr"/>
      <c r="J94" s="119" t="inlineStr">
        <is>
          <t>Accidentologie</t>
        </is>
      </c>
    </row>
    <row r="95">
      <c r="C95" s="116" t="inlineStr">
        <is>
          <t>kpi.hsse.evac_drills</t>
        </is>
      </c>
      <c r="D95" s="117" t="inlineStr">
        <is>
          <t>Exercices d'évacuation</t>
        </is>
      </c>
      <c r="E95" s="117" t="inlineStr">
        <is>
          <t>Evacuation drills</t>
        </is>
      </c>
      <c r="F95" s="117" t="inlineStr">
        <is>
          <t>nb</t>
        </is>
      </c>
      <c r="G95" s="118" t="inlineStr">
        <is>
          <t>SUM</t>
        </is>
      </c>
      <c r="H95" s="117" t="inlineStr">
        <is>
          <t>hsse</t>
        </is>
      </c>
      <c r="I95" s="117" t="inlineStr"/>
      <c r="J95" s="119" t="inlineStr">
        <is>
          <t>Sécurité incendie</t>
        </is>
      </c>
    </row>
    <row r="96">
      <c r="C96" s="116" t="inlineStr">
        <is>
          <t>kpi.hsse.fire_conform</t>
        </is>
      </c>
      <c r="D96" s="117" t="inlineStr">
        <is>
          <t>Conformité incendie</t>
        </is>
      </c>
      <c r="E96" s="117" t="inlineStr">
        <is>
          <t>Fire safety conformity</t>
        </is>
      </c>
      <c r="F96" s="117" t="inlineStr">
        <is>
          <t>%</t>
        </is>
      </c>
      <c r="G96" s="118" t="inlineStr">
        <is>
          <t>AVG</t>
        </is>
      </c>
      <c r="H96" s="117" t="inlineStr">
        <is>
          <t>hsse</t>
        </is>
      </c>
      <c r="I96" s="117" t="inlineStr"/>
      <c r="J96" s="119" t="inlineStr">
        <is>
          <t>Sécurité incendie</t>
        </is>
      </c>
    </row>
    <row r="97">
      <c r="C97" s="116" t="inlineStr">
        <is>
          <t>kpi.hsse.fire_alarms</t>
        </is>
      </c>
      <c r="D97" s="117" t="inlineStr">
        <is>
          <t>Déclenchements alarme</t>
        </is>
      </c>
      <c r="E97" s="117" t="inlineStr">
        <is>
          <t>Fire alarm triggers</t>
        </is>
      </c>
      <c r="F97" s="117" t="inlineStr">
        <is>
          <t>nb</t>
        </is>
      </c>
      <c r="G97" s="118" t="inlineStr">
        <is>
          <t>SUM</t>
        </is>
      </c>
      <c r="H97" s="117" t="inlineStr">
        <is>
          <t>hsse</t>
        </is>
      </c>
      <c r="I97" s="117" t="inlineStr"/>
      <c r="J97" s="119" t="inlineStr">
        <is>
          <t>Sécurité incendie</t>
        </is>
      </c>
    </row>
    <row r="98">
      <c r="C98" s="116" t="inlineStr">
        <is>
          <t>kpi.hsse.evac_time</t>
        </is>
      </c>
      <c r="D98" s="117" t="inlineStr">
        <is>
          <t>Temps d'évacuation</t>
        </is>
      </c>
      <c r="E98" s="117" t="inlineStr">
        <is>
          <t>Evacuation time</t>
        </is>
      </c>
      <c r="F98" s="117" t="inlineStr">
        <is>
          <t>min</t>
        </is>
      </c>
      <c r="G98" s="118" t="inlineStr">
        <is>
          <t>AVG</t>
        </is>
      </c>
      <c r="H98" s="117" t="inlineStr">
        <is>
          <t>hsse</t>
        </is>
      </c>
      <c r="I98" s="117" t="inlineStr"/>
      <c r="J98" s="119" t="inlineStr">
        <is>
          <t>Sécurité incendie</t>
        </is>
      </c>
    </row>
    <row r="99">
      <c r="C99" s="116" t="inlineStr">
        <is>
          <t>kpi.hsse.sec_interv</t>
        </is>
      </c>
      <c r="D99" s="117" t="inlineStr">
        <is>
          <t>Interventions sûreté</t>
        </is>
      </c>
      <c r="E99" s="117" t="inlineStr">
        <is>
          <t>Security interventions</t>
        </is>
      </c>
      <c r="F99" s="117" t="inlineStr">
        <is>
          <t>nb</t>
        </is>
      </c>
      <c r="G99" s="118" t="inlineStr">
        <is>
          <t>SUM</t>
        </is>
      </c>
      <c r="H99" s="117" t="inlineStr">
        <is>
          <t>hsse</t>
        </is>
      </c>
      <c r="I99" s="117" t="inlineStr"/>
      <c r="J99" s="119" t="inlineStr">
        <is>
          <t>Sûreté</t>
        </is>
      </c>
    </row>
    <row r="100">
      <c r="C100" s="116" t="inlineStr">
        <is>
          <t>kpi.hsse.theft</t>
        </is>
      </c>
      <c r="D100" s="117" t="inlineStr">
        <is>
          <t>Vols / malveillance</t>
        </is>
      </c>
      <c r="E100" s="117" t="inlineStr">
        <is>
          <t>Theft / malice events</t>
        </is>
      </c>
      <c r="F100" s="117" t="inlineStr">
        <is>
          <t>nb</t>
        </is>
      </c>
      <c r="G100" s="118" t="inlineStr">
        <is>
          <t>SUM</t>
        </is>
      </c>
      <c r="H100" s="117" t="inlineStr">
        <is>
          <t>hsse</t>
        </is>
      </c>
      <c r="I100" s="117" t="inlineStr"/>
      <c r="J100" s="119" t="inlineStr">
        <is>
          <t>Sûreté</t>
        </is>
      </c>
    </row>
    <row r="101">
      <c r="C101" s="116" t="inlineStr">
        <is>
          <t>kpi.hsse.cctv</t>
        </is>
      </c>
      <c r="D101" s="117" t="inlineStr">
        <is>
          <t>Couverture CCTV</t>
        </is>
      </c>
      <c r="E101" s="117" t="inlineStr">
        <is>
          <t>CCTV coverage</t>
        </is>
      </c>
      <c r="F101" s="117" t="inlineStr">
        <is>
          <t>%</t>
        </is>
      </c>
      <c r="G101" s="118" t="inlineStr">
        <is>
          <t>AVG</t>
        </is>
      </c>
      <c r="H101" s="117" t="inlineStr">
        <is>
          <t>hsse</t>
        </is>
      </c>
      <c r="I101" s="117" t="inlineStr"/>
      <c r="J101" s="119" t="inlineStr">
        <is>
          <t>Sûreté</t>
        </is>
      </c>
    </row>
    <row r="102">
      <c r="C102" s="116" t="inlineStr">
        <is>
          <t>kpi.hsse.guards</t>
        </is>
      </c>
      <c r="D102" s="117" t="inlineStr">
        <is>
          <t>Agents déployés</t>
        </is>
      </c>
      <c r="E102" s="117" t="inlineStr">
        <is>
          <t>Guards deployed</t>
        </is>
      </c>
      <c r="F102" s="117" t="inlineStr">
        <is>
          <t>nb</t>
        </is>
      </c>
      <c r="G102" s="118" t="inlineStr">
        <is>
          <t>LAST</t>
        </is>
      </c>
      <c r="H102" s="117" t="inlineStr">
        <is>
          <t>hsse</t>
        </is>
      </c>
      <c r="I102" s="117" t="inlineStr"/>
      <c r="J102" s="119" t="inlineStr">
        <is>
          <t>Sûreté</t>
        </is>
      </c>
    </row>
    <row r="103">
      <c r="C103" s="116" t="inlineStr">
        <is>
          <t>kpi.hsse.risks_id</t>
        </is>
      </c>
      <c r="D103" s="117" t="inlineStr">
        <is>
          <t>Risques identifiés</t>
        </is>
      </c>
      <c r="E103" s="117" t="inlineStr">
        <is>
          <t>Risks identified</t>
        </is>
      </c>
      <c r="F103" s="117" t="inlineStr">
        <is>
          <t>nb</t>
        </is>
      </c>
      <c r="G103" s="118" t="inlineStr">
        <is>
          <t>SUM</t>
        </is>
      </c>
      <c r="H103" s="117" t="inlineStr">
        <is>
          <t>hsse</t>
        </is>
      </c>
      <c r="I103" s="117" t="inlineStr"/>
      <c r="J103" s="119" t="inlineStr">
        <is>
          <t>Gestion des risques</t>
        </is>
      </c>
    </row>
    <row r="104">
      <c r="C104" s="116" t="inlineStr">
        <is>
          <t>kpi.hsse.risks_treated</t>
        </is>
      </c>
      <c r="D104" s="117" t="inlineStr">
        <is>
          <t>Risques traités</t>
        </is>
      </c>
      <c r="E104" s="117" t="inlineStr">
        <is>
          <t>Risks treated</t>
        </is>
      </c>
      <c r="F104" s="117" t="inlineStr">
        <is>
          <t>%</t>
        </is>
      </c>
      <c r="G104" s="118" t="inlineStr">
        <is>
          <t>AVG</t>
        </is>
      </c>
      <c r="H104" s="117" t="inlineStr">
        <is>
          <t>hsse</t>
        </is>
      </c>
      <c r="I104" s="117" t="inlineStr"/>
      <c r="J104" s="119" t="inlineStr">
        <is>
          <t>Gestion des risques</t>
        </is>
      </c>
    </row>
    <row r="105">
      <c r="C105" s="116" t="inlineStr">
        <is>
          <t>kpi.hsse.action_close</t>
        </is>
      </c>
      <c r="D105" s="117" t="inlineStr">
        <is>
          <t>Clôture plan d'actions</t>
        </is>
      </c>
      <c r="E105" s="117" t="inlineStr">
        <is>
          <t>Action closure</t>
        </is>
      </c>
      <c r="F105" s="117" t="inlineStr">
        <is>
          <t>%</t>
        </is>
      </c>
      <c r="G105" s="118" t="inlineStr">
        <is>
          <t>AVG</t>
        </is>
      </c>
      <c r="H105" s="117" t="inlineStr">
        <is>
          <t>hsse</t>
        </is>
      </c>
      <c r="I105" s="117" t="inlineStr">
        <is>
          <t>✓</t>
        </is>
      </c>
      <c r="J105" s="119" t="inlineStr">
        <is>
          <t>Gestion des risques</t>
        </is>
      </c>
    </row>
    <row r="106">
      <c r="C106" s="116" t="inlineStr">
        <is>
          <t>kpi.hsse.audits</t>
        </is>
      </c>
      <c r="D106" s="117" t="inlineStr">
        <is>
          <t>Audits réalisés</t>
        </is>
      </c>
      <c r="E106" s="117" t="inlineStr">
        <is>
          <t>Audits done</t>
        </is>
      </c>
      <c r="F106" s="117" t="inlineStr">
        <is>
          <t>nb</t>
        </is>
      </c>
      <c r="G106" s="118" t="inlineStr">
        <is>
          <t>SUM</t>
        </is>
      </c>
      <c r="H106" s="117" t="inlineStr">
        <is>
          <t>hsse</t>
        </is>
      </c>
      <c r="I106" s="117" t="inlineStr"/>
      <c r="J106" s="119" t="inlineStr">
        <is>
          <t>Gestion des risques</t>
        </is>
      </c>
    </row>
    <row r="107">
      <c r="C107" s="116" t="inlineStr">
        <is>
          <t>kpi.hsse.train_cover</t>
        </is>
      </c>
      <c r="D107" s="117" t="inlineStr">
        <is>
          <t>Couverture form. HSSE</t>
        </is>
      </c>
      <c r="E107" s="117" t="inlineStr">
        <is>
          <t>HSSE training cov.</t>
        </is>
      </c>
      <c r="F107" s="117" t="inlineStr">
        <is>
          <t>%</t>
        </is>
      </c>
      <c r="G107" s="118" t="inlineStr">
        <is>
          <t>AVG</t>
        </is>
      </c>
      <c r="H107" s="117" t="inlineStr">
        <is>
          <t>hsse</t>
        </is>
      </c>
      <c r="I107" s="117" t="inlineStr">
        <is>
          <t>✓</t>
        </is>
      </c>
      <c r="J107" s="119" t="inlineStr">
        <is>
          <t>Formation HSSE</t>
        </is>
      </c>
    </row>
    <row r="108">
      <c r="C108" s="116" t="inlineStr">
        <is>
          <t>kpi.fac.prev_corr</t>
        </is>
      </c>
      <c r="D108" s="117" t="inlineStr">
        <is>
          <t>Préventif/correctif</t>
        </is>
      </c>
      <c r="E108" s="117" t="inlineStr">
        <is>
          <t>Preventive/corrective</t>
        </is>
      </c>
      <c r="F108" s="117" t="inlineStr">
        <is>
          <t>%</t>
        </is>
      </c>
      <c r="G108" s="118" t="inlineStr">
        <is>
          <t>AVG</t>
        </is>
      </c>
      <c r="H108" s="117" t="inlineStr">
        <is>
          <t>fac</t>
        </is>
      </c>
      <c r="I108" s="117" t="inlineStr"/>
      <c r="J108" s="119" t="inlineStr">
        <is>
          <t>Maintenance prév./corr.</t>
        </is>
      </c>
    </row>
    <row r="109">
      <c r="C109" s="116" t="inlineStr">
        <is>
          <t>kpi.fac.wo_prev</t>
        </is>
      </c>
      <c r="D109" s="117" t="inlineStr">
        <is>
          <t>OT préventifs</t>
        </is>
      </c>
      <c r="E109" s="117" t="inlineStr">
        <is>
          <t>Preventive WOs</t>
        </is>
      </c>
      <c r="F109" s="117" t="inlineStr">
        <is>
          <t>nb</t>
        </is>
      </c>
      <c r="G109" s="118" t="inlineStr">
        <is>
          <t>SUM</t>
        </is>
      </c>
      <c r="H109" s="117" t="inlineStr">
        <is>
          <t>fac</t>
        </is>
      </c>
      <c r="I109" s="117" t="inlineStr"/>
      <c r="J109" s="119" t="inlineStr">
        <is>
          <t>Maintenance prév./corr.</t>
        </is>
      </c>
    </row>
    <row r="110">
      <c r="C110" s="116" t="inlineStr">
        <is>
          <t>kpi.fac.wo_corr</t>
        </is>
      </c>
      <c r="D110" s="117" t="inlineStr">
        <is>
          <t>OT correctifs</t>
        </is>
      </c>
      <c r="E110" s="117" t="inlineStr">
        <is>
          <t>Corrective WOs</t>
        </is>
      </c>
      <c r="F110" s="117" t="inlineStr">
        <is>
          <t>nb</t>
        </is>
      </c>
      <c r="G110" s="118" t="inlineStr">
        <is>
          <t>SUM</t>
        </is>
      </c>
      <c r="H110" s="117" t="inlineStr">
        <is>
          <t>fac</t>
        </is>
      </c>
      <c r="I110" s="117" t="inlineStr"/>
      <c r="J110" s="119" t="inlineStr">
        <is>
          <t>Maintenance prév./corr.</t>
        </is>
      </c>
    </row>
    <row r="111">
      <c r="C111" s="116" t="inlineStr">
        <is>
          <t>kpi.fac.ot_backlog</t>
        </is>
      </c>
      <c r="D111" s="117" t="inlineStr">
        <is>
          <t>Backlog d'OT</t>
        </is>
      </c>
      <c r="E111" s="117" t="inlineStr">
        <is>
          <t>WO backlog</t>
        </is>
      </c>
      <c r="F111" s="117" t="inlineStr">
        <is>
          <t>nb</t>
        </is>
      </c>
      <c r="G111" s="118" t="inlineStr">
        <is>
          <t>LAST</t>
        </is>
      </c>
      <c r="H111" s="117" t="inlineStr">
        <is>
          <t>fac</t>
        </is>
      </c>
      <c r="I111" s="117" t="inlineStr"/>
      <c r="J111" s="119" t="inlineStr">
        <is>
          <t>Tickets OT</t>
        </is>
      </c>
    </row>
    <row r="112">
      <c r="C112" s="116" t="inlineStr">
        <is>
          <t>kpi.fac.mttr</t>
        </is>
      </c>
      <c r="D112" s="117" t="inlineStr">
        <is>
          <t>MTTR</t>
        </is>
      </c>
      <c r="E112" s="117" t="inlineStr">
        <is>
          <t>Mean Time To Repair</t>
        </is>
      </c>
      <c r="F112" s="117" t="inlineStr">
        <is>
          <t>h</t>
        </is>
      </c>
      <c r="G112" s="118" t="inlineStr">
        <is>
          <t>AVG</t>
        </is>
      </c>
      <c r="H112" s="117" t="inlineStr">
        <is>
          <t>fac</t>
        </is>
      </c>
      <c r="I112" s="117" t="inlineStr"/>
      <c r="J112" s="119" t="inlineStr">
        <is>
          <t>Tickets OT</t>
        </is>
      </c>
    </row>
    <row r="113">
      <c r="C113" s="116" t="inlineStr">
        <is>
          <t>kpi.fac.ot_opened</t>
        </is>
      </c>
      <c r="D113" s="117" t="inlineStr">
        <is>
          <t>OT ouverts</t>
        </is>
      </c>
      <c r="E113" s="117" t="inlineStr">
        <is>
          <t>WOs opened</t>
        </is>
      </c>
      <c r="F113" s="117" t="inlineStr">
        <is>
          <t>nb</t>
        </is>
      </c>
      <c r="G113" s="118" t="inlineStr">
        <is>
          <t>SUM</t>
        </is>
      </c>
      <c r="H113" s="117" t="inlineStr">
        <is>
          <t>fac</t>
        </is>
      </c>
      <c r="I113" s="117" t="inlineStr"/>
      <c r="J113" s="119" t="inlineStr">
        <is>
          <t>Tickets OT</t>
        </is>
      </c>
    </row>
    <row r="114">
      <c r="C114" s="116" t="inlineStr">
        <is>
          <t>kpi.fac.ot_closed</t>
        </is>
      </c>
      <c r="D114" s="117" t="inlineStr">
        <is>
          <t>OT clôturés</t>
        </is>
      </c>
      <c r="E114" s="117" t="inlineStr">
        <is>
          <t>WOs closed</t>
        </is>
      </c>
      <c r="F114" s="117" t="inlineStr">
        <is>
          <t>nb</t>
        </is>
      </c>
      <c r="G114" s="118" t="inlineStr">
        <is>
          <t>SUM</t>
        </is>
      </c>
      <c r="H114" s="117" t="inlineStr">
        <is>
          <t>fac</t>
        </is>
      </c>
      <c r="I114" s="117" t="inlineStr"/>
      <c r="J114" s="119" t="inlineStr">
        <is>
          <t>Tickets OT</t>
        </is>
      </c>
    </row>
    <row r="115">
      <c r="C115" s="116" t="inlineStr">
        <is>
          <t>kpi.fac.energy_int</t>
        </is>
      </c>
      <c r="D115" s="117" t="inlineStr">
        <is>
          <t>Intensité énergétique</t>
        </is>
      </c>
      <c r="E115" s="117" t="inlineStr">
        <is>
          <t>Energy intensity</t>
        </is>
      </c>
      <c r="F115" s="117" t="inlineStr">
        <is>
          <t>kWh/m²</t>
        </is>
      </c>
      <c r="G115" s="118" t="inlineStr">
        <is>
          <t>RATIO</t>
        </is>
      </c>
      <c r="H115" s="117" t="inlineStr">
        <is>
          <t>fac</t>
        </is>
      </c>
      <c r="I115" s="117" t="inlineStr">
        <is>
          <t>✓</t>
        </is>
      </c>
      <c r="J115" s="119" t="inlineStr">
        <is>
          <t>Énergie &amp; utilities</t>
        </is>
      </c>
    </row>
    <row r="116">
      <c r="C116" s="116" t="inlineStr">
        <is>
          <t>kpi.fac.util_cost</t>
        </is>
      </c>
      <c r="D116" s="117" t="inlineStr">
        <is>
          <t>Coût utilities vs budget</t>
        </is>
      </c>
      <c r="E116" s="117" t="inlineStr">
        <is>
          <t>Utilities vs budget</t>
        </is>
      </c>
      <c r="F116" s="117" t="inlineStr">
        <is>
          <t>%</t>
        </is>
      </c>
      <c r="G116" s="118" t="inlineStr">
        <is>
          <t>RATIO</t>
        </is>
      </c>
      <c r="H116" s="117" t="inlineStr">
        <is>
          <t>fac</t>
        </is>
      </c>
      <c r="I116" s="117" t="inlineStr"/>
      <c r="J116" s="119" t="inlineStr">
        <is>
          <t>Énergie &amp; utilities</t>
        </is>
      </c>
    </row>
    <row r="117">
      <c r="C117" s="116" t="inlineStr">
        <is>
          <t>kpi.fac.consumption</t>
        </is>
      </c>
      <c r="D117" s="117" t="inlineStr">
        <is>
          <t>Conso eau/élec</t>
        </is>
      </c>
      <c r="E117" s="117" t="inlineStr">
        <is>
          <t>Water/power use</t>
        </is>
      </c>
      <c r="F117" s="117" t="inlineStr">
        <is>
          <t>unité</t>
        </is>
      </c>
      <c r="G117" s="118" t="inlineStr">
        <is>
          <t>SUM</t>
        </is>
      </c>
      <c r="H117" s="117" t="inlineStr">
        <is>
          <t>fac</t>
        </is>
      </c>
      <c r="I117" s="117" t="inlineStr">
        <is>
          <t>✓</t>
        </is>
      </c>
      <c r="J117" s="119" t="inlineStr">
        <is>
          <t>Énergie &amp; utilities</t>
        </is>
      </c>
    </row>
    <row r="118">
      <c r="C118" s="116" t="inlineStr">
        <is>
          <t>kpi.fac.capex</t>
        </is>
      </c>
      <c r="D118" s="117" t="inlineStr">
        <is>
          <t>Suivi CAPEX</t>
        </is>
      </c>
      <c r="E118" s="117" t="inlineStr">
        <is>
          <t>CAPEX tracking</t>
        </is>
      </c>
      <c r="F118" s="117" t="inlineStr">
        <is>
          <t>FCFA</t>
        </is>
      </c>
      <c r="G118" s="118" t="inlineStr">
        <is>
          <t>SUM</t>
        </is>
      </c>
      <c r="H118" s="117" t="inlineStr">
        <is>
          <t>fac</t>
        </is>
      </c>
      <c r="I118" s="117" t="inlineStr">
        <is>
          <t>✓</t>
        </is>
      </c>
      <c r="J118" s="119" t="inlineStr">
        <is>
          <t>CAPEX</t>
        </is>
      </c>
    </row>
    <row r="119">
      <c r="C119" s="116" t="inlineStr">
        <is>
          <t>kpi.fac.capex_var</t>
        </is>
      </c>
      <c r="D119" s="117" t="inlineStr">
        <is>
          <t>CAPEX vs budget</t>
        </is>
      </c>
      <c r="E119" s="117" t="inlineStr">
        <is>
          <t>CAPEX vs budget</t>
        </is>
      </c>
      <c r="F119" s="117" t="inlineStr">
        <is>
          <t>%</t>
        </is>
      </c>
      <c r="G119" s="118" t="inlineStr">
        <is>
          <t>RATIO</t>
        </is>
      </c>
      <c r="H119" s="117" t="inlineStr">
        <is>
          <t>fac</t>
        </is>
      </c>
      <c r="I119" s="117" t="inlineStr"/>
      <c r="J119" s="119" t="inlineStr">
        <is>
          <t>CAPEX</t>
        </is>
      </c>
    </row>
    <row r="120">
      <c r="C120" s="116" t="inlineStr">
        <is>
          <t>kpi.fac.capex_proj</t>
        </is>
      </c>
      <c r="D120" s="117" t="inlineStr">
        <is>
          <t>Projets CAPEX en cours</t>
        </is>
      </c>
      <c r="E120" s="117" t="inlineStr">
        <is>
          <t>CAPEX projects</t>
        </is>
      </c>
      <c r="F120" s="117" t="inlineStr">
        <is>
          <t>nb</t>
        </is>
      </c>
      <c r="G120" s="118" t="inlineStr">
        <is>
          <t>LAST</t>
        </is>
      </c>
      <c r="H120" s="117" t="inlineStr">
        <is>
          <t>fac</t>
        </is>
      </c>
      <c r="I120" s="117" t="inlineStr"/>
      <c r="J120" s="119" t="inlineStr">
        <is>
          <t>CAPEX</t>
        </is>
      </c>
    </row>
    <row r="121">
      <c r="C121" s="116" t="inlineStr">
        <is>
          <t>kpi.fac.inspections</t>
        </is>
      </c>
      <c r="D121" s="117" t="inlineStr">
        <is>
          <t>Inspections réalisées</t>
        </is>
      </c>
      <c r="E121" s="117" t="inlineStr">
        <is>
          <t>Inspections done</t>
        </is>
      </c>
      <c r="F121" s="117" t="inlineStr">
        <is>
          <t>nb</t>
        </is>
      </c>
      <c r="G121" s="118" t="inlineStr">
        <is>
          <t>SUM</t>
        </is>
      </c>
      <c r="H121" s="117" t="inlineStr">
        <is>
          <t>fac</t>
        </is>
      </c>
      <c r="I121" s="117" t="inlineStr"/>
      <c r="J121" s="119" t="inlineStr">
        <is>
          <t>Inspections</t>
        </is>
      </c>
    </row>
    <row r="122">
      <c r="C122" s="116" t="inlineStr">
        <is>
          <t>kpi.fac.insp_conform</t>
        </is>
      </c>
      <c r="D122" s="117" t="inlineStr">
        <is>
          <t>Conformité inspections</t>
        </is>
      </c>
      <c r="E122" s="117" t="inlineStr">
        <is>
          <t>Inspection conformity</t>
        </is>
      </c>
      <c r="F122" s="117" t="inlineStr">
        <is>
          <t>%</t>
        </is>
      </c>
      <c r="G122" s="118" t="inlineStr">
        <is>
          <t>AVG</t>
        </is>
      </c>
      <c r="H122" s="117" t="inlineStr">
        <is>
          <t>fac</t>
        </is>
      </c>
      <c r="I122" s="117" t="inlineStr"/>
      <c r="J122" s="119" t="inlineStr">
        <is>
          <t>Inspections</t>
        </is>
      </c>
    </row>
    <row r="123">
      <c r="C123" s="116" t="inlineStr">
        <is>
          <t>kpi.fac.nonconform</t>
        </is>
      </c>
      <c r="D123" s="117" t="inlineStr">
        <is>
          <t>Non-conformités</t>
        </is>
      </c>
      <c r="E123" s="117" t="inlineStr">
        <is>
          <t>Non-conformities</t>
        </is>
      </c>
      <c r="F123" s="117" t="inlineStr">
        <is>
          <t>nb</t>
        </is>
      </c>
      <c r="G123" s="118" t="inlineStr">
        <is>
          <t>SUM</t>
        </is>
      </c>
      <c r="H123" s="117" t="inlineStr">
        <is>
          <t>fac</t>
        </is>
      </c>
      <c r="I123" s="117" t="inlineStr"/>
      <c r="J123" s="119" t="inlineStr">
        <is>
          <t>Inspections</t>
        </is>
      </c>
    </row>
    <row r="124">
      <c r="C124" s="116" t="inlineStr">
        <is>
          <t>kpi.fac.cleanliness</t>
        </is>
      </c>
      <c r="D124" s="117" t="inlineStr">
        <is>
          <t>Score propreté</t>
        </is>
      </c>
      <c r="E124" s="117" t="inlineStr">
        <is>
          <t>Cleanliness score</t>
        </is>
      </c>
      <c r="F124" s="117" t="inlineStr">
        <is>
          <t>score</t>
        </is>
      </c>
      <c r="G124" s="118" t="inlineStr">
        <is>
          <t>AVG</t>
        </is>
      </c>
      <c r="H124" s="117" t="inlineStr">
        <is>
          <t>fac</t>
        </is>
      </c>
      <c r="I124" s="117" t="inlineStr"/>
      <c r="J124" s="119" t="inlineStr">
        <is>
          <t>Hygiène &amp; propreté</t>
        </is>
      </c>
    </row>
    <row r="125">
      <c r="C125" s="116" t="inlineStr">
        <is>
          <t>kpi.fac.hygiene_audits</t>
        </is>
      </c>
      <c r="D125" s="117" t="inlineStr">
        <is>
          <t>Audits hygiène</t>
        </is>
      </c>
      <c r="E125" s="117" t="inlineStr">
        <is>
          <t>Hygiene audits</t>
        </is>
      </c>
      <c r="F125" s="117" t="inlineStr">
        <is>
          <t>nb</t>
        </is>
      </c>
      <c r="G125" s="118" t="inlineStr">
        <is>
          <t>SUM</t>
        </is>
      </c>
      <c r="H125" s="117" t="inlineStr">
        <is>
          <t>fac</t>
        </is>
      </c>
      <c r="I125" s="117" t="inlineStr"/>
      <c r="J125" s="119" t="inlineStr">
        <is>
          <t>Hygiène &amp; propreté</t>
        </is>
      </c>
    </row>
    <row r="126">
      <c r="C126" s="116" t="inlineStr">
        <is>
          <t>kpi.fac.clean_complaints</t>
        </is>
      </c>
      <c r="D126" s="117" t="inlineStr">
        <is>
          <t>Réclamations propreté</t>
        </is>
      </c>
      <c r="E126" s="117" t="inlineStr">
        <is>
          <t>Cleaning complaints</t>
        </is>
      </c>
      <c r="F126" s="117" t="inlineStr">
        <is>
          <t>nb</t>
        </is>
      </c>
      <c r="G126" s="118" t="inlineStr">
        <is>
          <t>SUM</t>
        </is>
      </c>
      <c r="H126" s="117" t="inlineStr">
        <is>
          <t>fac</t>
        </is>
      </c>
      <c r="I126" s="117" t="inlineStr"/>
      <c r="J126" s="119" t="inlineStr">
        <is>
          <t>Hygiène &amp; propreté</t>
        </is>
      </c>
    </row>
    <row r="127">
      <c r="C127" s="116" t="inlineStr">
        <is>
          <t>kpi.fac.sla</t>
        </is>
      </c>
      <c r="D127" s="117" t="inlineStr">
        <is>
          <t>Conformité SLA</t>
        </is>
      </c>
      <c r="E127" s="117" t="inlineStr">
        <is>
          <t>Vendor SLA</t>
        </is>
      </c>
      <c r="F127" s="117" t="inlineStr">
        <is>
          <t>%</t>
        </is>
      </c>
      <c r="G127" s="118" t="inlineStr">
        <is>
          <t>AVG</t>
        </is>
      </c>
      <c r="H127" s="117" t="inlineStr">
        <is>
          <t>fac</t>
        </is>
      </c>
      <c r="I127" s="117" t="inlineStr"/>
      <c r="J127" s="119" t="inlineStr">
        <is>
          <t>SLA prestataires</t>
        </is>
      </c>
    </row>
    <row r="130">
      <c r="C130" s="120" t="inlineStr">
        <is>
          <t>MÉTHODOLOGIE &amp; NOTES</t>
        </is>
      </c>
    </row>
    <row r="131">
      <c r="C131" s="121" t="inlineStr">
        <is>
          <t>• Rapport mono-onglet « Rapport Cosmos » : couverture → synthèse → 8 départements, chacun en sous-modules (H2),</t>
        </is>
      </c>
    </row>
    <row r="132">
      <c r="C132" s="120" t="inlineStr">
        <is>
          <t xml:space="preserve">  chaque sous-module = tableau KPI + faits marquants + zone commentaire ; sauts de page entre départements.</t>
        </is>
      </c>
    </row>
    <row r="133">
      <c r="C133" s="121" t="inlineStr">
        <is>
          <t>• i18n : cellules =IF(LANG="EN",INDEX(I18N_EN,…),INDEX(I18N_FR,…)) ; bascule LANG (FR/EN) sur M0.</t>
        </is>
      </c>
    </row>
    <row r="134">
      <c r="C134" s="121" t="inlineStr">
        <is>
          <t>• Moteur temporel : bornes P_/PP_/PY_ sur M0 (IF imbriqués) ; agrégation par KPI (SUM/AVG/LAST).</t>
        </is>
      </c>
    </row>
    <row r="135">
      <c r="C135" s="121" t="inlineStr">
        <is>
          <t>• RATIO : agrégé en moyenne mensuelle (v1) ; V2 = SUM(num)/SUM(den).</t>
        </is>
      </c>
    </row>
    <row r="136">
      <c r="C136" s="121" t="inlineStr">
        <is>
          <t>• RAG paramétrable : tbl_param_rag (M1) — sens UP/DOWN + seuils ; ref = budget sinon N-1.</t>
        </is>
      </c>
    </row>
    <row r="137">
      <c r="C137" s="121" t="inlineStr">
        <is>
          <t>• Saisie unique : chaque KPI de M3 référence sa collecte C1…C8 (cellules ambre, feuille protégée — mdp : cosmos).</t>
        </is>
      </c>
    </row>
    <row r="138">
      <c r="C138" s="121" t="inlineStr">
        <is>
          <t>• Graphiques : fenêtre 12 mois glissants non volatile (INDEX/MATCH sur P_END).</t>
        </is>
      </c>
    </row>
    <row r="139">
      <c r="C139" s="122" t="inlineStr"/>
    </row>
    <row r="140">
      <c r="C140" s="120" t="inlineStr">
        <is>
          <t>RACCOURCIS EXCEL 365 (Name Manager — équivalents LAMBDA, CDC §4.3 / Annexe B) :</t>
        </is>
      </c>
    </row>
    <row r="141">
      <c r="C141" s="123" t="inlineStr">
        <is>
          <t>T    = LAMBDA(k, XLOOKUP(k, I18N_KEY, IF(LANG="EN",I18N_EN,I18N_FR), k))</t>
        </is>
      </c>
    </row>
    <row r="142">
      <c r="C142" s="123" t="inlineStr">
        <is>
          <t>PVAL = LAMBDA(row,hdr,d1,d2,agg, SWITCH(agg,"SUM",SUMIFS(row,hdr,"&gt;="&amp;d1,hdr,"&lt;="&amp;d2),</t>
        </is>
      </c>
    </row>
    <row r="143">
      <c r="C143" s="123" t="inlineStr">
        <is>
          <t xml:space="preserve">        "AVG",AVERAGEIFS(row,hdr,"&gt;="&amp;d1,hdr,"&lt;="&amp;d2),"LAST",XLOOKUP(d2,hdr,row),0))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A742"/>
    <outlinePr summaryBelow="1" summaryRight="1"/>
    <pageSetUpPr/>
  </sheetPr>
  <dimension ref="A1:W161"/>
  <sheetViews>
    <sheetView showGridLines="0" workbookViewId="0">
      <selection activeCell="A1" sqref="A1"/>
    </sheetView>
  </sheetViews>
  <sheetFormatPr baseColWidth="8" defaultRowHeight="15"/>
  <cols>
    <col width="22" customWidth="1" min="2" max="2"/>
  </cols>
  <sheetData>
    <row r="1">
      <c r="A1" s="91" t="n"/>
      <c r="B1" s="106" t="inlineStr">
        <is>
          <t>M1 · PARAMÈTRES (RAG · budget · listes)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</row>
    <row r="2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</row>
    <row r="3">
      <c r="A3" s="91" t="n"/>
      <c r="B3" s="99" t="inlineStr">
        <is>
          <t>tbl_param_rag — seuils paramétrables</t>
        </is>
      </c>
      <c r="C3" s="91" t="n"/>
      <c r="D3" s="91" t="n"/>
      <c r="E3" s="91" t="n"/>
      <c r="F3" s="91" t="n"/>
      <c r="G3" s="91" t="n"/>
      <c r="H3" s="99" t="inlineStr">
        <is>
          <t>tbl_param_budget — budget mensuel (KPI × 12 mois)</t>
        </is>
      </c>
      <c r="I3" s="91" t="n"/>
      <c r="J3" s="91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</row>
    <row r="4">
      <c r="A4" s="91" t="n"/>
      <c r="B4" s="102" t="inlineStr">
        <is>
          <t>KEY</t>
        </is>
      </c>
      <c r="C4" s="102" t="inlineStr">
        <is>
          <t>SENS</t>
        </is>
      </c>
      <c r="D4" s="102" t="inlineStr">
        <is>
          <t>SEUIL_VERT</t>
        </is>
      </c>
      <c r="E4" s="102" t="inlineStr">
        <is>
          <t>SEUIL_AMBRE</t>
        </is>
      </c>
      <c r="F4" s="91" t="n"/>
      <c r="G4" s="102" t="inlineStr">
        <is>
          <t>KEY</t>
        </is>
      </c>
      <c r="H4" s="124" t="n">
        <v>1</v>
      </c>
      <c r="I4" s="124" t="n">
        <v>2</v>
      </c>
      <c r="J4" s="124" t="n">
        <v>3</v>
      </c>
      <c r="K4" s="124" t="n">
        <v>4</v>
      </c>
      <c r="L4" s="124" t="n">
        <v>5</v>
      </c>
      <c r="M4" s="124" t="n">
        <v>6</v>
      </c>
      <c r="N4" s="124" t="n">
        <v>7</v>
      </c>
      <c r="O4" s="124" t="n">
        <v>8</v>
      </c>
      <c r="P4" s="124" t="n">
        <v>9</v>
      </c>
      <c r="Q4" s="124" t="n">
        <v>10</v>
      </c>
      <c r="R4" s="124" t="n">
        <v>11</v>
      </c>
      <c r="S4" s="124" t="n">
        <v>12</v>
      </c>
      <c r="T4" s="91" t="n"/>
      <c r="U4" s="91" t="n"/>
      <c r="V4" s="91" t="n"/>
      <c r="W4" s="91" t="n"/>
    </row>
    <row r="5">
      <c r="A5" s="91" t="n"/>
      <c r="B5" s="125" t="inlineStr">
        <is>
          <t>kpi.rh.headcount</t>
        </is>
      </c>
      <c r="C5" s="126" t="inlineStr">
        <is>
          <t>UP</t>
        </is>
      </c>
      <c r="D5" s="127" t="n">
        <v>1</v>
      </c>
      <c r="E5" s="127" t="n">
        <v>0.95</v>
      </c>
      <c r="F5" s="91" t="n"/>
      <c r="G5" s="125" t="inlineStr">
        <is>
          <t>kpi.rh.headcount</t>
        </is>
      </c>
      <c r="H5" s="91" t="n"/>
      <c r="I5" s="91" t="n"/>
      <c r="J5" s="91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</row>
    <row r="6">
      <c r="A6" s="91" t="n"/>
      <c r="B6" s="125" t="inlineStr">
        <is>
          <t>kpi.rh.fte_gap</t>
        </is>
      </c>
      <c r="C6" s="126" t="inlineStr">
        <is>
          <t>DOWN</t>
        </is>
      </c>
      <c r="D6" s="127" t="n">
        <v>1</v>
      </c>
      <c r="E6" s="127" t="n">
        <v>1.05</v>
      </c>
      <c r="F6" s="91" t="n"/>
      <c r="G6" s="125" t="inlineStr">
        <is>
          <t>kpi.rh.fte_gap</t>
        </is>
      </c>
      <c r="H6" s="128" t="n">
        <v>5</v>
      </c>
      <c r="I6" s="128" t="n">
        <v>5</v>
      </c>
      <c r="J6" s="128" t="n">
        <v>5</v>
      </c>
      <c r="K6" s="128" t="n">
        <v>5</v>
      </c>
      <c r="L6" s="128" t="n">
        <v>5</v>
      </c>
      <c r="M6" s="128" t="n">
        <v>5</v>
      </c>
      <c r="N6" s="128" t="n">
        <v>5</v>
      </c>
      <c r="O6" s="128" t="n">
        <v>5</v>
      </c>
      <c r="P6" s="128" t="n">
        <v>5</v>
      </c>
      <c r="Q6" s="128" t="n">
        <v>5</v>
      </c>
      <c r="R6" s="128" t="n">
        <v>5</v>
      </c>
      <c r="S6" s="128" t="n">
        <v>5</v>
      </c>
      <c r="T6" s="91" t="n"/>
      <c r="U6" s="91" t="n"/>
      <c r="V6" s="91" t="n"/>
      <c r="W6" s="91" t="n"/>
    </row>
    <row r="7">
      <c r="A7" s="91" t="n"/>
      <c r="B7" s="125" t="inlineStr">
        <is>
          <t>kpi.rh.open_pos</t>
        </is>
      </c>
      <c r="C7" s="126" t="inlineStr">
        <is>
          <t>UP</t>
        </is>
      </c>
      <c r="D7" s="127" t="n">
        <v>1</v>
      </c>
      <c r="E7" s="127" t="n">
        <v>0.95</v>
      </c>
      <c r="F7" s="91" t="n"/>
      <c r="G7" s="125" t="inlineStr">
        <is>
          <t>kpi.rh.open_pos</t>
        </is>
      </c>
      <c r="H7" s="91" t="n"/>
      <c r="I7" s="91" t="n"/>
      <c r="J7" s="91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</row>
    <row r="8">
      <c r="A8" s="91" t="n"/>
      <c r="B8" s="125" t="inlineStr">
        <is>
          <t>kpi.rh.ttf</t>
        </is>
      </c>
      <c r="C8" s="126" t="inlineStr">
        <is>
          <t>DOWN</t>
        </is>
      </c>
      <c r="D8" s="127" t="n">
        <v>1</v>
      </c>
      <c r="E8" s="127" t="n">
        <v>1.05</v>
      </c>
      <c r="F8" s="91" t="n"/>
      <c r="G8" s="125" t="inlineStr">
        <is>
          <t>kpi.rh.ttf</t>
        </is>
      </c>
      <c r="H8" s="91" t="n"/>
      <c r="I8" s="91" t="n"/>
      <c r="J8" s="91" t="n"/>
      <c r="K8" s="91" t="n"/>
      <c r="L8" s="91" t="n"/>
      <c r="M8" s="91" t="n"/>
      <c r="N8" s="91" t="n"/>
      <c r="O8" s="91" t="n"/>
      <c r="P8" s="91" t="n"/>
      <c r="Q8" s="91" t="n"/>
      <c r="R8" s="91" t="n"/>
      <c r="S8" s="91" t="n"/>
      <c r="T8" s="91" t="n"/>
      <c r="U8" s="91" t="n"/>
      <c r="V8" s="91" t="n"/>
      <c r="W8" s="91" t="n"/>
    </row>
    <row r="9">
      <c r="A9" s="91" t="n"/>
      <c r="B9" s="125" t="inlineStr">
        <is>
          <t>kpi.rh.payroll</t>
        </is>
      </c>
      <c r="C9" s="126" t="inlineStr">
        <is>
          <t>UP</t>
        </is>
      </c>
      <c r="D9" s="127" t="n">
        <v>1</v>
      </c>
      <c r="E9" s="127" t="n">
        <v>0.95</v>
      </c>
      <c r="F9" s="91" t="n"/>
      <c r="G9" s="125" t="inlineStr">
        <is>
          <t>kpi.rh.payroll</t>
        </is>
      </c>
      <c r="H9" s="128" t="n">
        <v>85000000</v>
      </c>
      <c r="I9" s="128" t="n">
        <v>85850000</v>
      </c>
      <c r="J9" s="128" t="n">
        <v>86700000</v>
      </c>
      <c r="K9" s="128" t="n">
        <v>87550000</v>
      </c>
      <c r="L9" s="128" t="n">
        <v>88400000</v>
      </c>
      <c r="M9" s="128" t="n">
        <v>89250000</v>
      </c>
      <c r="N9" s="128" t="n">
        <v>90100000</v>
      </c>
      <c r="O9" s="128" t="n">
        <v>90950000</v>
      </c>
      <c r="P9" s="128" t="n">
        <v>91800000</v>
      </c>
      <c r="Q9" s="128" t="n">
        <v>92650000</v>
      </c>
      <c r="R9" s="128" t="n">
        <v>93500000</v>
      </c>
      <c r="S9" s="128" t="n">
        <v>94350000</v>
      </c>
      <c r="T9" s="91" t="n"/>
      <c r="U9" s="91" t="n"/>
      <c r="V9" s="91" t="n"/>
      <c r="W9" s="91" t="n"/>
    </row>
    <row r="10">
      <c r="A10" s="91" t="n"/>
      <c r="B10" s="125" t="inlineStr">
        <is>
          <t>kpi.rh.payroll_var</t>
        </is>
      </c>
      <c r="C10" s="126" t="inlineStr">
        <is>
          <t>UP</t>
        </is>
      </c>
      <c r="D10" s="127" t="n">
        <v>1</v>
      </c>
      <c r="E10" s="127" t="n">
        <v>0.95</v>
      </c>
      <c r="F10" s="91" t="n"/>
      <c r="G10" s="125" t="inlineStr">
        <is>
          <t>kpi.rh.payroll_var</t>
        </is>
      </c>
      <c r="H10" s="91" t="n"/>
      <c r="I10" s="91" t="n"/>
      <c r="J10" s="91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  <c r="T10" s="91" t="n"/>
      <c r="U10" s="91" t="n"/>
      <c r="V10" s="91" t="n"/>
      <c r="W10" s="91" t="n"/>
    </row>
    <row r="11">
      <c r="A11" s="91" t="n"/>
      <c r="B11" s="125" t="inlineStr">
        <is>
          <t>kpi.rh.turnover</t>
        </is>
      </c>
      <c r="C11" s="126" t="inlineStr">
        <is>
          <t>DOWN</t>
        </is>
      </c>
      <c r="D11" s="127" t="n">
        <v>1</v>
      </c>
      <c r="E11" s="127" t="n">
        <v>1.05</v>
      </c>
      <c r="F11" s="91" t="n"/>
      <c r="G11" s="125" t="inlineStr">
        <is>
          <t>kpi.rh.turnover</t>
        </is>
      </c>
      <c r="H11" s="91" t="n"/>
      <c r="I11" s="91" t="n"/>
      <c r="J11" s="91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91" t="n"/>
      <c r="T11" s="91" t="n"/>
      <c r="U11" s="91" t="n"/>
      <c r="V11" s="91" t="n"/>
      <c r="W11" s="91" t="n"/>
    </row>
    <row r="12">
      <c r="A12" s="91" t="n"/>
      <c r="B12" s="125" t="inlineStr">
        <is>
          <t>kpi.rh.absence</t>
        </is>
      </c>
      <c r="C12" s="126" t="inlineStr">
        <is>
          <t>DOWN</t>
        </is>
      </c>
      <c r="D12" s="127" t="n">
        <v>1</v>
      </c>
      <c r="E12" s="127" t="n">
        <v>1.05</v>
      </c>
      <c r="F12" s="91" t="n"/>
      <c r="G12" s="125" t="inlineStr">
        <is>
          <t>kpi.rh.absence</t>
        </is>
      </c>
      <c r="H12" s="91" t="n"/>
      <c r="I12" s="91" t="n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  <c r="T12" s="91" t="n"/>
      <c r="U12" s="91" t="n"/>
      <c r="V12" s="91" t="n"/>
      <c r="W12" s="91" t="n"/>
    </row>
    <row r="13">
      <c r="A13" s="91" t="n"/>
      <c r="B13" s="125" t="inlineStr">
        <is>
          <t>kpi.rh.train_hours</t>
        </is>
      </c>
      <c r="C13" s="126" t="inlineStr">
        <is>
          <t>UP</t>
        </is>
      </c>
      <c r="D13" s="127" t="n">
        <v>1</v>
      </c>
      <c r="E13" s="127" t="n">
        <v>0.95</v>
      </c>
      <c r="F13" s="91" t="n"/>
      <c r="G13" s="125" t="inlineStr">
        <is>
          <t>kpi.rh.train_hours</t>
        </is>
      </c>
      <c r="H13" s="91" t="n"/>
      <c r="I13" s="91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  <c r="T13" s="91" t="n"/>
      <c r="U13" s="91" t="n"/>
      <c r="V13" s="91" t="n"/>
      <c r="W13" s="91" t="n"/>
    </row>
    <row r="14">
      <c r="A14" s="91" t="n"/>
      <c r="B14" s="125" t="inlineStr">
        <is>
          <t>kpi.rh.train_cover</t>
        </is>
      </c>
      <c r="C14" s="126" t="inlineStr">
        <is>
          <t>UP</t>
        </is>
      </c>
      <c r="D14" s="127" t="n">
        <v>1</v>
      </c>
      <c r="E14" s="127" t="n">
        <v>0.95</v>
      </c>
      <c r="F14" s="91" t="n"/>
      <c r="G14" s="125" t="inlineStr">
        <is>
          <t>kpi.rh.train_cover</t>
        </is>
      </c>
      <c r="H14" s="91" t="n"/>
      <c r="I14" s="91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</row>
    <row r="15">
      <c r="A15" s="91" t="n"/>
      <c r="B15" s="125" t="inlineStr">
        <is>
          <t>kpi.lease.occ_gla</t>
        </is>
      </c>
      <c r="C15" s="126" t="inlineStr">
        <is>
          <t>UP</t>
        </is>
      </c>
      <c r="D15" s="127" t="n">
        <v>1</v>
      </c>
      <c r="E15" s="127" t="n">
        <v>0.95</v>
      </c>
      <c r="F15" s="91" t="n"/>
      <c r="G15" s="125" t="inlineStr">
        <is>
          <t>kpi.lease.occ_gla</t>
        </is>
      </c>
      <c r="H15" s="129" t="n">
        <v>0.9</v>
      </c>
      <c r="I15" s="129" t="n">
        <v>0.9</v>
      </c>
      <c r="J15" s="129" t="n">
        <v>0.9</v>
      </c>
      <c r="K15" s="129" t="n">
        <v>0.9</v>
      </c>
      <c r="L15" s="129" t="n">
        <v>0.9</v>
      </c>
      <c r="M15" s="129" t="n">
        <v>0.9</v>
      </c>
      <c r="N15" s="129" t="n">
        <v>0.9</v>
      </c>
      <c r="O15" s="129" t="n">
        <v>0.9</v>
      </c>
      <c r="P15" s="129" t="n">
        <v>0.9</v>
      </c>
      <c r="Q15" s="129" t="n">
        <v>0.9</v>
      </c>
      <c r="R15" s="129" t="n">
        <v>0.9</v>
      </c>
      <c r="S15" s="129" t="n">
        <v>0.9</v>
      </c>
      <c r="T15" s="91" t="n"/>
      <c r="U15" s="91" t="n"/>
      <c r="V15" s="91" t="n"/>
      <c r="W15" s="91" t="n"/>
    </row>
    <row r="16">
      <c r="A16" s="91" t="n"/>
      <c r="B16" s="125" t="inlineStr">
        <is>
          <t>kpi.lease.occ_unit</t>
        </is>
      </c>
      <c r="C16" s="126" t="inlineStr">
        <is>
          <t>UP</t>
        </is>
      </c>
      <c r="D16" s="127" t="n">
        <v>1</v>
      </c>
      <c r="E16" s="127" t="n">
        <v>0.95</v>
      </c>
      <c r="F16" s="91" t="n"/>
      <c r="G16" s="125" t="inlineStr">
        <is>
          <t>kpi.lease.occ_unit</t>
        </is>
      </c>
      <c r="H16" s="91" t="n"/>
      <c r="I16" s="91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</row>
    <row r="17">
      <c r="A17" s="91" t="n"/>
      <c r="B17" s="125" t="inlineStr">
        <is>
          <t>kpi.lease.gla_vacant</t>
        </is>
      </c>
      <c r="C17" s="126" t="inlineStr">
        <is>
          <t>DOWN</t>
        </is>
      </c>
      <c r="D17" s="127" t="n">
        <v>1</v>
      </c>
      <c r="E17" s="127" t="n">
        <v>1.05</v>
      </c>
      <c r="F17" s="91" t="n"/>
      <c r="G17" s="125" t="inlineStr">
        <is>
          <t>kpi.lease.gla_vacant</t>
        </is>
      </c>
      <c r="H17" s="91" t="n"/>
      <c r="I17" s="91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91" t="n"/>
      <c r="T17" s="91" t="n"/>
      <c r="U17" s="91" t="n"/>
      <c r="V17" s="91" t="n"/>
      <c r="W17" s="91" t="n"/>
    </row>
    <row r="18">
      <c r="A18" s="91" t="n"/>
      <c r="B18" s="125" t="inlineStr">
        <is>
          <t>kpi.lease.ocr</t>
        </is>
      </c>
      <c r="C18" s="126" t="inlineStr">
        <is>
          <t>DOWN</t>
        </is>
      </c>
      <c r="D18" s="127" t="n">
        <v>1</v>
      </c>
      <c r="E18" s="127" t="n">
        <v>1.05</v>
      </c>
      <c r="F18" s="91" t="n"/>
      <c r="G18" s="125" t="inlineStr">
        <is>
          <t>kpi.lease.ocr</t>
        </is>
      </c>
      <c r="H18" s="129" t="n">
        <v>0.12</v>
      </c>
      <c r="I18" s="129" t="n">
        <v>0.12</v>
      </c>
      <c r="J18" s="129" t="n">
        <v>0.12</v>
      </c>
      <c r="K18" s="129" t="n">
        <v>0.12</v>
      </c>
      <c r="L18" s="129" t="n">
        <v>0.12</v>
      </c>
      <c r="M18" s="129" t="n">
        <v>0.12</v>
      </c>
      <c r="N18" s="129" t="n">
        <v>0.12</v>
      </c>
      <c r="O18" s="129" t="n">
        <v>0.12</v>
      </c>
      <c r="P18" s="129" t="n">
        <v>0.12</v>
      </c>
      <c r="Q18" s="129" t="n">
        <v>0.12</v>
      </c>
      <c r="R18" s="129" t="n">
        <v>0.12</v>
      </c>
      <c r="S18" s="129" t="n">
        <v>0.12</v>
      </c>
      <c r="T18" s="91" t="n"/>
      <c r="U18" s="91" t="n"/>
      <c r="V18" s="91" t="n"/>
      <c r="W18" s="91" t="n"/>
    </row>
    <row r="19">
      <c r="A19" s="91" t="n"/>
      <c r="B19" s="125" t="inlineStr">
        <is>
          <t>kpi.lease.passing</t>
        </is>
      </c>
      <c r="C19" s="126" t="inlineStr">
        <is>
          <t>UP</t>
        </is>
      </c>
      <c r="D19" s="127" t="n">
        <v>1</v>
      </c>
      <c r="E19" s="127" t="n">
        <v>0.95</v>
      </c>
      <c r="F19" s="91" t="n"/>
      <c r="G19" s="125" t="inlineStr">
        <is>
          <t>kpi.lease.passing</t>
        </is>
      </c>
      <c r="H19" s="128" t="n">
        <v>130000000</v>
      </c>
      <c r="I19" s="128" t="n">
        <v>130000000</v>
      </c>
      <c r="J19" s="128" t="n">
        <v>130000000</v>
      </c>
      <c r="K19" s="128" t="n">
        <v>130000000</v>
      </c>
      <c r="L19" s="128" t="n">
        <v>130000000</v>
      </c>
      <c r="M19" s="128" t="n">
        <v>130000000</v>
      </c>
      <c r="N19" s="128" t="n">
        <v>130000000</v>
      </c>
      <c r="O19" s="128" t="n">
        <v>130000000</v>
      </c>
      <c r="P19" s="128" t="n">
        <v>130000000</v>
      </c>
      <c r="Q19" s="128" t="n">
        <v>130000000</v>
      </c>
      <c r="R19" s="128" t="n">
        <v>130000000</v>
      </c>
      <c r="S19" s="128" t="n">
        <v>130000000</v>
      </c>
      <c r="T19" s="91" t="n"/>
      <c r="U19" s="91" t="n"/>
      <c r="V19" s="91" t="n"/>
      <c r="W19" s="91" t="n"/>
    </row>
    <row r="20">
      <c r="A20" s="91" t="n"/>
      <c r="B20" s="125" t="inlineStr">
        <is>
          <t>kpi.lease.erv</t>
        </is>
      </c>
      <c r="C20" s="126" t="inlineStr">
        <is>
          <t>UP</t>
        </is>
      </c>
      <c r="D20" s="127" t="n">
        <v>1</v>
      </c>
      <c r="E20" s="127" t="n">
        <v>0.95</v>
      </c>
      <c r="F20" s="91" t="n"/>
      <c r="G20" s="125" t="inlineStr">
        <is>
          <t>kpi.lease.erv</t>
        </is>
      </c>
      <c r="H20" s="91" t="n"/>
      <c r="I20" s="91" t="n"/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</row>
    <row r="21">
      <c r="A21" s="91" t="n"/>
      <c r="B21" s="125" t="inlineStr">
        <is>
          <t>kpi.lease.reversion</t>
        </is>
      </c>
      <c r="C21" s="126" t="inlineStr">
        <is>
          <t>UP</t>
        </is>
      </c>
      <c r="D21" s="127" t="n">
        <v>1</v>
      </c>
      <c r="E21" s="127" t="n">
        <v>0.95</v>
      </c>
      <c r="F21" s="91" t="n"/>
      <c r="G21" s="125" t="inlineStr">
        <is>
          <t>kpi.lease.reversion</t>
        </is>
      </c>
      <c r="H21" s="91" t="n"/>
      <c r="I21" s="91" t="n"/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  <c r="T21" s="91" t="n"/>
      <c r="U21" s="91" t="n"/>
      <c r="V21" s="91" t="n"/>
      <c r="W21" s="91" t="n"/>
    </row>
    <row r="22">
      <c r="A22" s="91" t="n"/>
      <c r="B22" s="125" t="inlineStr">
        <is>
          <t>kpi.lease.vac_age</t>
        </is>
      </c>
      <c r="C22" s="126" t="inlineStr">
        <is>
          <t>DOWN</t>
        </is>
      </c>
      <c r="D22" s="127" t="n">
        <v>1</v>
      </c>
      <c r="E22" s="127" t="n">
        <v>1.05</v>
      </c>
      <c r="F22" s="91" t="n"/>
      <c r="G22" s="125" t="inlineStr">
        <is>
          <t>kpi.lease.vac_age</t>
        </is>
      </c>
      <c r="H22" s="91" t="n"/>
      <c r="I22" s="91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91" t="n"/>
      <c r="T22" s="91" t="n"/>
      <c r="U22" s="91" t="n"/>
      <c r="V22" s="91" t="n"/>
      <c r="W22" s="91" t="n"/>
    </row>
    <row r="23">
      <c r="A23" s="91" t="n"/>
      <c r="B23" s="125" t="inlineStr">
        <is>
          <t>kpi.lease.retention</t>
        </is>
      </c>
      <c r="C23" s="126" t="inlineStr">
        <is>
          <t>UP</t>
        </is>
      </c>
      <c r="D23" s="127" t="n">
        <v>1</v>
      </c>
      <c r="E23" s="127" t="n">
        <v>0.95</v>
      </c>
      <c r="F23" s="91" t="n"/>
      <c r="G23" s="125" t="inlineStr">
        <is>
          <t>kpi.lease.retention</t>
        </is>
      </c>
      <c r="H23" s="91" t="n"/>
      <c r="I23" s="91" t="n"/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91" t="n"/>
      <c r="T23" s="91" t="n"/>
      <c r="U23" s="91" t="n"/>
      <c r="V23" s="91" t="n"/>
      <c r="W23" s="91" t="n"/>
    </row>
    <row r="24">
      <c r="A24" s="91" t="n"/>
      <c r="B24" s="125" t="inlineStr">
        <is>
          <t>kpi.lease.incentives</t>
        </is>
      </c>
      <c r="C24" s="126" t="inlineStr">
        <is>
          <t>UP</t>
        </is>
      </c>
      <c r="D24" s="127" t="n">
        <v>1</v>
      </c>
      <c r="E24" s="127" t="n">
        <v>0.95</v>
      </c>
      <c r="F24" s="91" t="n"/>
      <c r="G24" s="125" t="inlineStr">
        <is>
          <t>kpi.lease.incentives</t>
        </is>
      </c>
      <c r="H24" s="128" t="n">
        <v>6000000</v>
      </c>
      <c r="I24" s="128" t="n">
        <v>6060000</v>
      </c>
      <c r="J24" s="128" t="n">
        <v>6120000</v>
      </c>
      <c r="K24" s="128" t="n">
        <v>6180000</v>
      </c>
      <c r="L24" s="128" t="n">
        <v>6240000</v>
      </c>
      <c r="M24" s="128" t="n">
        <v>6300000</v>
      </c>
      <c r="N24" s="128" t="n">
        <v>6360000</v>
      </c>
      <c r="O24" s="128" t="n">
        <v>6420000</v>
      </c>
      <c r="P24" s="128" t="n">
        <v>6480000</v>
      </c>
      <c r="Q24" s="128" t="n">
        <v>6540000</v>
      </c>
      <c r="R24" s="128" t="n">
        <v>6600000</v>
      </c>
      <c r="S24" s="128" t="n">
        <v>6660000</v>
      </c>
      <c r="T24" s="91" t="n"/>
      <c r="U24" s="91" t="n"/>
      <c r="V24" s="91" t="n"/>
      <c r="W24" s="91" t="n"/>
    </row>
    <row r="25">
      <c r="A25" s="91" t="n"/>
      <c r="B25" s="125" t="inlineStr">
        <is>
          <t>kpi.lease.rent_sqm</t>
        </is>
      </c>
      <c r="C25" s="126" t="inlineStr">
        <is>
          <t>UP</t>
        </is>
      </c>
      <c r="D25" s="127" t="n">
        <v>1</v>
      </c>
      <c r="E25" s="127" t="n">
        <v>0.95</v>
      </c>
      <c r="F25" s="91" t="n"/>
      <c r="G25" s="125" t="inlineStr">
        <is>
          <t>kpi.lease.rent_sqm</t>
        </is>
      </c>
      <c r="H25" s="128" t="n">
        <v>9000</v>
      </c>
      <c r="I25" s="128" t="n">
        <v>9000</v>
      </c>
      <c r="J25" s="128" t="n">
        <v>9000</v>
      </c>
      <c r="K25" s="128" t="n">
        <v>9000</v>
      </c>
      <c r="L25" s="128" t="n">
        <v>9000</v>
      </c>
      <c r="M25" s="128" t="n">
        <v>9000</v>
      </c>
      <c r="N25" s="128" t="n">
        <v>9000</v>
      </c>
      <c r="O25" s="128" t="n">
        <v>9000</v>
      </c>
      <c r="P25" s="128" t="n">
        <v>9000</v>
      </c>
      <c r="Q25" s="128" t="n">
        <v>9000</v>
      </c>
      <c r="R25" s="128" t="n">
        <v>9000</v>
      </c>
      <c r="S25" s="128" t="n">
        <v>9000</v>
      </c>
      <c r="T25" s="91" t="n"/>
      <c r="U25" s="91" t="n"/>
      <c r="V25" s="91" t="n"/>
      <c r="W25" s="91" t="n"/>
    </row>
    <row r="26">
      <c r="A26" s="91" t="n"/>
      <c r="B26" s="125" t="inlineStr">
        <is>
          <t>kpi.lease.walt</t>
        </is>
      </c>
      <c r="C26" s="126" t="inlineStr">
        <is>
          <t>UP</t>
        </is>
      </c>
      <c r="D26" s="127" t="n">
        <v>1</v>
      </c>
      <c r="E26" s="127" t="n">
        <v>0.95</v>
      </c>
      <c r="F26" s="91" t="n"/>
      <c r="G26" s="125" t="inlineStr">
        <is>
          <t>kpi.lease.walt</t>
        </is>
      </c>
      <c r="H26" s="91" t="n"/>
      <c r="I26" s="91" t="n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</row>
    <row r="27">
      <c r="A27" s="91" t="n"/>
      <c r="B27" s="125" t="inlineStr">
        <is>
          <t>kpi.rec.ar</t>
        </is>
      </c>
      <c r="C27" s="126" t="inlineStr">
        <is>
          <t>UP</t>
        </is>
      </c>
      <c r="D27" s="127" t="n">
        <v>1</v>
      </c>
      <c r="E27" s="127" t="n">
        <v>0.95</v>
      </c>
      <c r="F27" s="91" t="n"/>
      <c r="G27" s="125" t="inlineStr">
        <is>
          <t>kpi.rec.ar</t>
        </is>
      </c>
      <c r="H27" s="91" t="n"/>
      <c r="I27" s="91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</row>
    <row r="28">
      <c r="A28" s="91" t="n"/>
      <c r="B28" s="125" t="inlineStr">
        <is>
          <t>kpi.rec.aged_0_30</t>
        </is>
      </c>
      <c r="C28" s="126" t="inlineStr">
        <is>
          <t>UP</t>
        </is>
      </c>
      <c r="D28" s="127" t="n">
        <v>1</v>
      </c>
      <c r="E28" s="127" t="n">
        <v>0.95</v>
      </c>
      <c r="F28" s="91" t="n"/>
      <c r="G28" s="125" t="inlineStr">
        <is>
          <t>kpi.rec.aged_0_30</t>
        </is>
      </c>
      <c r="H28" s="91" t="n"/>
      <c r="I28" s="91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</row>
    <row r="29">
      <c r="A29" s="91" t="n"/>
      <c r="B29" s="125" t="inlineStr">
        <is>
          <t>kpi.rec.aged_30_60</t>
        </is>
      </c>
      <c r="C29" s="126" t="inlineStr">
        <is>
          <t>UP</t>
        </is>
      </c>
      <c r="D29" s="127" t="n">
        <v>1</v>
      </c>
      <c r="E29" s="127" t="n">
        <v>0.95</v>
      </c>
      <c r="F29" s="91" t="n"/>
      <c r="G29" s="125" t="inlineStr">
        <is>
          <t>kpi.rec.aged_30_60</t>
        </is>
      </c>
      <c r="H29" s="91" t="n"/>
      <c r="I29" s="91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</row>
    <row r="30">
      <c r="A30" s="91" t="n"/>
      <c r="B30" s="125" t="inlineStr">
        <is>
          <t>kpi.rec.aged_60_90</t>
        </is>
      </c>
      <c r="C30" s="126" t="inlineStr">
        <is>
          <t>UP</t>
        </is>
      </c>
      <c r="D30" s="127" t="n">
        <v>1</v>
      </c>
      <c r="E30" s="127" t="n">
        <v>0.95</v>
      </c>
      <c r="F30" s="91" t="n"/>
      <c r="G30" s="125" t="inlineStr">
        <is>
          <t>kpi.rec.aged_60_90</t>
        </is>
      </c>
      <c r="H30" s="91" t="n"/>
      <c r="I30" s="91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</row>
    <row r="31">
      <c r="A31" s="91" t="n"/>
      <c r="B31" s="125" t="inlineStr">
        <is>
          <t>kpi.rec.aged_90p</t>
        </is>
      </c>
      <c r="C31" s="126" t="inlineStr">
        <is>
          <t>UP</t>
        </is>
      </c>
      <c r="D31" s="127" t="n">
        <v>1</v>
      </c>
      <c r="E31" s="127" t="n">
        <v>0.95</v>
      </c>
      <c r="F31" s="91" t="n"/>
      <c r="G31" s="125" t="inlineStr">
        <is>
          <t>kpi.rec.aged_90p</t>
        </is>
      </c>
      <c r="H31" s="91" t="n"/>
      <c r="I31" s="91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</row>
    <row r="32">
      <c r="A32" s="91" t="n"/>
      <c r="B32" s="125" t="inlineStr">
        <is>
          <t>kpi.rec.dso</t>
        </is>
      </c>
      <c r="C32" s="126" t="inlineStr">
        <is>
          <t>DOWN</t>
        </is>
      </c>
      <c r="D32" s="127" t="n">
        <v>1</v>
      </c>
      <c r="E32" s="127" t="n">
        <v>1.05</v>
      </c>
      <c r="F32" s="91" t="n"/>
      <c r="G32" s="125" t="inlineStr">
        <is>
          <t>kpi.rec.dso</t>
        </is>
      </c>
      <c r="H32" s="91" t="n"/>
      <c r="I32" s="91" t="n"/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</row>
    <row r="33">
      <c r="A33" s="91" t="n"/>
      <c r="B33" s="125" t="inlineStr">
        <is>
          <t>kpi.rec.recovery</t>
        </is>
      </c>
      <c r="C33" s="126" t="inlineStr">
        <is>
          <t>UP</t>
        </is>
      </c>
      <c r="D33" s="127" t="n">
        <v>1</v>
      </c>
      <c r="E33" s="127" t="n">
        <v>0.95</v>
      </c>
      <c r="F33" s="91" t="n"/>
      <c r="G33" s="125" t="inlineStr">
        <is>
          <t>kpi.rec.recovery</t>
        </is>
      </c>
      <c r="H33" s="129" t="n">
        <v>0.86</v>
      </c>
      <c r="I33" s="129" t="n">
        <v>0.86</v>
      </c>
      <c r="J33" s="129" t="n">
        <v>0.86</v>
      </c>
      <c r="K33" s="129" t="n">
        <v>0.86</v>
      </c>
      <c r="L33" s="129" t="n">
        <v>0.86</v>
      </c>
      <c r="M33" s="129" t="n">
        <v>0.86</v>
      </c>
      <c r="N33" s="129" t="n">
        <v>0.86</v>
      </c>
      <c r="O33" s="129" t="n">
        <v>0.86</v>
      </c>
      <c r="P33" s="129" t="n">
        <v>0.86</v>
      </c>
      <c r="Q33" s="129" t="n">
        <v>0.86</v>
      </c>
      <c r="R33" s="129" t="n">
        <v>0.86</v>
      </c>
      <c r="S33" s="129" t="n">
        <v>0.86</v>
      </c>
      <c r="T33" s="91" t="n"/>
      <c r="U33" s="91" t="n"/>
      <c r="V33" s="91" t="n"/>
      <c r="W33" s="91" t="n"/>
    </row>
    <row r="34">
      <c r="A34" s="91" t="n"/>
      <c r="B34" s="125" t="inlineStr">
        <is>
          <t>kpi.rec.collected</t>
        </is>
      </c>
      <c r="C34" s="126" t="inlineStr">
        <is>
          <t>UP</t>
        </is>
      </c>
      <c r="D34" s="127" t="n">
        <v>1</v>
      </c>
      <c r="E34" s="127" t="n">
        <v>0.95</v>
      </c>
      <c r="F34" s="91" t="n"/>
      <c r="G34" s="125" t="inlineStr">
        <is>
          <t>kpi.rec.collected</t>
        </is>
      </c>
      <c r="H34" s="128" t="n">
        <v>220000000</v>
      </c>
      <c r="I34" s="128" t="n">
        <v>222200000</v>
      </c>
      <c r="J34" s="128" t="n">
        <v>224400000</v>
      </c>
      <c r="K34" s="128" t="n">
        <v>226600000</v>
      </c>
      <c r="L34" s="128" t="n">
        <v>228800000</v>
      </c>
      <c r="M34" s="128" t="n">
        <v>231000000</v>
      </c>
      <c r="N34" s="128" t="n">
        <v>233200000</v>
      </c>
      <c r="O34" s="128" t="n">
        <v>235400000</v>
      </c>
      <c r="P34" s="128" t="n">
        <v>237600000</v>
      </c>
      <c r="Q34" s="128" t="n">
        <v>239800000</v>
      </c>
      <c r="R34" s="128" t="n">
        <v>242000000</v>
      </c>
      <c r="S34" s="128" t="n">
        <v>244200000</v>
      </c>
      <c r="T34" s="91" t="n"/>
      <c r="U34" s="91" t="n"/>
      <c r="V34" s="91" t="n"/>
      <c r="W34" s="91" t="n"/>
    </row>
    <row r="35">
      <c r="A35" s="91" t="n"/>
      <c r="B35" s="125" t="inlineStr">
        <is>
          <t>kpi.rec.billed</t>
        </is>
      </c>
      <c r="C35" s="126" t="inlineStr">
        <is>
          <t>UP</t>
        </is>
      </c>
      <c r="D35" s="127" t="n">
        <v>1</v>
      </c>
      <c r="E35" s="127" t="n">
        <v>0.95</v>
      </c>
      <c r="F35" s="91" t="n"/>
      <c r="G35" s="125" t="inlineStr">
        <is>
          <t>kpi.rec.billed</t>
        </is>
      </c>
      <c r="H35" s="91" t="n"/>
      <c r="I35" s="91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</row>
    <row r="36">
      <c r="A36" s="91" t="n"/>
      <c r="B36" s="125" t="inlineStr">
        <is>
          <t>kpi.rec.dunning</t>
        </is>
      </c>
      <c r="C36" s="126" t="inlineStr">
        <is>
          <t>UP</t>
        </is>
      </c>
      <c r="D36" s="127" t="n">
        <v>1</v>
      </c>
      <c r="E36" s="127" t="n">
        <v>0.95</v>
      </c>
      <c r="F36" s="91" t="n"/>
      <c r="G36" s="125" t="inlineStr">
        <is>
          <t>kpi.rec.dunning</t>
        </is>
      </c>
      <c r="H36" s="91" t="n"/>
      <c r="I36" s="91" t="n"/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</row>
    <row r="37">
      <c r="A37" s="91" t="n"/>
      <c r="B37" s="125" t="inlineStr">
        <is>
          <t>kpi.rec.promises</t>
        </is>
      </c>
      <c r="C37" s="126" t="inlineStr">
        <is>
          <t>UP</t>
        </is>
      </c>
      <c r="D37" s="127" t="n">
        <v>1</v>
      </c>
      <c r="E37" s="127" t="n">
        <v>0.95</v>
      </c>
      <c r="F37" s="91" t="n"/>
      <c r="G37" s="125" t="inlineStr">
        <is>
          <t>kpi.rec.promises</t>
        </is>
      </c>
      <c r="H37" s="91" t="n"/>
      <c r="I37" s="91" t="n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</row>
    <row r="38">
      <c r="A38" s="91" t="n"/>
      <c r="B38" s="125" t="inlineStr">
        <is>
          <t>kpi.rec.promise_kept</t>
        </is>
      </c>
      <c r="C38" s="126" t="inlineStr">
        <is>
          <t>UP</t>
        </is>
      </c>
      <c r="D38" s="127" t="n">
        <v>1</v>
      </c>
      <c r="E38" s="127" t="n">
        <v>0.95</v>
      </c>
      <c r="F38" s="91" t="n"/>
      <c r="G38" s="125" t="inlineStr">
        <is>
          <t>kpi.rec.promise_kept</t>
        </is>
      </c>
      <c r="H38" s="91" t="n"/>
      <c r="I38" s="91" t="n"/>
      <c r="J38" s="91" t="n"/>
      <c r="K38" s="91" t="n"/>
      <c r="L38" s="91" t="n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</row>
    <row r="39">
      <c r="A39" s="91" t="n"/>
      <c r="B39" s="125" t="inlineStr">
        <is>
          <t>kpi.rec.collected_dun</t>
        </is>
      </c>
      <c r="C39" s="126" t="inlineStr">
        <is>
          <t>UP</t>
        </is>
      </c>
      <c r="D39" s="127" t="n">
        <v>1</v>
      </c>
      <c r="E39" s="127" t="n">
        <v>0.95</v>
      </c>
      <c r="F39" s="91" t="n"/>
      <c r="G39" s="125" t="inlineStr">
        <is>
          <t>kpi.rec.collected_dun</t>
        </is>
      </c>
      <c r="H39" s="128" t="n">
        <v>60000000</v>
      </c>
      <c r="I39" s="128" t="n">
        <v>60600000</v>
      </c>
      <c r="J39" s="128" t="n">
        <v>61200000</v>
      </c>
      <c r="K39" s="128" t="n">
        <v>61800000</v>
      </c>
      <c r="L39" s="128" t="n">
        <v>62400000</v>
      </c>
      <c r="M39" s="128" t="n">
        <v>63000000</v>
      </c>
      <c r="N39" s="128" t="n">
        <v>63600000</v>
      </c>
      <c r="O39" s="128" t="n">
        <v>64200000</v>
      </c>
      <c r="P39" s="128" t="n">
        <v>64800000</v>
      </c>
      <c r="Q39" s="128" t="n">
        <v>65400000</v>
      </c>
      <c r="R39" s="128" t="n">
        <v>66000000</v>
      </c>
      <c r="S39" s="128" t="n">
        <v>66600000</v>
      </c>
      <c r="T39" s="91" t="n"/>
      <c r="U39" s="91" t="n"/>
      <c r="V39" s="91" t="n"/>
      <c r="W39" s="91" t="n"/>
    </row>
    <row r="40">
      <c r="A40" s="91" t="n"/>
      <c r="B40" s="125" t="inlineStr">
        <is>
          <t>kpi.rec.provision</t>
        </is>
      </c>
      <c r="C40" s="126" t="inlineStr">
        <is>
          <t>DOWN</t>
        </is>
      </c>
      <c r="D40" s="127" t="n">
        <v>1</v>
      </c>
      <c r="E40" s="127" t="n">
        <v>1.05</v>
      </c>
      <c r="F40" s="91" t="n"/>
      <c r="G40" s="125" t="inlineStr">
        <is>
          <t>kpi.rec.provision</t>
        </is>
      </c>
      <c r="H40" s="91" t="n"/>
      <c r="I40" s="91" t="n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</row>
    <row r="41">
      <c r="A41" s="91" t="n"/>
      <c r="B41" s="125" t="inlineStr">
        <is>
          <t>kpi.rec.litige_count</t>
        </is>
      </c>
      <c r="C41" s="126" t="inlineStr">
        <is>
          <t>DOWN</t>
        </is>
      </c>
      <c r="D41" s="127" t="n">
        <v>1</v>
      </c>
      <c r="E41" s="127" t="n">
        <v>1.05</v>
      </c>
      <c r="F41" s="91" t="n"/>
      <c r="G41" s="125" t="inlineStr">
        <is>
          <t>kpi.rec.litige_count</t>
        </is>
      </c>
      <c r="H41" s="91" t="n"/>
      <c r="I41" s="91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91" t="n"/>
      <c r="T41" s="91" t="n"/>
      <c r="U41" s="91" t="n"/>
      <c r="V41" s="91" t="n"/>
      <c r="W41" s="91" t="n"/>
    </row>
    <row r="42">
      <c r="A42" s="91" t="n"/>
      <c r="B42" s="125" t="inlineStr">
        <is>
          <t>kpi.rec.litige_amount</t>
        </is>
      </c>
      <c r="C42" s="126" t="inlineStr">
        <is>
          <t>DOWN</t>
        </is>
      </c>
      <c r="D42" s="127" t="n">
        <v>1</v>
      </c>
      <c r="E42" s="127" t="n">
        <v>1.05</v>
      </c>
      <c r="F42" s="91" t="n"/>
      <c r="G42" s="125" t="inlineStr">
        <is>
          <t>kpi.rec.litige_amount</t>
        </is>
      </c>
      <c r="H42" s="91" t="n"/>
      <c r="I42" s="91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</row>
    <row r="43">
      <c r="A43" s="91" t="n"/>
      <c r="B43" s="125" t="inlineStr">
        <is>
          <t>kpi.rec.litige_resolved</t>
        </is>
      </c>
      <c r="C43" s="126" t="inlineStr">
        <is>
          <t>UP</t>
        </is>
      </c>
      <c r="D43" s="127" t="n">
        <v>1</v>
      </c>
      <c r="E43" s="127" t="n">
        <v>0.95</v>
      </c>
      <c r="F43" s="91" t="n"/>
      <c r="G43" s="125" t="inlineStr">
        <is>
          <t>kpi.rec.litige_resolved</t>
        </is>
      </c>
      <c r="H43" s="91" t="n"/>
      <c r="I43" s="91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</row>
    <row r="44">
      <c r="A44" s="91" t="n"/>
      <c r="B44" s="125" t="inlineStr">
        <is>
          <t>kpi.rec.litige_age</t>
        </is>
      </c>
      <c r="C44" s="126" t="inlineStr">
        <is>
          <t>DOWN</t>
        </is>
      </c>
      <c r="D44" s="127" t="n">
        <v>1</v>
      </c>
      <c r="E44" s="127" t="n">
        <v>1.05</v>
      </c>
      <c r="F44" s="91" t="n"/>
      <c r="G44" s="125" t="inlineStr">
        <is>
          <t>kpi.rec.litige_age</t>
        </is>
      </c>
      <c r="H44" s="91" t="n"/>
      <c r="I44" s="91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</row>
    <row r="45">
      <c r="A45" s="91" t="n"/>
      <c r="B45" s="125" t="inlineStr">
        <is>
          <t>kpi.foot.total</t>
        </is>
      </c>
      <c r="C45" s="126" t="inlineStr">
        <is>
          <t>UP</t>
        </is>
      </c>
      <c r="D45" s="127" t="n">
        <v>1</v>
      </c>
      <c r="E45" s="127" t="n">
        <v>0.95</v>
      </c>
      <c r="F45" s="91" t="n"/>
      <c r="G45" s="125" t="inlineStr">
        <is>
          <t>kpi.foot.total</t>
        </is>
      </c>
      <c r="H45" s="128" t="n">
        <v>480000</v>
      </c>
      <c r="I45" s="128" t="n">
        <v>484800</v>
      </c>
      <c r="J45" s="128" t="n">
        <v>489600</v>
      </c>
      <c r="K45" s="128" t="n">
        <v>494400</v>
      </c>
      <c r="L45" s="128" t="n">
        <v>499200</v>
      </c>
      <c r="M45" s="128" t="n">
        <v>504000</v>
      </c>
      <c r="N45" s="128" t="n">
        <v>508800</v>
      </c>
      <c r="O45" s="128" t="n">
        <v>513600</v>
      </c>
      <c r="P45" s="128" t="n">
        <v>518400</v>
      </c>
      <c r="Q45" s="128" t="n">
        <v>523200</v>
      </c>
      <c r="R45" s="128" t="n">
        <v>528000</v>
      </c>
      <c r="S45" s="128" t="n">
        <v>532800</v>
      </c>
      <c r="T45" s="91" t="n"/>
      <c r="U45" s="91" t="n"/>
      <c r="V45" s="91" t="n"/>
      <c r="W45" s="91" t="n"/>
    </row>
    <row r="46">
      <c r="A46" s="91" t="n"/>
      <c r="B46" s="125" t="inlineStr">
        <is>
          <t>kpi.foot.vs_budget</t>
        </is>
      </c>
      <c r="C46" s="126" t="inlineStr">
        <is>
          <t>UP</t>
        </is>
      </c>
      <c r="D46" s="127" t="n">
        <v>1</v>
      </c>
      <c r="E46" s="127" t="n">
        <v>0.95</v>
      </c>
      <c r="F46" s="91" t="n"/>
      <c r="G46" s="125" t="inlineStr">
        <is>
          <t>kpi.foot.vs_budget</t>
        </is>
      </c>
      <c r="H46" s="91" t="n"/>
      <c r="I46" s="91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</row>
    <row r="47">
      <c r="A47" s="91" t="n"/>
      <c r="B47" s="125" t="inlineStr">
        <is>
          <t>kpi.foot.per_sqm</t>
        </is>
      </c>
      <c r="C47" s="126" t="inlineStr">
        <is>
          <t>UP</t>
        </is>
      </c>
      <c r="D47" s="127" t="n">
        <v>1</v>
      </c>
      <c r="E47" s="127" t="n">
        <v>0.95</v>
      </c>
      <c r="F47" s="91" t="n"/>
      <c r="G47" s="125" t="inlineStr">
        <is>
          <t>kpi.foot.per_sqm</t>
        </is>
      </c>
      <c r="H47" s="91" t="n"/>
      <c r="I47" s="91" t="n"/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</row>
    <row r="48">
      <c r="A48" s="91" t="n"/>
      <c r="B48" s="125" t="inlineStr">
        <is>
          <t>kpi.foot.conversion</t>
        </is>
      </c>
      <c r="C48" s="126" t="inlineStr">
        <is>
          <t>UP</t>
        </is>
      </c>
      <c r="D48" s="127" t="n">
        <v>1</v>
      </c>
      <c r="E48" s="127" t="n">
        <v>0.95</v>
      </c>
      <c r="F48" s="91" t="n"/>
      <c r="G48" s="125" t="inlineStr">
        <is>
          <t>kpi.foot.conversion</t>
        </is>
      </c>
      <c r="H48" s="91" t="n"/>
      <c r="I48" s="91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</row>
    <row r="49">
      <c r="A49" s="91" t="n"/>
      <c r="B49" s="125" t="inlineStr">
        <is>
          <t>kpi.foot.dwell</t>
        </is>
      </c>
      <c r="C49" s="126" t="inlineStr">
        <is>
          <t>UP</t>
        </is>
      </c>
      <c r="D49" s="127" t="n">
        <v>1</v>
      </c>
      <c r="E49" s="127" t="n">
        <v>0.95</v>
      </c>
      <c r="F49" s="91" t="n"/>
      <c r="G49" s="125" t="inlineStr">
        <is>
          <t>kpi.foot.dwell</t>
        </is>
      </c>
      <c r="H49" s="91" t="n"/>
      <c r="I49" s="91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</row>
    <row r="50">
      <c r="A50" s="91" t="n"/>
      <c r="B50" s="125" t="inlineStr">
        <is>
          <t>kpi.foot.peak_share</t>
        </is>
      </c>
      <c r="C50" s="126" t="inlineStr">
        <is>
          <t>UP</t>
        </is>
      </c>
      <c r="D50" s="127" t="n">
        <v>1</v>
      </c>
      <c r="E50" s="127" t="n">
        <v>0.95</v>
      </c>
      <c r="F50" s="91" t="n"/>
      <c r="G50" s="125" t="inlineStr">
        <is>
          <t>kpi.foot.peak_share</t>
        </is>
      </c>
      <c r="H50" s="91" t="n"/>
      <c r="I50" s="91" t="n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</row>
    <row r="51">
      <c r="A51" s="91" t="n"/>
      <c r="B51" s="125" t="inlineStr">
        <is>
          <t>kpi.foot.weekend_share</t>
        </is>
      </c>
      <c r="C51" s="126" t="inlineStr">
        <is>
          <t>UP</t>
        </is>
      </c>
      <c r="D51" s="127" t="n">
        <v>1</v>
      </c>
      <c r="E51" s="127" t="n">
        <v>0.95</v>
      </c>
      <c r="F51" s="91" t="n"/>
      <c r="G51" s="125" t="inlineStr">
        <is>
          <t>kpi.foot.weekend_share</t>
        </is>
      </c>
      <c r="H51" s="91" t="n"/>
      <c r="I51" s="91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</row>
    <row r="52">
      <c r="A52" s="91" t="n"/>
      <c r="B52" s="125" t="inlineStr">
        <is>
          <t>kpi.mkt.events</t>
        </is>
      </c>
      <c r="C52" s="126" t="inlineStr">
        <is>
          <t>UP</t>
        </is>
      </c>
      <c r="D52" s="127" t="n">
        <v>1</v>
      </c>
      <c r="E52" s="127" t="n">
        <v>0.95</v>
      </c>
      <c r="F52" s="91" t="n"/>
      <c r="G52" s="125" t="inlineStr">
        <is>
          <t>kpi.mkt.events</t>
        </is>
      </c>
      <c r="H52" s="91" t="n"/>
      <c r="I52" s="91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</row>
    <row r="53">
      <c r="A53" s="91" t="n"/>
      <c r="B53" s="125" t="inlineStr">
        <is>
          <t>kpi.mkt.event_att</t>
        </is>
      </c>
      <c r="C53" s="126" t="inlineStr">
        <is>
          <t>UP</t>
        </is>
      </c>
      <c r="D53" s="127" t="n">
        <v>1</v>
      </c>
      <c r="E53" s="127" t="n">
        <v>0.95</v>
      </c>
      <c r="F53" s="91" t="n"/>
      <c r="G53" s="125" t="inlineStr">
        <is>
          <t>kpi.mkt.event_att</t>
        </is>
      </c>
      <c r="H53" s="91" t="n"/>
      <c r="I53" s="91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</row>
    <row r="54">
      <c r="A54" s="91" t="n"/>
      <c r="B54" s="125" t="inlineStr">
        <is>
          <t>kpi.mkt.event_roi</t>
        </is>
      </c>
      <c r="C54" s="126" t="inlineStr">
        <is>
          <t>UP</t>
        </is>
      </c>
      <c r="D54" s="127" t="n">
        <v>1</v>
      </c>
      <c r="E54" s="127" t="n">
        <v>0.95</v>
      </c>
      <c r="F54" s="91" t="n"/>
      <c r="G54" s="125" t="inlineStr">
        <is>
          <t>kpi.mkt.event_roi</t>
        </is>
      </c>
      <c r="H54" s="91" t="n"/>
      <c r="I54" s="91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91" t="n"/>
      <c r="T54" s="91" t="n"/>
      <c r="U54" s="91" t="n"/>
      <c r="V54" s="91" t="n"/>
      <c r="W54" s="91" t="n"/>
    </row>
    <row r="55">
      <c r="A55" s="91" t="n"/>
      <c r="B55" s="125" t="inlineStr">
        <is>
          <t>kpi.mkt.event_sat</t>
        </is>
      </c>
      <c r="C55" s="126" t="inlineStr">
        <is>
          <t>UP</t>
        </is>
      </c>
      <c r="D55" s="127" t="n">
        <v>1</v>
      </c>
      <c r="E55" s="127" t="n">
        <v>0.95</v>
      </c>
      <c r="F55" s="91" t="n"/>
      <c r="G55" s="125" t="inlineStr">
        <is>
          <t>kpi.mkt.event_sat</t>
        </is>
      </c>
      <c r="H55" s="91" t="n"/>
      <c r="I55" s="91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91" t="n"/>
      <c r="T55" s="91" t="n"/>
      <c r="U55" s="91" t="n"/>
      <c r="V55" s="91" t="n"/>
      <c r="W55" s="91" t="n"/>
    </row>
    <row r="56">
      <c r="A56" s="91" t="n"/>
      <c r="B56" s="125" t="inlineStr">
        <is>
          <t>kpi.mkt.engagement</t>
        </is>
      </c>
      <c r="C56" s="126" t="inlineStr">
        <is>
          <t>UP</t>
        </is>
      </c>
      <c r="D56" s="127" t="n">
        <v>1</v>
      </c>
      <c r="E56" s="127" t="n">
        <v>0.95</v>
      </c>
      <c r="F56" s="91" t="n"/>
      <c r="G56" s="125" t="inlineStr">
        <is>
          <t>kpi.mkt.engagement</t>
        </is>
      </c>
      <c r="H56" s="91" t="n"/>
      <c r="I56" s="91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91" t="n"/>
      <c r="T56" s="91" t="n"/>
      <c r="U56" s="91" t="n"/>
      <c r="V56" s="91" t="n"/>
      <c r="W56" s="91" t="n"/>
    </row>
    <row r="57">
      <c r="A57" s="91" t="n"/>
      <c r="B57" s="125" t="inlineStr">
        <is>
          <t>kpi.mkt.followers</t>
        </is>
      </c>
      <c r="C57" s="126" t="inlineStr">
        <is>
          <t>UP</t>
        </is>
      </c>
      <c r="D57" s="127" t="n">
        <v>1</v>
      </c>
      <c r="E57" s="127" t="n">
        <v>0.95</v>
      </c>
      <c r="F57" s="91" t="n"/>
      <c r="G57" s="125" t="inlineStr">
        <is>
          <t>kpi.mkt.followers</t>
        </is>
      </c>
      <c r="H57" s="91" t="n"/>
      <c r="I57" s="91" t="n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91" t="n"/>
      <c r="T57" s="91" t="n"/>
      <c r="U57" s="91" t="n"/>
      <c r="V57" s="91" t="n"/>
      <c r="W57" s="91" t="n"/>
    </row>
    <row r="58">
      <c r="A58" s="91" t="n"/>
      <c r="B58" s="125" t="inlineStr">
        <is>
          <t>kpi.mkt.reach</t>
        </is>
      </c>
      <c r="C58" s="126" t="inlineStr">
        <is>
          <t>UP</t>
        </is>
      </c>
      <c r="D58" s="127" t="n">
        <v>1</v>
      </c>
      <c r="E58" s="127" t="n">
        <v>0.95</v>
      </c>
      <c r="F58" s="91" t="n"/>
      <c r="G58" s="125" t="inlineStr">
        <is>
          <t>kpi.mkt.reach</t>
        </is>
      </c>
      <c r="H58" s="91" t="n"/>
      <c r="I58" s="91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91" t="n"/>
      <c r="T58" s="91" t="n"/>
      <c r="U58" s="91" t="n"/>
      <c r="V58" s="91" t="n"/>
      <c r="W58" s="91" t="n"/>
    </row>
    <row r="59">
      <c r="A59" s="91" t="n"/>
      <c r="B59" s="125" t="inlineStr">
        <is>
          <t>kpi.mkt.cpa</t>
        </is>
      </c>
      <c r="C59" s="126" t="inlineStr">
        <is>
          <t>DOWN</t>
        </is>
      </c>
      <c r="D59" s="127" t="n">
        <v>1</v>
      </c>
      <c r="E59" s="127" t="n">
        <v>1.05</v>
      </c>
      <c r="F59" s="91" t="n"/>
      <c r="G59" s="125" t="inlineStr">
        <is>
          <t>kpi.mkt.cpa</t>
        </is>
      </c>
      <c r="H59" s="91" t="n"/>
      <c r="I59" s="91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91" t="n"/>
      <c r="T59" s="91" t="n"/>
      <c r="U59" s="91" t="n"/>
      <c r="V59" s="91" t="n"/>
      <c r="W59" s="91" t="n"/>
    </row>
    <row r="60">
      <c r="A60" s="91" t="n"/>
      <c r="B60" s="125" t="inlineStr">
        <is>
          <t>kpi.mkt.digital_conv</t>
        </is>
      </c>
      <c r="C60" s="126" t="inlineStr">
        <is>
          <t>UP</t>
        </is>
      </c>
      <c r="D60" s="127" t="n">
        <v>1</v>
      </c>
      <c r="E60" s="127" t="n">
        <v>0.95</v>
      </c>
      <c r="F60" s="91" t="n"/>
      <c r="G60" s="125" t="inlineStr">
        <is>
          <t>kpi.mkt.digital_conv</t>
        </is>
      </c>
      <c r="H60" s="91" t="n"/>
      <c r="I60" s="91" t="n"/>
      <c r="J60" s="91" t="n"/>
      <c r="K60" s="91" t="n"/>
      <c r="L60" s="91" t="n"/>
      <c r="M60" s="91" t="n"/>
      <c r="N60" s="91" t="n"/>
      <c r="O60" s="91" t="n"/>
      <c r="P60" s="91" t="n"/>
      <c r="Q60" s="91" t="n"/>
      <c r="R60" s="91" t="n"/>
      <c r="S60" s="91" t="n"/>
      <c r="T60" s="91" t="n"/>
      <c r="U60" s="91" t="n"/>
      <c r="V60" s="91" t="n"/>
      <c r="W60" s="91" t="n"/>
    </row>
    <row r="61">
      <c r="A61" s="91" t="n"/>
      <c r="B61" s="125" t="inlineStr">
        <is>
          <t>kpi.mkt.spend</t>
        </is>
      </c>
      <c r="C61" s="126" t="inlineStr">
        <is>
          <t>UP</t>
        </is>
      </c>
      <c r="D61" s="127" t="n">
        <v>1</v>
      </c>
      <c r="E61" s="127" t="n">
        <v>0.95</v>
      </c>
      <c r="F61" s="91" t="n"/>
      <c r="G61" s="125" t="inlineStr">
        <is>
          <t>kpi.mkt.spend</t>
        </is>
      </c>
      <c r="H61" s="128" t="n">
        <v>22000000</v>
      </c>
      <c r="I61" s="128" t="n">
        <v>22220000</v>
      </c>
      <c r="J61" s="128" t="n">
        <v>22440000</v>
      </c>
      <c r="K61" s="128" t="n">
        <v>22660000</v>
      </c>
      <c r="L61" s="128" t="n">
        <v>22880000</v>
      </c>
      <c r="M61" s="128" t="n">
        <v>23100000</v>
      </c>
      <c r="N61" s="128" t="n">
        <v>23320000</v>
      </c>
      <c r="O61" s="128" t="n">
        <v>23540000</v>
      </c>
      <c r="P61" s="128" t="n">
        <v>23760000</v>
      </c>
      <c r="Q61" s="128" t="n">
        <v>23980000</v>
      </c>
      <c r="R61" s="128" t="n">
        <v>24200000</v>
      </c>
      <c r="S61" s="128" t="n">
        <v>24420000</v>
      </c>
      <c r="T61" s="91" t="n"/>
      <c r="U61" s="91" t="n"/>
      <c r="V61" s="91" t="n"/>
      <c r="W61" s="91" t="n"/>
    </row>
    <row r="62">
      <c r="A62" s="91" t="n"/>
      <c r="B62" s="125" t="inlineStr">
        <is>
          <t>kpi.mkt.spend_pct</t>
        </is>
      </c>
      <c r="C62" s="126" t="inlineStr">
        <is>
          <t>DOWN</t>
        </is>
      </c>
      <c r="D62" s="127" t="n">
        <v>1</v>
      </c>
      <c r="E62" s="127" t="n">
        <v>1.05</v>
      </c>
      <c r="F62" s="91" t="n"/>
      <c r="G62" s="125" t="inlineStr">
        <is>
          <t>kpi.mkt.spend_pct</t>
        </is>
      </c>
      <c r="H62" s="91" t="n"/>
      <c r="I62" s="91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91" t="n"/>
      <c r="T62" s="91" t="n"/>
      <c r="U62" s="91" t="n"/>
      <c r="V62" s="91" t="n"/>
      <c r="W62" s="91" t="n"/>
    </row>
    <row r="63">
      <c r="A63" s="91" t="n"/>
      <c r="B63" s="125" t="inlineStr">
        <is>
          <t>kpi.mkt.impressions</t>
        </is>
      </c>
      <c r="C63" s="126" t="inlineStr">
        <is>
          <t>UP</t>
        </is>
      </c>
      <c r="D63" s="127" t="n">
        <v>1</v>
      </c>
      <c r="E63" s="127" t="n">
        <v>0.95</v>
      </c>
      <c r="F63" s="91" t="n"/>
      <c r="G63" s="125" t="inlineStr">
        <is>
          <t>kpi.mkt.impressions</t>
        </is>
      </c>
      <c r="H63" s="91" t="n"/>
      <c r="I63" s="91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91" t="n"/>
      <c r="T63" s="91" t="n"/>
      <c r="U63" s="91" t="n"/>
      <c r="V63" s="91" t="n"/>
      <c r="W63" s="91" t="n"/>
    </row>
    <row r="64">
      <c r="A64" s="91" t="n"/>
      <c r="B64" s="125" t="inlineStr">
        <is>
          <t>kpi.mkt.campaigns</t>
        </is>
      </c>
      <c r="C64" s="126" t="inlineStr">
        <is>
          <t>UP</t>
        </is>
      </c>
      <c r="D64" s="127" t="n">
        <v>1</v>
      </c>
      <c r="E64" s="127" t="n">
        <v>0.95</v>
      </c>
      <c r="F64" s="91" t="n"/>
      <c r="G64" s="125" t="inlineStr">
        <is>
          <t>kpi.mkt.campaigns</t>
        </is>
      </c>
      <c r="H64" s="91" t="n"/>
      <c r="I64" s="91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91" t="n"/>
      <c r="T64" s="91" t="n"/>
      <c r="U64" s="91" t="n"/>
      <c r="V64" s="91" t="n"/>
      <c r="W64" s="91" t="n"/>
    </row>
    <row r="65">
      <c r="A65" s="91" t="n"/>
      <c r="B65" s="125" t="inlineStr">
        <is>
          <t>kpi.mkt.nps</t>
        </is>
      </c>
      <c r="C65" s="126" t="inlineStr">
        <is>
          <t>UP</t>
        </is>
      </c>
      <c r="D65" s="127" t="n">
        <v>1</v>
      </c>
      <c r="E65" s="127" t="n">
        <v>0.95</v>
      </c>
      <c r="F65" s="91" t="n"/>
      <c r="G65" s="125" t="inlineStr">
        <is>
          <t>kpi.mkt.nps</t>
        </is>
      </c>
      <c r="H65" s="91" t="n"/>
      <c r="I65" s="91" t="n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</row>
    <row r="66">
      <c r="A66" s="91" t="n"/>
      <c r="B66" s="125" t="inlineStr">
        <is>
          <t>kpi.mkt.members</t>
        </is>
      </c>
      <c r="C66" s="126" t="inlineStr">
        <is>
          <t>UP</t>
        </is>
      </c>
      <c r="D66" s="127" t="n">
        <v>1</v>
      </c>
      <c r="E66" s="127" t="n">
        <v>0.95</v>
      </c>
      <c r="F66" s="91" t="n"/>
      <c r="G66" s="125" t="inlineStr">
        <is>
          <t>kpi.mkt.members</t>
        </is>
      </c>
      <c r="H66" s="91" t="n"/>
      <c r="I66" s="91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</row>
    <row r="67">
      <c r="A67" s="91" t="n"/>
      <c r="B67" s="125" t="inlineStr">
        <is>
          <t>kpi.mkt.member_act</t>
        </is>
      </c>
      <c r="C67" s="126" t="inlineStr">
        <is>
          <t>UP</t>
        </is>
      </c>
      <c r="D67" s="127" t="n">
        <v>1</v>
      </c>
      <c r="E67" s="127" t="n">
        <v>0.95</v>
      </c>
      <c r="F67" s="91" t="n"/>
      <c r="G67" s="125" t="inlineStr">
        <is>
          <t>kpi.mkt.member_act</t>
        </is>
      </c>
      <c r="H67" s="91" t="n"/>
      <c r="I67" s="91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91" t="n"/>
      <c r="T67" s="91" t="n"/>
      <c r="U67" s="91" t="n"/>
      <c r="V67" s="91" t="n"/>
      <c r="W67" s="91" t="n"/>
    </row>
    <row r="68">
      <c r="A68" s="91" t="n"/>
      <c r="B68" s="125" t="inlineStr">
        <is>
          <t>kpi.mkt.basket_member</t>
        </is>
      </c>
      <c r="C68" s="126" t="inlineStr">
        <is>
          <t>UP</t>
        </is>
      </c>
      <c r="D68" s="127" t="n">
        <v>1</v>
      </c>
      <c r="E68" s="127" t="n">
        <v>0.95</v>
      </c>
      <c r="F68" s="91" t="n"/>
      <c r="G68" s="125" t="inlineStr">
        <is>
          <t>kpi.mkt.basket_member</t>
        </is>
      </c>
      <c r="H68" s="91" t="n"/>
      <c r="I68" s="91" t="n"/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</row>
    <row r="69">
      <c r="A69" s="91" t="n"/>
      <c r="B69" s="125" t="inlineStr">
        <is>
          <t>kpi.com.tenant_sales</t>
        </is>
      </c>
      <c r="C69" s="126" t="inlineStr">
        <is>
          <t>UP</t>
        </is>
      </c>
      <c r="D69" s="127" t="n">
        <v>1</v>
      </c>
      <c r="E69" s="127" t="n">
        <v>0.95</v>
      </c>
      <c r="F69" s="91" t="n"/>
      <c r="G69" s="125" t="inlineStr">
        <is>
          <t>kpi.com.tenant_sales</t>
        </is>
      </c>
      <c r="H69" s="128" t="n">
        <v>1250000000</v>
      </c>
      <c r="I69" s="128" t="n">
        <v>1262500000</v>
      </c>
      <c r="J69" s="128" t="n">
        <v>1275000000</v>
      </c>
      <c r="K69" s="128" t="n">
        <v>1287500000</v>
      </c>
      <c r="L69" s="128" t="n">
        <v>1300000000</v>
      </c>
      <c r="M69" s="128" t="n">
        <v>1312500000</v>
      </c>
      <c r="N69" s="128" t="n">
        <v>1325000000</v>
      </c>
      <c r="O69" s="128" t="n">
        <v>1337500000</v>
      </c>
      <c r="P69" s="128" t="n">
        <v>1350000000</v>
      </c>
      <c r="Q69" s="128" t="n">
        <v>1362500000</v>
      </c>
      <c r="R69" s="128" t="n">
        <v>1375000000</v>
      </c>
      <c r="S69" s="128" t="n">
        <v>1387500000</v>
      </c>
      <c r="T69" s="91" t="n"/>
      <c r="U69" s="91" t="n"/>
      <c r="V69" s="91" t="n"/>
      <c r="W69" s="91" t="n"/>
    </row>
    <row r="70">
      <c r="A70" s="91" t="n"/>
      <c r="B70" s="125" t="inlineStr">
        <is>
          <t>kpi.com.total_sales</t>
        </is>
      </c>
      <c r="C70" s="126" t="inlineStr">
        <is>
          <t>UP</t>
        </is>
      </c>
      <c r="D70" s="127" t="n">
        <v>1</v>
      </c>
      <c r="E70" s="127" t="n">
        <v>0.95</v>
      </c>
      <c r="F70" s="91" t="n"/>
      <c r="G70" s="125" t="inlineStr">
        <is>
          <t>kpi.com.total_sales</t>
        </is>
      </c>
      <c r="H70" s="128" t="n">
        <v>1300000000</v>
      </c>
      <c r="I70" s="128" t="n">
        <v>1313000000</v>
      </c>
      <c r="J70" s="128" t="n">
        <v>1326000000</v>
      </c>
      <c r="K70" s="128" t="n">
        <v>1339000000</v>
      </c>
      <c r="L70" s="128" t="n">
        <v>1352000000</v>
      </c>
      <c r="M70" s="128" t="n">
        <v>1365000000</v>
      </c>
      <c r="N70" s="128" t="n">
        <v>1378000000</v>
      </c>
      <c r="O70" s="128" t="n">
        <v>1391000000</v>
      </c>
      <c r="P70" s="128" t="n">
        <v>1404000000</v>
      </c>
      <c r="Q70" s="128" t="n">
        <v>1417000000</v>
      </c>
      <c r="R70" s="128" t="n">
        <v>1430000000</v>
      </c>
      <c r="S70" s="128" t="n">
        <v>1443000000</v>
      </c>
      <c r="T70" s="91" t="n"/>
      <c r="U70" s="91" t="n"/>
      <c r="V70" s="91" t="n"/>
      <c r="W70" s="91" t="n"/>
    </row>
    <row r="71">
      <c r="A71" s="91" t="n"/>
      <c r="B71" s="125" t="inlineStr">
        <is>
          <t>kpi.com.sales_sqm</t>
        </is>
      </c>
      <c r="C71" s="126" t="inlineStr">
        <is>
          <t>UP</t>
        </is>
      </c>
      <c r="D71" s="127" t="n">
        <v>1</v>
      </c>
      <c r="E71" s="127" t="n">
        <v>0.95</v>
      </c>
      <c r="F71" s="91" t="n"/>
      <c r="G71" s="125" t="inlineStr">
        <is>
          <t>kpi.com.sales_sqm</t>
        </is>
      </c>
      <c r="H71" s="91" t="n"/>
      <c r="I71" s="91" t="n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</row>
    <row r="72">
      <c r="A72" s="91" t="n"/>
      <c r="B72" s="125" t="inlineStr">
        <is>
          <t>kpi.com.lfl</t>
        </is>
      </c>
      <c r="C72" s="126" t="inlineStr">
        <is>
          <t>UP</t>
        </is>
      </c>
      <c r="D72" s="127" t="n">
        <v>1</v>
      </c>
      <c r="E72" s="127" t="n">
        <v>0.95</v>
      </c>
      <c r="F72" s="91" t="n"/>
      <c r="G72" s="125" t="inlineStr">
        <is>
          <t>kpi.com.lfl</t>
        </is>
      </c>
      <c r="H72" s="91" t="n"/>
      <c r="I72" s="91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</row>
    <row r="73">
      <c r="A73" s="91" t="n"/>
      <c r="B73" s="125" t="inlineStr">
        <is>
          <t>kpi.com.new_leases</t>
        </is>
      </c>
      <c r="C73" s="126" t="inlineStr">
        <is>
          <t>UP</t>
        </is>
      </c>
      <c r="D73" s="127" t="n">
        <v>1</v>
      </c>
      <c r="E73" s="127" t="n">
        <v>0.95</v>
      </c>
      <c r="F73" s="91" t="n"/>
      <c r="G73" s="125" t="inlineStr">
        <is>
          <t>kpi.com.new_leases</t>
        </is>
      </c>
      <c r="H73" s="128" t="n">
        <v>3</v>
      </c>
      <c r="I73" s="128" t="n">
        <v>3</v>
      </c>
      <c r="J73" s="128" t="n">
        <v>3</v>
      </c>
      <c r="K73" s="128" t="n">
        <v>3</v>
      </c>
      <c r="L73" s="128" t="n">
        <v>3</v>
      </c>
      <c r="M73" s="128" t="n">
        <v>3</v>
      </c>
      <c r="N73" s="128" t="n">
        <v>3</v>
      </c>
      <c r="O73" s="128" t="n">
        <v>3</v>
      </c>
      <c r="P73" s="128" t="n">
        <v>3</v>
      </c>
      <c r="Q73" s="128" t="n">
        <v>3</v>
      </c>
      <c r="R73" s="128" t="n">
        <v>3</v>
      </c>
      <c r="S73" s="128" t="n">
        <v>3</v>
      </c>
      <c r="T73" s="91" t="n"/>
      <c r="U73" s="91" t="n"/>
      <c r="V73" s="91" t="n"/>
      <c r="W73" s="91" t="n"/>
    </row>
    <row r="74">
      <c r="A74" s="91" t="n"/>
      <c r="B74" s="125" t="inlineStr">
        <is>
          <t>kpi.com.pipeline</t>
        </is>
      </c>
      <c r="C74" s="126" t="inlineStr">
        <is>
          <t>UP</t>
        </is>
      </c>
      <c r="D74" s="127" t="n">
        <v>1</v>
      </c>
      <c r="E74" s="127" t="n">
        <v>0.95</v>
      </c>
      <c r="F74" s="91" t="n"/>
      <c r="G74" s="125" t="inlineStr">
        <is>
          <t>kpi.com.pipeline</t>
        </is>
      </c>
      <c r="H74" s="128" t="n">
        <v>340000000</v>
      </c>
      <c r="I74" s="128" t="n">
        <v>340000000</v>
      </c>
      <c r="J74" s="128" t="n">
        <v>340000000</v>
      </c>
      <c r="K74" s="128" t="n">
        <v>340000000</v>
      </c>
      <c r="L74" s="128" t="n">
        <v>340000000</v>
      </c>
      <c r="M74" s="128" t="n">
        <v>340000000</v>
      </c>
      <c r="N74" s="128" t="n">
        <v>340000000</v>
      </c>
      <c r="O74" s="128" t="n">
        <v>340000000</v>
      </c>
      <c r="P74" s="128" t="n">
        <v>340000000</v>
      </c>
      <c r="Q74" s="128" t="n">
        <v>340000000</v>
      </c>
      <c r="R74" s="128" t="n">
        <v>340000000</v>
      </c>
      <c r="S74" s="128" t="n">
        <v>340000000</v>
      </c>
      <c r="T74" s="91" t="n"/>
      <c r="U74" s="91" t="n"/>
      <c r="V74" s="91" t="n"/>
      <c r="W74" s="91" t="n"/>
    </row>
    <row r="75">
      <c r="A75" s="91" t="n"/>
      <c r="B75" s="125" t="inlineStr">
        <is>
          <t>kpi.com.leases_renewed</t>
        </is>
      </c>
      <c r="C75" s="126" t="inlineStr">
        <is>
          <t>UP</t>
        </is>
      </c>
      <c r="D75" s="127" t="n">
        <v>1</v>
      </c>
      <c r="E75" s="127" t="n">
        <v>0.95</v>
      </c>
      <c r="F75" s="91" t="n"/>
      <c r="G75" s="125" t="inlineStr">
        <is>
          <t>kpi.com.leases_renewed</t>
        </is>
      </c>
      <c r="H75" s="91" t="n"/>
      <c r="I75" s="91" t="n"/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</row>
    <row r="76">
      <c r="A76" s="91" t="n"/>
      <c r="B76" s="125" t="inlineStr">
        <is>
          <t>kpi.com.pipeline_conv</t>
        </is>
      </c>
      <c r="C76" s="126" t="inlineStr">
        <is>
          <t>UP</t>
        </is>
      </c>
      <c r="D76" s="127" t="n">
        <v>1</v>
      </c>
      <c r="E76" s="127" t="n">
        <v>0.95</v>
      </c>
      <c r="F76" s="91" t="n"/>
      <c r="G76" s="125" t="inlineStr">
        <is>
          <t>kpi.com.pipeline_conv</t>
        </is>
      </c>
      <c r="H76" s="91" t="n"/>
      <c r="I76" s="91" t="n"/>
      <c r="J76" s="91" t="n"/>
      <c r="K76" s="91" t="n"/>
      <c r="L76" s="91" t="n"/>
      <c r="M76" s="91" t="n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</row>
    <row r="77">
      <c r="A77" s="91" t="n"/>
      <c r="B77" s="125" t="inlineStr">
        <is>
          <t>kpi.com.popup_count</t>
        </is>
      </c>
      <c r="C77" s="126" t="inlineStr">
        <is>
          <t>UP</t>
        </is>
      </c>
      <c r="D77" s="127" t="n">
        <v>1</v>
      </c>
      <c r="E77" s="127" t="n">
        <v>0.95</v>
      </c>
      <c r="F77" s="91" t="n"/>
      <c r="G77" s="125" t="inlineStr">
        <is>
          <t>kpi.com.popup_count</t>
        </is>
      </c>
      <c r="H77" s="128" t="n">
        <v>6</v>
      </c>
      <c r="I77" s="128" t="n">
        <v>6</v>
      </c>
      <c r="J77" s="128" t="n">
        <v>6</v>
      </c>
      <c r="K77" s="128" t="n">
        <v>6</v>
      </c>
      <c r="L77" s="128" t="n">
        <v>6</v>
      </c>
      <c r="M77" s="128" t="n">
        <v>6</v>
      </c>
      <c r="N77" s="128" t="n">
        <v>6</v>
      </c>
      <c r="O77" s="128" t="n">
        <v>6</v>
      </c>
      <c r="P77" s="128" t="n">
        <v>6</v>
      </c>
      <c r="Q77" s="128" t="n">
        <v>6</v>
      </c>
      <c r="R77" s="128" t="n">
        <v>6</v>
      </c>
      <c r="S77" s="128" t="n">
        <v>6</v>
      </c>
      <c r="T77" s="91" t="n"/>
      <c r="U77" s="91" t="n"/>
      <c r="V77" s="91" t="n"/>
      <c r="W77" s="91" t="n"/>
    </row>
    <row r="78">
      <c r="A78" s="91" t="n"/>
      <c r="B78" s="125" t="inlineStr">
        <is>
          <t>kpi.com.popup_rev</t>
        </is>
      </c>
      <c r="C78" s="126" t="inlineStr">
        <is>
          <t>UP</t>
        </is>
      </c>
      <c r="D78" s="127" t="n">
        <v>1</v>
      </c>
      <c r="E78" s="127" t="n">
        <v>0.95</v>
      </c>
      <c r="F78" s="91" t="n"/>
      <c r="G78" s="125" t="inlineStr">
        <is>
          <t>kpi.com.popup_rev</t>
        </is>
      </c>
      <c r="H78" s="128" t="n">
        <v>18000000</v>
      </c>
      <c r="I78" s="128" t="n">
        <v>18180000</v>
      </c>
      <c r="J78" s="128" t="n">
        <v>18360000</v>
      </c>
      <c r="K78" s="128" t="n">
        <v>18540000</v>
      </c>
      <c r="L78" s="128" t="n">
        <v>18720000</v>
      </c>
      <c r="M78" s="128" t="n">
        <v>18900000</v>
      </c>
      <c r="N78" s="128" t="n">
        <v>19080000</v>
      </c>
      <c r="O78" s="128" t="n">
        <v>19260000</v>
      </c>
      <c r="P78" s="128" t="n">
        <v>19440000</v>
      </c>
      <c r="Q78" s="128" t="n">
        <v>19620000</v>
      </c>
      <c r="R78" s="128" t="n">
        <v>19800000</v>
      </c>
      <c r="S78" s="128" t="n">
        <v>19980000</v>
      </c>
      <c r="T78" s="91" t="n"/>
      <c r="U78" s="91" t="n"/>
      <c r="V78" s="91" t="n"/>
      <c r="W78" s="91" t="n"/>
    </row>
    <row r="79">
      <c r="A79" s="91" t="n"/>
      <c r="B79" s="125" t="inlineStr">
        <is>
          <t>kpi.com.kiosk_occ</t>
        </is>
      </c>
      <c r="C79" s="126" t="inlineStr">
        <is>
          <t>UP</t>
        </is>
      </c>
      <c r="D79" s="127" t="n">
        <v>1</v>
      </c>
      <c r="E79" s="127" t="n">
        <v>0.95</v>
      </c>
      <c r="F79" s="91" t="n"/>
      <c r="G79" s="125" t="inlineStr">
        <is>
          <t>kpi.com.kiosk_occ</t>
        </is>
      </c>
      <c r="H79" s="129" t="n">
        <v>0.78</v>
      </c>
      <c r="I79" s="129" t="n">
        <v>0.78</v>
      </c>
      <c r="J79" s="129" t="n">
        <v>0.78</v>
      </c>
      <c r="K79" s="129" t="n">
        <v>0.78</v>
      </c>
      <c r="L79" s="129" t="n">
        <v>0.78</v>
      </c>
      <c r="M79" s="129" t="n">
        <v>0.78</v>
      </c>
      <c r="N79" s="129" t="n">
        <v>0.78</v>
      </c>
      <c r="O79" s="129" t="n">
        <v>0.78</v>
      </c>
      <c r="P79" s="129" t="n">
        <v>0.78</v>
      </c>
      <c r="Q79" s="129" t="n">
        <v>0.78</v>
      </c>
      <c r="R79" s="129" t="n">
        <v>0.78</v>
      </c>
      <c r="S79" s="129" t="n">
        <v>0.78</v>
      </c>
      <c r="T79" s="91" t="n"/>
      <c r="U79" s="91" t="n"/>
      <c r="V79" s="91" t="n"/>
      <c r="W79" s="91" t="n"/>
    </row>
    <row r="80">
      <c r="A80" s="91" t="n"/>
      <c r="B80" s="125" t="inlineStr">
        <is>
          <t>kpi.com.market_rev</t>
        </is>
      </c>
      <c r="C80" s="126" t="inlineStr">
        <is>
          <t>UP</t>
        </is>
      </c>
      <c r="D80" s="127" t="n">
        <v>1</v>
      </c>
      <c r="E80" s="127" t="n">
        <v>0.95</v>
      </c>
      <c r="F80" s="91" t="n"/>
      <c r="G80" s="125" t="inlineStr">
        <is>
          <t>kpi.com.market_rev</t>
        </is>
      </c>
      <c r="H80" s="128" t="n">
        <v>42000000</v>
      </c>
      <c r="I80" s="128" t="n">
        <v>42420000</v>
      </c>
      <c r="J80" s="128" t="n">
        <v>42840000</v>
      </c>
      <c r="K80" s="128" t="n">
        <v>43260000</v>
      </c>
      <c r="L80" s="128" t="n">
        <v>43680000</v>
      </c>
      <c r="M80" s="128" t="n">
        <v>44100000</v>
      </c>
      <c r="N80" s="128" t="n">
        <v>44520000</v>
      </c>
      <c r="O80" s="128" t="n">
        <v>44940000</v>
      </c>
      <c r="P80" s="128" t="n">
        <v>45360000</v>
      </c>
      <c r="Q80" s="128" t="n">
        <v>45780000</v>
      </c>
      <c r="R80" s="128" t="n">
        <v>46200000</v>
      </c>
      <c r="S80" s="128" t="n">
        <v>46620000</v>
      </c>
      <c r="T80" s="91" t="n"/>
      <c r="U80" s="91" t="n"/>
      <c r="V80" s="91" t="n"/>
      <c r="W80" s="91" t="n"/>
    </row>
    <row r="81">
      <c r="A81" s="91" t="n"/>
      <c r="B81" s="125" t="inlineStr">
        <is>
          <t>kpi.com.market_occ</t>
        </is>
      </c>
      <c r="C81" s="126" t="inlineStr">
        <is>
          <t>UP</t>
        </is>
      </c>
      <c r="D81" s="127" t="n">
        <v>1</v>
      </c>
      <c r="E81" s="127" t="n">
        <v>0.95</v>
      </c>
      <c r="F81" s="91" t="n"/>
      <c r="G81" s="125" t="inlineStr">
        <is>
          <t>kpi.com.market_occ</t>
        </is>
      </c>
      <c r="H81" s="129" t="n">
        <v>0.83</v>
      </c>
      <c r="I81" s="129" t="n">
        <v>0.83</v>
      </c>
      <c r="J81" s="129" t="n">
        <v>0.83</v>
      </c>
      <c r="K81" s="129" t="n">
        <v>0.83</v>
      </c>
      <c r="L81" s="129" t="n">
        <v>0.83</v>
      </c>
      <c r="M81" s="129" t="n">
        <v>0.83</v>
      </c>
      <c r="N81" s="129" t="n">
        <v>0.83</v>
      </c>
      <c r="O81" s="129" t="n">
        <v>0.83</v>
      </c>
      <c r="P81" s="129" t="n">
        <v>0.83</v>
      </c>
      <c r="Q81" s="129" t="n">
        <v>0.83</v>
      </c>
      <c r="R81" s="129" t="n">
        <v>0.83</v>
      </c>
      <c r="S81" s="129" t="n">
        <v>0.83</v>
      </c>
      <c r="T81" s="91" t="n"/>
      <c r="U81" s="91" t="n"/>
      <c r="V81" s="91" t="n"/>
      <c r="W81" s="91" t="n"/>
    </row>
    <row r="82">
      <c r="A82" s="91" t="n"/>
      <c r="B82" s="125" t="inlineStr">
        <is>
          <t>kpi.com.market_stalls</t>
        </is>
      </c>
      <c r="C82" s="126" t="inlineStr">
        <is>
          <t>UP</t>
        </is>
      </c>
      <c r="D82" s="127" t="n">
        <v>1</v>
      </c>
      <c r="E82" s="127" t="n">
        <v>0.95</v>
      </c>
      <c r="F82" s="91" t="n"/>
      <c r="G82" s="125" t="inlineStr">
        <is>
          <t>kpi.com.market_stalls</t>
        </is>
      </c>
      <c r="H82" s="128" t="n">
        <v>45</v>
      </c>
      <c r="I82" s="128" t="n">
        <v>45</v>
      </c>
      <c r="J82" s="128" t="n">
        <v>45</v>
      </c>
      <c r="K82" s="128" t="n">
        <v>45</v>
      </c>
      <c r="L82" s="128" t="n">
        <v>45</v>
      </c>
      <c r="M82" s="128" t="n">
        <v>45</v>
      </c>
      <c r="N82" s="128" t="n">
        <v>45</v>
      </c>
      <c r="O82" s="128" t="n">
        <v>45</v>
      </c>
      <c r="P82" s="128" t="n">
        <v>45</v>
      </c>
      <c r="Q82" s="128" t="n">
        <v>45</v>
      </c>
      <c r="R82" s="128" t="n">
        <v>45</v>
      </c>
      <c r="S82" s="128" t="n">
        <v>45</v>
      </c>
      <c r="T82" s="91" t="n"/>
      <c r="U82" s="91" t="n"/>
      <c r="V82" s="91" t="n"/>
      <c r="W82" s="91" t="n"/>
    </row>
    <row r="83">
      <c r="A83" s="91" t="n"/>
      <c r="B83" s="125" t="inlineStr">
        <is>
          <t>kpi.com.media_sales</t>
        </is>
      </c>
      <c r="C83" s="126" t="inlineStr">
        <is>
          <t>UP</t>
        </is>
      </c>
      <c r="D83" s="127" t="n">
        <v>1</v>
      </c>
      <c r="E83" s="127" t="n">
        <v>0.95</v>
      </c>
      <c r="F83" s="91" t="n"/>
      <c r="G83" s="125" t="inlineStr">
        <is>
          <t>kpi.com.media_sales</t>
        </is>
      </c>
      <c r="H83" s="128" t="n">
        <v>28000000</v>
      </c>
      <c r="I83" s="128" t="n">
        <v>28280000</v>
      </c>
      <c r="J83" s="128" t="n">
        <v>28560000</v>
      </c>
      <c r="K83" s="128" t="n">
        <v>28840000</v>
      </c>
      <c r="L83" s="128" t="n">
        <v>29120000</v>
      </c>
      <c r="M83" s="128" t="n">
        <v>29400000</v>
      </c>
      <c r="N83" s="128" t="n">
        <v>29680000</v>
      </c>
      <c r="O83" s="128" t="n">
        <v>29960000</v>
      </c>
      <c r="P83" s="128" t="n">
        <v>30240000</v>
      </c>
      <c r="Q83" s="128" t="n">
        <v>30520000</v>
      </c>
      <c r="R83" s="128" t="n">
        <v>30800000</v>
      </c>
      <c r="S83" s="128" t="n">
        <v>31080000</v>
      </c>
      <c r="T83" s="91" t="n"/>
      <c r="U83" s="91" t="n"/>
      <c r="V83" s="91" t="n"/>
      <c r="W83" s="91" t="n"/>
    </row>
    <row r="84">
      <c r="A84" s="91" t="n"/>
      <c r="B84" s="125" t="inlineStr">
        <is>
          <t>kpi.com.partnership_rev</t>
        </is>
      </c>
      <c r="C84" s="126" t="inlineStr">
        <is>
          <t>UP</t>
        </is>
      </c>
      <c r="D84" s="127" t="n">
        <v>1</v>
      </c>
      <c r="E84" s="127" t="n">
        <v>0.95</v>
      </c>
      <c r="F84" s="91" t="n"/>
      <c r="G84" s="125" t="inlineStr">
        <is>
          <t>kpi.com.partnership_rev</t>
        </is>
      </c>
      <c r="H84" s="91" t="n"/>
      <c r="I84" s="91" t="n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91" t="n"/>
      <c r="T84" s="91" t="n"/>
      <c r="U84" s="91" t="n"/>
      <c r="V84" s="91" t="n"/>
      <c r="W84" s="91" t="n"/>
    </row>
    <row r="85">
      <c r="A85" s="91" t="n"/>
      <c r="B85" s="125" t="inlineStr">
        <is>
          <t>kpi.com.activations</t>
        </is>
      </c>
      <c r="C85" s="126" t="inlineStr">
        <is>
          <t>UP</t>
        </is>
      </c>
      <c r="D85" s="127" t="n">
        <v>1</v>
      </c>
      <c r="E85" s="127" t="n">
        <v>0.95</v>
      </c>
      <c r="F85" s="91" t="n"/>
      <c r="G85" s="125" t="inlineStr">
        <is>
          <t>kpi.com.activations</t>
        </is>
      </c>
      <c r="H85" s="91" t="n"/>
      <c r="I85" s="91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91" t="n"/>
      <c r="T85" s="91" t="n"/>
      <c r="U85" s="91" t="n"/>
      <c r="V85" s="91" t="n"/>
      <c r="W85" s="91" t="n"/>
    </row>
    <row r="86">
      <c r="A86" s="91" t="n"/>
      <c r="B86" s="125" t="inlineStr">
        <is>
          <t>kpi.com.activation_rev</t>
        </is>
      </c>
      <c r="C86" s="126" t="inlineStr">
        <is>
          <t>UP</t>
        </is>
      </c>
      <c r="D86" s="127" t="n">
        <v>1</v>
      </c>
      <c r="E86" s="127" t="n">
        <v>0.95</v>
      </c>
      <c r="F86" s="91" t="n"/>
      <c r="G86" s="125" t="inlineStr">
        <is>
          <t>kpi.com.activation_rev</t>
        </is>
      </c>
      <c r="H86" s="91" t="n"/>
      <c r="I86" s="91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91" t="n"/>
      <c r="T86" s="91" t="n"/>
      <c r="U86" s="91" t="n"/>
      <c r="V86" s="91" t="n"/>
      <c r="W86" s="91" t="n"/>
    </row>
    <row r="87">
      <c r="A87" s="91" t="n"/>
      <c r="B87" s="125" t="inlineStr">
        <is>
          <t>kpi.com.discount</t>
        </is>
      </c>
      <c r="C87" s="126" t="inlineStr">
        <is>
          <t>DOWN</t>
        </is>
      </c>
      <c r="D87" s="127" t="n">
        <v>1</v>
      </c>
      <c r="E87" s="127" t="n">
        <v>1.05</v>
      </c>
      <c r="F87" s="91" t="n"/>
      <c r="G87" s="125" t="inlineStr">
        <is>
          <t>kpi.com.discount</t>
        </is>
      </c>
      <c r="H87" s="91" t="n"/>
      <c r="I87" s="91" t="n"/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91" t="n"/>
      <c r="T87" s="91" t="n"/>
      <c r="U87" s="91" t="n"/>
      <c r="V87" s="91" t="n"/>
      <c r="W87" s="91" t="n"/>
    </row>
    <row r="88">
      <c r="A88" s="91" t="n"/>
      <c r="B88" s="125" t="inlineStr">
        <is>
          <t>kpi.hsse.incidents</t>
        </is>
      </c>
      <c r="C88" s="126" t="inlineStr">
        <is>
          <t>DOWN</t>
        </is>
      </c>
      <c r="D88" s="127" t="n">
        <v>1</v>
      </c>
      <c r="E88" s="127" t="n">
        <v>1.05</v>
      </c>
      <c r="F88" s="91" t="n"/>
      <c r="G88" s="125" t="inlineStr">
        <is>
          <t>kpi.hsse.incidents</t>
        </is>
      </c>
      <c r="H88" s="91" t="n"/>
      <c r="I88" s="91" t="n"/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</row>
    <row r="89">
      <c r="A89" s="91" t="n"/>
      <c r="B89" s="125" t="inlineStr">
        <is>
          <t>kpi.hsse.incident_sev</t>
        </is>
      </c>
      <c r="C89" s="126" t="inlineStr">
        <is>
          <t>DOWN</t>
        </is>
      </c>
      <c r="D89" s="127" t="n">
        <v>1</v>
      </c>
      <c r="E89" s="127" t="n">
        <v>1.05</v>
      </c>
      <c r="F89" s="91" t="n"/>
      <c r="G89" s="125" t="inlineStr">
        <is>
          <t>kpi.hsse.incident_sev</t>
        </is>
      </c>
      <c r="H89" s="91" t="n"/>
      <c r="I89" s="91" t="n"/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91" t="n"/>
      <c r="T89" s="91" t="n"/>
      <c r="U89" s="91" t="n"/>
      <c r="V89" s="91" t="n"/>
      <c r="W89" s="91" t="n"/>
    </row>
    <row r="90">
      <c r="A90" s="91" t="n"/>
      <c r="B90" s="125" t="inlineStr">
        <is>
          <t>kpi.hsse.tf</t>
        </is>
      </c>
      <c r="C90" s="126" t="inlineStr">
        <is>
          <t>DOWN</t>
        </is>
      </c>
      <c r="D90" s="127" t="n">
        <v>1</v>
      </c>
      <c r="E90" s="127" t="n">
        <v>1.05</v>
      </c>
      <c r="F90" s="91" t="n"/>
      <c r="G90" s="125" t="inlineStr">
        <is>
          <t>kpi.hsse.tf</t>
        </is>
      </c>
      <c r="H90" s="91" t="n"/>
      <c r="I90" s="91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91" t="n"/>
      <c r="T90" s="91" t="n"/>
      <c r="U90" s="91" t="n"/>
      <c r="V90" s="91" t="n"/>
      <c r="W90" s="91" t="n"/>
    </row>
    <row r="91">
      <c r="A91" s="91" t="n"/>
      <c r="B91" s="125" t="inlineStr">
        <is>
          <t>kpi.hsse.tg</t>
        </is>
      </c>
      <c r="C91" s="126" t="inlineStr">
        <is>
          <t>DOWN</t>
        </is>
      </c>
      <c r="D91" s="127" t="n">
        <v>1</v>
      </c>
      <c r="E91" s="127" t="n">
        <v>1.05</v>
      </c>
      <c r="F91" s="91" t="n"/>
      <c r="G91" s="125" t="inlineStr">
        <is>
          <t>kpi.hsse.tg</t>
        </is>
      </c>
      <c r="H91" s="91" t="n"/>
      <c r="I91" s="91" t="n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91" t="n"/>
      <c r="T91" s="91" t="n"/>
      <c r="U91" s="91" t="n"/>
      <c r="V91" s="91" t="n"/>
      <c r="W91" s="91" t="n"/>
    </row>
    <row r="92">
      <c r="A92" s="91" t="n"/>
      <c r="B92" s="125" t="inlineStr">
        <is>
          <t>kpi.hsse.nearmiss</t>
        </is>
      </c>
      <c r="C92" s="126" t="inlineStr">
        <is>
          <t>UP</t>
        </is>
      </c>
      <c r="D92" s="127" t="n">
        <v>1</v>
      </c>
      <c r="E92" s="127" t="n">
        <v>0.95</v>
      </c>
      <c r="F92" s="91" t="n"/>
      <c r="G92" s="125" t="inlineStr">
        <is>
          <t>kpi.hsse.nearmiss</t>
        </is>
      </c>
      <c r="H92" s="91" t="n"/>
      <c r="I92" s="91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</row>
    <row r="93">
      <c r="A93" s="91" t="n"/>
      <c r="B93" s="125" t="inlineStr">
        <is>
          <t>kpi.hsse.days_no_lti</t>
        </is>
      </c>
      <c r="C93" s="126" t="inlineStr">
        <is>
          <t>UP</t>
        </is>
      </c>
      <c r="D93" s="127" t="n">
        <v>1</v>
      </c>
      <c r="E93" s="127" t="n">
        <v>0.95</v>
      </c>
      <c r="F93" s="91" t="n"/>
      <c r="G93" s="125" t="inlineStr">
        <is>
          <t>kpi.hsse.days_no_lti</t>
        </is>
      </c>
      <c r="H93" s="91" t="n"/>
      <c r="I93" s="91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</row>
    <row r="94">
      <c r="A94" s="91" t="n"/>
      <c r="B94" s="125" t="inlineStr">
        <is>
          <t>kpi.hsse.evac_drills</t>
        </is>
      </c>
      <c r="C94" s="126" t="inlineStr">
        <is>
          <t>UP</t>
        </is>
      </c>
      <c r="D94" s="127" t="n">
        <v>1</v>
      </c>
      <c r="E94" s="127" t="n">
        <v>0.95</v>
      </c>
      <c r="F94" s="91" t="n"/>
      <c r="G94" s="125" t="inlineStr">
        <is>
          <t>kpi.hsse.evac_drills</t>
        </is>
      </c>
      <c r="H94" s="91" t="n"/>
      <c r="I94" s="91" t="n"/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</row>
    <row r="95">
      <c r="A95" s="91" t="n"/>
      <c r="B95" s="125" t="inlineStr">
        <is>
          <t>kpi.hsse.fire_conform</t>
        </is>
      </c>
      <c r="C95" s="126" t="inlineStr">
        <is>
          <t>UP</t>
        </is>
      </c>
      <c r="D95" s="127" t="n">
        <v>1</v>
      </c>
      <c r="E95" s="127" t="n">
        <v>0.95</v>
      </c>
      <c r="F95" s="91" t="n"/>
      <c r="G95" s="125" t="inlineStr">
        <is>
          <t>kpi.hsse.fire_conform</t>
        </is>
      </c>
      <c r="H95" s="91" t="n"/>
      <c r="I95" s="91" t="n"/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</row>
    <row r="96">
      <c r="A96" s="91" t="n"/>
      <c r="B96" s="125" t="inlineStr">
        <is>
          <t>kpi.hsse.fire_alarms</t>
        </is>
      </c>
      <c r="C96" s="126" t="inlineStr">
        <is>
          <t>DOWN</t>
        </is>
      </c>
      <c r="D96" s="127" t="n">
        <v>1</v>
      </c>
      <c r="E96" s="127" t="n">
        <v>1.05</v>
      </c>
      <c r="F96" s="91" t="n"/>
      <c r="G96" s="125" t="inlineStr">
        <is>
          <t>kpi.hsse.fire_alarms</t>
        </is>
      </c>
      <c r="H96" s="91" t="n"/>
      <c r="I96" s="91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</row>
    <row r="97">
      <c r="A97" s="91" t="n"/>
      <c r="B97" s="125" t="inlineStr">
        <is>
          <t>kpi.hsse.evac_time</t>
        </is>
      </c>
      <c r="C97" s="126" t="inlineStr">
        <is>
          <t>DOWN</t>
        </is>
      </c>
      <c r="D97" s="127" t="n">
        <v>1</v>
      </c>
      <c r="E97" s="127" t="n">
        <v>1.05</v>
      </c>
      <c r="F97" s="91" t="n"/>
      <c r="G97" s="125" t="inlineStr">
        <is>
          <t>kpi.hsse.evac_time</t>
        </is>
      </c>
      <c r="H97" s="91" t="n"/>
      <c r="I97" s="91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</row>
    <row r="98">
      <c r="A98" s="91" t="n"/>
      <c r="B98" s="125" t="inlineStr">
        <is>
          <t>kpi.hsse.sec_interv</t>
        </is>
      </c>
      <c r="C98" s="126" t="inlineStr">
        <is>
          <t>UP</t>
        </is>
      </c>
      <c r="D98" s="127" t="n">
        <v>1</v>
      </c>
      <c r="E98" s="127" t="n">
        <v>0.95</v>
      </c>
      <c r="F98" s="91" t="n"/>
      <c r="G98" s="125" t="inlineStr">
        <is>
          <t>kpi.hsse.sec_interv</t>
        </is>
      </c>
      <c r="H98" s="91" t="n"/>
      <c r="I98" s="91" t="n"/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91" t="n"/>
      <c r="T98" s="91" t="n"/>
      <c r="U98" s="91" t="n"/>
      <c r="V98" s="91" t="n"/>
      <c r="W98" s="91" t="n"/>
    </row>
    <row r="99">
      <c r="A99" s="91" t="n"/>
      <c r="B99" s="125" t="inlineStr">
        <is>
          <t>kpi.hsse.theft</t>
        </is>
      </c>
      <c r="C99" s="126" t="inlineStr">
        <is>
          <t>DOWN</t>
        </is>
      </c>
      <c r="D99" s="127" t="n">
        <v>1</v>
      </c>
      <c r="E99" s="127" t="n">
        <v>1.05</v>
      </c>
      <c r="F99" s="91" t="n"/>
      <c r="G99" s="125" t="inlineStr">
        <is>
          <t>kpi.hsse.theft</t>
        </is>
      </c>
      <c r="H99" s="91" t="n"/>
      <c r="I99" s="91" t="n"/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91" t="n"/>
      <c r="T99" s="91" t="n"/>
      <c r="U99" s="91" t="n"/>
      <c r="V99" s="91" t="n"/>
      <c r="W99" s="91" t="n"/>
    </row>
    <row r="100">
      <c r="A100" s="91" t="n"/>
      <c r="B100" s="125" t="inlineStr">
        <is>
          <t>kpi.hsse.cctv</t>
        </is>
      </c>
      <c r="C100" s="126" t="inlineStr">
        <is>
          <t>UP</t>
        </is>
      </c>
      <c r="D100" s="127" t="n">
        <v>1</v>
      </c>
      <c r="E100" s="127" t="n">
        <v>0.95</v>
      </c>
      <c r="F100" s="91" t="n"/>
      <c r="G100" s="125" t="inlineStr">
        <is>
          <t>kpi.hsse.cctv</t>
        </is>
      </c>
      <c r="H100" s="91" t="n"/>
      <c r="I100" s="91" t="n"/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</row>
    <row r="101">
      <c r="A101" s="91" t="n"/>
      <c r="B101" s="125" t="inlineStr">
        <is>
          <t>kpi.hsse.guards</t>
        </is>
      </c>
      <c r="C101" s="126" t="inlineStr">
        <is>
          <t>UP</t>
        </is>
      </c>
      <c r="D101" s="127" t="n">
        <v>1</v>
      </c>
      <c r="E101" s="127" t="n">
        <v>0.95</v>
      </c>
      <c r="F101" s="91" t="n"/>
      <c r="G101" s="125" t="inlineStr">
        <is>
          <t>kpi.hsse.guards</t>
        </is>
      </c>
      <c r="H101" s="91" t="n"/>
      <c r="I101" s="91" t="n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91" t="n"/>
      <c r="T101" s="91" t="n"/>
      <c r="U101" s="91" t="n"/>
      <c r="V101" s="91" t="n"/>
      <c r="W101" s="91" t="n"/>
    </row>
    <row r="102">
      <c r="A102" s="91" t="n"/>
      <c r="B102" s="125" t="inlineStr">
        <is>
          <t>kpi.hsse.risks_id</t>
        </is>
      </c>
      <c r="C102" s="126" t="inlineStr">
        <is>
          <t>UP</t>
        </is>
      </c>
      <c r="D102" s="127" t="n">
        <v>1</v>
      </c>
      <c r="E102" s="127" t="n">
        <v>0.95</v>
      </c>
      <c r="F102" s="91" t="n"/>
      <c r="G102" s="125" t="inlineStr">
        <is>
          <t>kpi.hsse.risks_id</t>
        </is>
      </c>
      <c r="H102" s="91" t="n"/>
      <c r="I102" s="91" t="n"/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91" t="n"/>
      <c r="T102" s="91" t="n"/>
      <c r="U102" s="91" t="n"/>
      <c r="V102" s="91" t="n"/>
      <c r="W102" s="91" t="n"/>
    </row>
    <row r="103">
      <c r="A103" s="91" t="n"/>
      <c r="B103" s="125" t="inlineStr">
        <is>
          <t>kpi.hsse.risks_treated</t>
        </is>
      </c>
      <c r="C103" s="126" t="inlineStr">
        <is>
          <t>UP</t>
        </is>
      </c>
      <c r="D103" s="127" t="n">
        <v>1</v>
      </c>
      <c r="E103" s="127" t="n">
        <v>0.95</v>
      </c>
      <c r="F103" s="91" t="n"/>
      <c r="G103" s="125" t="inlineStr">
        <is>
          <t>kpi.hsse.risks_treated</t>
        </is>
      </c>
      <c r="H103" s="91" t="n"/>
      <c r="I103" s="91" t="n"/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91" t="n"/>
      <c r="T103" s="91" t="n"/>
      <c r="U103" s="91" t="n"/>
      <c r="V103" s="91" t="n"/>
      <c r="W103" s="91" t="n"/>
    </row>
    <row r="104">
      <c r="A104" s="91" t="n"/>
      <c r="B104" s="125" t="inlineStr">
        <is>
          <t>kpi.hsse.action_close</t>
        </is>
      </c>
      <c r="C104" s="126" t="inlineStr">
        <is>
          <t>UP</t>
        </is>
      </c>
      <c r="D104" s="127" t="n">
        <v>1</v>
      </c>
      <c r="E104" s="127" t="n">
        <v>0.95</v>
      </c>
      <c r="F104" s="91" t="n"/>
      <c r="G104" s="125" t="inlineStr">
        <is>
          <t>kpi.hsse.action_close</t>
        </is>
      </c>
      <c r="H104" s="129" t="n">
        <v>0.82</v>
      </c>
      <c r="I104" s="129" t="n">
        <v>0.82</v>
      </c>
      <c r="J104" s="129" t="n">
        <v>0.82</v>
      </c>
      <c r="K104" s="129" t="n">
        <v>0.82</v>
      </c>
      <c r="L104" s="129" t="n">
        <v>0.82</v>
      </c>
      <c r="M104" s="129" t="n">
        <v>0.82</v>
      </c>
      <c r="N104" s="129" t="n">
        <v>0.82</v>
      </c>
      <c r="O104" s="129" t="n">
        <v>0.82</v>
      </c>
      <c r="P104" s="129" t="n">
        <v>0.82</v>
      </c>
      <c r="Q104" s="129" t="n">
        <v>0.82</v>
      </c>
      <c r="R104" s="129" t="n">
        <v>0.82</v>
      </c>
      <c r="S104" s="129" t="n">
        <v>0.82</v>
      </c>
      <c r="T104" s="91" t="n"/>
      <c r="U104" s="91" t="n"/>
      <c r="V104" s="91" t="n"/>
      <c r="W104" s="91" t="n"/>
    </row>
    <row r="105">
      <c r="A105" s="91" t="n"/>
      <c r="B105" s="125" t="inlineStr">
        <is>
          <t>kpi.hsse.audits</t>
        </is>
      </c>
      <c r="C105" s="126" t="inlineStr">
        <is>
          <t>UP</t>
        </is>
      </c>
      <c r="D105" s="127" t="n">
        <v>1</v>
      </c>
      <c r="E105" s="127" t="n">
        <v>0.95</v>
      </c>
      <c r="F105" s="91" t="n"/>
      <c r="G105" s="125" t="inlineStr">
        <is>
          <t>kpi.hsse.audits</t>
        </is>
      </c>
      <c r="H105" s="91" t="n"/>
      <c r="I105" s="91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91" t="n"/>
      <c r="T105" s="91" t="n"/>
      <c r="U105" s="91" t="n"/>
      <c r="V105" s="91" t="n"/>
      <c r="W105" s="91" t="n"/>
    </row>
    <row r="106">
      <c r="A106" s="91" t="n"/>
      <c r="B106" s="125" t="inlineStr">
        <is>
          <t>kpi.hsse.train_cover</t>
        </is>
      </c>
      <c r="C106" s="126" t="inlineStr">
        <is>
          <t>UP</t>
        </is>
      </c>
      <c r="D106" s="127" t="n">
        <v>1</v>
      </c>
      <c r="E106" s="127" t="n">
        <v>0.95</v>
      </c>
      <c r="F106" s="91" t="n"/>
      <c r="G106" s="125" t="inlineStr">
        <is>
          <t>kpi.hsse.train_cover</t>
        </is>
      </c>
      <c r="H106" s="129" t="n">
        <v>0.7</v>
      </c>
      <c r="I106" s="129" t="n">
        <v>0.7</v>
      </c>
      <c r="J106" s="129" t="n">
        <v>0.7</v>
      </c>
      <c r="K106" s="129" t="n">
        <v>0.7</v>
      </c>
      <c r="L106" s="129" t="n">
        <v>0.7</v>
      </c>
      <c r="M106" s="129" t="n">
        <v>0.7</v>
      </c>
      <c r="N106" s="129" t="n">
        <v>0.7</v>
      </c>
      <c r="O106" s="129" t="n">
        <v>0.7</v>
      </c>
      <c r="P106" s="129" t="n">
        <v>0.7</v>
      </c>
      <c r="Q106" s="129" t="n">
        <v>0.7</v>
      </c>
      <c r="R106" s="129" t="n">
        <v>0.7</v>
      </c>
      <c r="S106" s="129" t="n">
        <v>0.7</v>
      </c>
      <c r="T106" s="91" t="n"/>
      <c r="U106" s="91" t="n"/>
      <c r="V106" s="91" t="n"/>
      <c r="W106" s="91" t="n"/>
    </row>
    <row r="107">
      <c r="A107" s="91" t="n"/>
      <c r="B107" s="125" t="inlineStr">
        <is>
          <t>kpi.fac.prev_corr</t>
        </is>
      </c>
      <c r="C107" s="126" t="inlineStr">
        <is>
          <t>UP</t>
        </is>
      </c>
      <c r="D107" s="127" t="n">
        <v>1</v>
      </c>
      <c r="E107" s="127" t="n">
        <v>0.95</v>
      </c>
      <c r="F107" s="91" t="n"/>
      <c r="G107" s="125" t="inlineStr">
        <is>
          <t>kpi.fac.prev_corr</t>
        </is>
      </c>
      <c r="H107" s="91" t="n"/>
      <c r="I107" s="91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91" t="n"/>
      <c r="T107" s="91" t="n"/>
      <c r="U107" s="91" t="n"/>
      <c r="V107" s="91" t="n"/>
      <c r="W107" s="91" t="n"/>
    </row>
    <row r="108">
      <c r="A108" s="91" t="n"/>
      <c r="B108" s="125" t="inlineStr">
        <is>
          <t>kpi.fac.wo_prev</t>
        </is>
      </c>
      <c r="C108" s="126" t="inlineStr">
        <is>
          <t>UP</t>
        </is>
      </c>
      <c r="D108" s="127" t="n">
        <v>1</v>
      </c>
      <c r="E108" s="127" t="n">
        <v>0.95</v>
      </c>
      <c r="F108" s="91" t="n"/>
      <c r="G108" s="125" t="inlineStr">
        <is>
          <t>kpi.fac.wo_prev</t>
        </is>
      </c>
      <c r="H108" s="91" t="n"/>
      <c r="I108" s="91" t="n"/>
      <c r="J108" s="91" t="n"/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91" t="n"/>
      <c r="T108" s="91" t="n"/>
      <c r="U108" s="91" t="n"/>
      <c r="V108" s="91" t="n"/>
      <c r="W108" s="91" t="n"/>
    </row>
    <row r="109">
      <c r="A109" s="91" t="n"/>
      <c r="B109" s="125" t="inlineStr">
        <is>
          <t>kpi.fac.wo_corr</t>
        </is>
      </c>
      <c r="C109" s="126" t="inlineStr">
        <is>
          <t>DOWN</t>
        </is>
      </c>
      <c r="D109" s="127" t="n">
        <v>1</v>
      </c>
      <c r="E109" s="127" t="n">
        <v>1.05</v>
      </c>
      <c r="F109" s="91" t="n"/>
      <c r="G109" s="125" t="inlineStr">
        <is>
          <t>kpi.fac.wo_corr</t>
        </is>
      </c>
      <c r="H109" s="91" t="n"/>
      <c r="I109" s="91" t="n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91" t="n"/>
      <c r="T109" s="91" t="n"/>
      <c r="U109" s="91" t="n"/>
      <c r="V109" s="91" t="n"/>
      <c r="W109" s="91" t="n"/>
    </row>
    <row r="110">
      <c r="A110" s="91" t="n"/>
      <c r="B110" s="125" t="inlineStr">
        <is>
          <t>kpi.fac.ot_backlog</t>
        </is>
      </c>
      <c r="C110" s="126" t="inlineStr">
        <is>
          <t>DOWN</t>
        </is>
      </c>
      <c r="D110" s="127" t="n">
        <v>1</v>
      </c>
      <c r="E110" s="127" t="n">
        <v>1.05</v>
      </c>
      <c r="F110" s="91" t="n"/>
      <c r="G110" s="125" t="inlineStr">
        <is>
          <t>kpi.fac.ot_backlog</t>
        </is>
      </c>
      <c r="H110" s="91" t="n"/>
      <c r="I110" s="91" t="n"/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91" t="n"/>
      <c r="T110" s="91" t="n"/>
      <c r="U110" s="91" t="n"/>
      <c r="V110" s="91" t="n"/>
      <c r="W110" s="91" t="n"/>
    </row>
    <row r="111">
      <c r="A111" s="91" t="n"/>
      <c r="B111" s="125" t="inlineStr">
        <is>
          <t>kpi.fac.mttr</t>
        </is>
      </c>
      <c r="C111" s="126" t="inlineStr">
        <is>
          <t>DOWN</t>
        </is>
      </c>
      <c r="D111" s="127" t="n">
        <v>1</v>
      </c>
      <c r="E111" s="127" t="n">
        <v>1.05</v>
      </c>
      <c r="F111" s="91" t="n"/>
      <c r="G111" s="125" t="inlineStr">
        <is>
          <t>kpi.fac.mttr</t>
        </is>
      </c>
      <c r="H111" s="91" t="n"/>
      <c r="I111" s="91" t="n"/>
      <c r="J111" s="91" t="n"/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91" t="n"/>
      <c r="T111" s="91" t="n"/>
      <c r="U111" s="91" t="n"/>
      <c r="V111" s="91" t="n"/>
      <c r="W111" s="91" t="n"/>
    </row>
    <row r="112">
      <c r="A112" s="91" t="n"/>
      <c r="B112" s="125" t="inlineStr">
        <is>
          <t>kpi.fac.ot_opened</t>
        </is>
      </c>
      <c r="C112" s="126" t="inlineStr">
        <is>
          <t>UP</t>
        </is>
      </c>
      <c r="D112" s="127" t="n">
        <v>1</v>
      </c>
      <c r="E112" s="127" t="n">
        <v>0.95</v>
      </c>
      <c r="F112" s="91" t="n"/>
      <c r="G112" s="125" t="inlineStr">
        <is>
          <t>kpi.fac.ot_opened</t>
        </is>
      </c>
      <c r="H112" s="91" t="n"/>
      <c r="I112" s="91" t="n"/>
      <c r="J112" s="91" t="n"/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91" t="n"/>
      <c r="T112" s="91" t="n"/>
      <c r="U112" s="91" t="n"/>
      <c r="V112" s="91" t="n"/>
      <c r="W112" s="91" t="n"/>
    </row>
    <row r="113">
      <c r="A113" s="91" t="n"/>
      <c r="B113" s="125" t="inlineStr">
        <is>
          <t>kpi.fac.ot_closed</t>
        </is>
      </c>
      <c r="C113" s="126" t="inlineStr">
        <is>
          <t>UP</t>
        </is>
      </c>
      <c r="D113" s="127" t="n">
        <v>1</v>
      </c>
      <c r="E113" s="127" t="n">
        <v>0.95</v>
      </c>
      <c r="F113" s="91" t="n"/>
      <c r="G113" s="125" t="inlineStr">
        <is>
          <t>kpi.fac.ot_closed</t>
        </is>
      </c>
      <c r="H113" s="91" t="n"/>
      <c r="I113" s="91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91" t="n"/>
      <c r="T113" s="91" t="n"/>
      <c r="U113" s="91" t="n"/>
      <c r="V113" s="91" t="n"/>
      <c r="W113" s="91" t="n"/>
    </row>
    <row r="114">
      <c r="A114" s="91" t="n"/>
      <c r="B114" s="125" t="inlineStr">
        <is>
          <t>kpi.fac.energy_int</t>
        </is>
      </c>
      <c r="C114" s="126" t="inlineStr">
        <is>
          <t>DOWN</t>
        </is>
      </c>
      <c r="D114" s="127" t="n">
        <v>1</v>
      </c>
      <c r="E114" s="127" t="n">
        <v>1.05</v>
      </c>
      <c r="F114" s="91" t="n"/>
      <c r="G114" s="125" t="inlineStr">
        <is>
          <t>kpi.fac.energy_int</t>
        </is>
      </c>
      <c r="H114" s="128" t="n">
        <v>14</v>
      </c>
      <c r="I114" s="128" t="n">
        <v>14</v>
      </c>
      <c r="J114" s="128" t="n">
        <v>14</v>
      </c>
      <c r="K114" s="128" t="n">
        <v>14</v>
      </c>
      <c r="L114" s="128" t="n">
        <v>14</v>
      </c>
      <c r="M114" s="128" t="n">
        <v>14</v>
      </c>
      <c r="N114" s="128" t="n">
        <v>14</v>
      </c>
      <c r="O114" s="128" t="n">
        <v>14</v>
      </c>
      <c r="P114" s="128" t="n">
        <v>14</v>
      </c>
      <c r="Q114" s="128" t="n">
        <v>14</v>
      </c>
      <c r="R114" s="128" t="n">
        <v>14</v>
      </c>
      <c r="S114" s="128" t="n">
        <v>14</v>
      </c>
      <c r="T114" s="91" t="n"/>
      <c r="U114" s="91" t="n"/>
      <c r="V114" s="91" t="n"/>
      <c r="W114" s="91" t="n"/>
    </row>
    <row r="115">
      <c r="A115" s="91" t="n"/>
      <c r="B115" s="125" t="inlineStr">
        <is>
          <t>kpi.fac.util_cost</t>
        </is>
      </c>
      <c r="C115" s="126" t="inlineStr">
        <is>
          <t>DOWN</t>
        </is>
      </c>
      <c r="D115" s="127" t="n">
        <v>1</v>
      </c>
      <c r="E115" s="127" t="n">
        <v>1.05</v>
      </c>
      <c r="F115" s="91" t="n"/>
      <c r="G115" s="125" t="inlineStr">
        <is>
          <t>kpi.fac.util_cost</t>
        </is>
      </c>
      <c r="H115" s="91" t="n"/>
      <c r="I115" s="91" t="n"/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91" t="n"/>
      <c r="T115" s="91" t="n"/>
      <c r="U115" s="91" t="n"/>
      <c r="V115" s="91" t="n"/>
      <c r="W115" s="91" t="n"/>
    </row>
    <row r="116">
      <c r="A116" s="91" t="n"/>
      <c r="B116" s="125" t="inlineStr">
        <is>
          <t>kpi.fac.consumption</t>
        </is>
      </c>
      <c r="C116" s="126" t="inlineStr">
        <is>
          <t>UP</t>
        </is>
      </c>
      <c r="D116" s="127" t="n">
        <v>1</v>
      </c>
      <c r="E116" s="127" t="n">
        <v>0.95</v>
      </c>
      <c r="F116" s="91" t="n"/>
      <c r="G116" s="125" t="inlineStr">
        <is>
          <t>kpi.fac.consumption</t>
        </is>
      </c>
      <c r="H116" s="128" t="n">
        <v>32000</v>
      </c>
      <c r="I116" s="128" t="n">
        <v>32320</v>
      </c>
      <c r="J116" s="128" t="n">
        <v>32640</v>
      </c>
      <c r="K116" s="128" t="n">
        <v>32960</v>
      </c>
      <c r="L116" s="128" t="n">
        <v>33280</v>
      </c>
      <c r="M116" s="128" t="n">
        <v>33600</v>
      </c>
      <c r="N116" s="128" t="n">
        <v>33920</v>
      </c>
      <c r="O116" s="128" t="n">
        <v>34240</v>
      </c>
      <c r="P116" s="128" t="n">
        <v>34560</v>
      </c>
      <c r="Q116" s="128" t="n">
        <v>34880</v>
      </c>
      <c r="R116" s="128" t="n">
        <v>35200</v>
      </c>
      <c r="S116" s="128" t="n">
        <v>35520</v>
      </c>
      <c r="T116" s="91" t="n"/>
      <c r="U116" s="91" t="n"/>
      <c r="V116" s="91" t="n"/>
      <c r="W116" s="91" t="n"/>
    </row>
    <row r="117">
      <c r="A117" s="91" t="n"/>
      <c r="B117" s="125" t="inlineStr">
        <is>
          <t>kpi.fac.capex</t>
        </is>
      </c>
      <c r="C117" s="126" t="inlineStr">
        <is>
          <t>UP</t>
        </is>
      </c>
      <c r="D117" s="127" t="n">
        <v>1</v>
      </c>
      <c r="E117" s="127" t="n">
        <v>0.95</v>
      </c>
      <c r="F117" s="91" t="n"/>
      <c r="G117" s="125" t="inlineStr">
        <is>
          <t>kpi.fac.capex</t>
        </is>
      </c>
      <c r="H117" s="128" t="n">
        <v>45000000</v>
      </c>
      <c r="I117" s="128" t="n">
        <v>45450000</v>
      </c>
      <c r="J117" s="128" t="n">
        <v>45900000</v>
      </c>
      <c r="K117" s="128" t="n">
        <v>46350000</v>
      </c>
      <c r="L117" s="128" t="n">
        <v>46800000</v>
      </c>
      <c r="M117" s="128" t="n">
        <v>47250000</v>
      </c>
      <c r="N117" s="128" t="n">
        <v>47700000</v>
      </c>
      <c r="O117" s="128" t="n">
        <v>48150000</v>
      </c>
      <c r="P117" s="128" t="n">
        <v>48600000</v>
      </c>
      <c r="Q117" s="128" t="n">
        <v>49050000</v>
      </c>
      <c r="R117" s="128" t="n">
        <v>49500000</v>
      </c>
      <c r="S117" s="128" t="n">
        <v>49950000</v>
      </c>
      <c r="T117" s="91" t="n"/>
      <c r="U117" s="91" t="n"/>
      <c r="V117" s="91" t="n"/>
      <c r="W117" s="91" t="n"/>
    </row>
    <row r="118">
      <c r="A118" s="91" t="n"/>
      <c r="B118" s="125" t="inlineStr">
        <is>
          <t>kpi.fac.capex_var</t>
        </is>
      </c>
      <c r="C118" s="126" t="inlineStr">
        <is>
          <t>UP</t>
        </is>
      </c>
      <c r="D118" s="127" t="n">
        <v>1</v>
      </c>
      <c r="E118" s="127" t="n">
        <v>0.95</v>
      </c>
      <c r="F118" s="91" t="n"/>
      <c r="G118" s="125" t="inlineStr">
        <is>
          <t>kpi.fac.capex_var</t>
        </is>
      </c>
      <c r="H118" s="91" t="n"/>
      <c r="I118" s="91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91" t="n"/>
      <c r="T118" s="91" t="n"/>
      <c r="U118" s="91" t="n"/>
      <c r="V118" s="91" t="n"/>
      <c r="W118" s="91" t="n"/>
    </row>
    <row r="119">
      <c r="A119" s="91" t="n"/>
      <c r="B119" s="125" t="inlineStr">
        <is>
          <t>kpi.fac.capex_proj</t>
        </is>
      </c>
      <c r="C119" s="126" t="inlineStr">
        <is>
          <t>UP</t>
        </is>
      </c>
      <c r="D119" s="127" t="n">
        <v>1</v>
      </c>
      <c r="E119" s="127" t="n">
        <v>0.95</v>
      </c>
      <c r="F119" s="91" t="n"/>
      <c r="G119" s="125" t="inlineStr">
        <is>
          <t>kpi.fac.capex_proj</t>
        </is>
      </c>
      <c r="H119" s="91" t="n"/>
      <c r="I119" s="91" t="n"/>
      <c r="J119" s="91" t="n"/>
      <c r="K119" s="91" t="n"/>
      <c r="L119" s="91" t="n"/>
      <c r="M119" s="91" t="n"/>
      <c r="N119" s="91" t="n"/>
      <c r="O119" s="91" t="n"/>
      <c r="P119" s="91" t="n"/>
      <c r="Q119" s="91" t="n"/>
      <c r="R119" s="91" t="n"/>
      <c r="S119" s="91" t="n"/>
      <c r="T119" s="91" t="n"/>
      <c r="U119" s="91" t="n"/>
      <c r="V119" s="91" t="n"/>
      <c r="W119" s="91" t="n"/>
    </row>
    <row r="120">
      <c r="A120" s="91" t="n"/>
      <c r="B120" s="125" t="inlineStr">
        <is>
          <t>kpi.fac.inspections</t>
        </is>
      </c>
      <c r="C120" s="126" t="inlineStr">
        <is>
          <t>UP</t>
        </is>
      </c>
      <c r="D120" s="127" t="n">
        <v>1</v>
      </c>
      <c r="E120" s="127" t="n">
        <v>0.95</v>
      </c>
      <c r="F120" s="91" t="n"/>
      <c r="G120" s="125" t="inlineStr">
        <is>
          <t>kpi.fac.inspections</t>
        </is>
      </c>
      <c r="H120" s="91" t="n"/>
      <c r="I120" s="91" t="n"/>
      <c r="J120" s="91" t="n"/>
      <c r="K120" s="91" t="n"/>
      <c r="L120" s="91" t="n"/>
      <c r="M120" s="91" t="n"/>
      <c r="N120" s="91" t="n"/>
      <c r="O120" s="91" t="n"/>
      <c r="P120" s="91" t="n"/>
      <c r="Q120" s="91" t="n"/>
      <c r="R120" s="91" t="n"/>
      <c r="S120" s="91" t="n"/>
      <c r="T120" s="91" t="n"/>
      <c r="U120" s="91" t="n"/>
      <c r="V120" s="91" t="n"/>
      <c r="W120" s="91" t="n"/>
    </row>
    <row r="121">
      <c r="A121" s="91" t="n"/>
      <c r="B121" s="125" t="inlineStr">
        <is>
          <t>kpi.fac.insp_conform</t>
        </is>
      </c>
      <c r="C121" s="126" t="inlineStr">
        <is>
          <t>UP</t>
        </is>
      </c>
      <c r="D121" s="127" t="n">
        <v>1</v>
      </c>
      <c r="E121" s="127" t="n">
        <v>0.95</v>
      </c>
      <c r="F121" s="91" t="n"/>
      <c r="G121" s="125" t="inlineStr">
        <is>
          <t>kpi.fac.insp_conform</t>
        </is>
      </c>
      <c r="H121" s="91" t="n"/>
      <c r="I121" s="91" t="n"/>
      <c r="J121" s="91" t="n"/>
      <c r="K121" s="91" t="n"/>
      <c r="L121" s="91" t="n"/>
      <c r="M121" s="91" t="n"/>
      <c r="N121" s="91" t="n"/>
      <c r="O121" s="91" t="n"/>
      <c r="P121" s="91" t="n"/>
      <c r="Q121" s="91" t="n"/>
      <c r="R121" s="91" t="n"/>
      <c r="S121" s="91" t="n"/>
      <c r="T121" s="91" t="n"/>
      <c r="U121" s="91" t="n"/>
      <c r="V121" s="91" t="n"/>
      <c r="W121" s="91" t="n"/>
    </row>
    <row r="122">
      <c r="A122" s="91" t="n"/>
      <c r="B122" s="125" t="inlineStr">
        <is>
          <t>kpi.fac.nonconform</t>
        </is>
      </c>
      <c r="C122" s="126" t="inlineStr">
        <is>
          <t>DOWN</t>
        </is>
      </c>
      <c r="D122" s="127" t="n">
        <v>1</v>
      </c>
      <c r="E122" s="127" t="n">
        <v>1.05</v>
      </c>
      <c r="F122" s="91" t="n"/>
      <c r="G122" s="125" t="inlineStr">
        <is>
          <t>kpi.fac.nonconform</t>
        </is>
      </c>
      <c r="H122" s="91" t="n"/>
      <c r="I122" s="91" t="n"/>
      <c r="J122" s="91" t="n"/>
      <c r="K122" s="91" t="n"/>
      <c r="L122" s="91" t="n"/>
      <c r="M122" s="91" t="n"/>
      <c r="N122" s="91" t="n"/>
      <c r="O122" s="91" t="n"/>
      <c r="P122" s="91" t="n"/>
      <c r="Q122" s="91" t="n"/>
      <c r="R122" s="91" t="n"/>
      <c r="S122" s="91" t="n"/>
      <c r="T122" s="91" t="n"/>
      <c r="U122" s="91" t="n"/>
      <c r="V122" s="91" t="n"/>
      <c r="W122" s="91" t="n"/>
    </row>
    <row r="123">
      <c r="A123" s="91" t="n"/>
      <c r="B123" s="125" t="inlineStr">
        <is>
          <t>kpi.fac.cleanliness</t>
        </is>
      </c>
      <c r="C123" s="126" t="inlineStr">
        <is>
          <t>UP</t>
        </is>
      </c>
      <c r="D123" s="127" t="n">
        <v>1</v>
      </c>
      <c r="E123" s="127" t="n">
        <v>0.95</v>
      </c>
      <c r="F123" s="91" t="n"/>
      <c r="G123" s="125" t="inlineStr">
        <is>
          <t>kpi.fac.cleanliness</t>
        </is>
      </c>
      <c r="H123" s="91" t="n"/>
      <c r="I123" s="91" t="n"/>
      <c r="J123" s="91" t="n"/>
      <c r="K123" s="91" t="n"/>
      <c r="L123" s="91" t="n"/>
      <c r="M123" s="91" t="n"/>
      <c r="N123" s="91" t="n"/>
      <c r="O123" s="91" t="n"/>
      <c r="P123" s="91" t="n"/>
      <c r="Q123" s="91" t="n"/>
      <c r="R123" s="91" t="n"/>
      <c r="S123" s="91" t="n"/>
      <c r="T123" s="91" t="n"/>
      <c r="U123" s="91" t="n"/>
      <c r="V123" s="91" t="n"/>
      <c r="W123" s="91" t="n"/>
    </row>
    <row r="124">
      <c r="A124" s="91" t="n"/>
      <c r="B124" s="125" t="inlineStr">
        <is>
          <t>kpi.fac.hygiene_audits</t>
        </is>
      </c>
      <c r="C124" s="126" t="inlineStr">
        <is>
          <t>UP</t>
        </is>
      </c>
      <c r="D124" s="127" t="n">
        <v>1</v>
      </c>
      <c r="E124" s="127" t="n">
        <v>0.95</v>
      </c>
      <c r="F124" s="91" t="n"/>
      <c r="G124" s="125" t="inlineStr">
        <is>
          <t>kpi.fac.hygiene_audits</t>
        </is>
      </c>
      <c r="H124" s="91" t="n"/>
      <c r="I124" s="91" t="n"/>
      <c r="J124" s="91" t="n"/>
      <c r="K124" s="91" t="n"/>
      <c r="L124" s="91" t="n"/>
      <c r="M124" s="91" t="n"/>
      <c r="N124" s="91" t="n"/>
      <c r="O124" s="91" t="n"/>
      <c r="P124" s="91" t="n"/>
      <c r="Q124" s="91" t="n"/>
      <c r="R124" s="91" t="n"/>
      <c r="S124" s="91" t="n"/>
      <c r="T124" s="91" t="n"/>
      <c r="U124" s="91" t="n"/>
      <c r="V124" s="91" t="n"/>
      <c r="W124" s="91" t="n"/>
    </row>
    <row r="125">
      <c r="A125" s="91" t="n"/>
      <c r="B125" s="125" t="inlineStr">
        <is>
          <t>kpi.fac.clean_complaints</t>
        </is>
      </c>
      <c r="C125" s="126" t="inlineStr">
        <is>
          <t>DOWN</t>
        </is>
      </c>
      <c r="D125" s="127" t="n">
        <v>1</v>
      </c>
      <c r="E125" s="127" t="n">
        <v>1.05</v>
      </c>
      <c r="F125" s="91" t="n"/>
      <c r="G125" s="125" t="inlineStr">
        <is>
          <t>kpi.fac.clean_complaints</t>
        </is>
      </c>
      <c r="H125" s="91" t="n"/>
      <c r="I125" s="91" t="n"/>
      <c r="J125" s="91" t="n"/>
      <c r="K125" s="91" t="n"/>
      <c r="L125" s="91" t="n"/>
      <c r="M125" s="91" t="n"/>
      <c r="N125" s="91" t="n"/>
      <c r="O125" s="91" t="n"/>
      <c r="P125" s="91" t="n"/>
      <c r="Q125" s="91" t="n"/>
      <c r="R125" s="91" t="n"/>
      <c r="S125" s="91" t="n"/>
      <c r="T125" s="91" t="n"/>
      <c r="U125" s="91" t="n"/>
      <c r="V125" s="91" t="n"/>
      <c r="W125" s="91" t="n"/>
    </row>
    <row r="126">
      <c r="A126" s="91" t="n"/>
      <c r="B126" s="125" t="inlineStr">
        <is>
          <t>kpi.fac.sla</t>
        </is>
      </c>
      <c r="C126" s="126" t="inlineStr">
        <is>
          <t>UP</t>
        </is>
      </c>
      <c r="D126" s="127" t="n">
        <v>1</v>
      </c>
      <c r="E126" s="127" t="n">
        <v>0.95</v>
      </c>
      <c r="F126" s="91" t="n"/>
      <c r="G126" s="125" t="inlineStr">
        <is>
          <t>kpi.fac.sla</t>
        </is>
      </c>
      <c r="H126" s="91" t="n"/>
      <c r="I126" s="91" t="n"/>
      <c r="J126" s="91" t="n"/>
      <c r="K126" s="91" t="n"/>
      <c r="L126" s="91" t="n"/>
      <c r="M126" s="91" t="n"/>
      <c r="N126" s="91" t="n"/>
      <c r="O126" s="91" t="n"/>
      <c r="P126" s="91" t="n"/>
      <c r="Q126" s="91" t="n"/>
      <c r="R126" s="91" t="n"/>
      <c r="S126" s="91" t="n"/>
      <c r="T126" s="91" t="n"/>
      <c r="U126" s="91" t="n"/>
      <c r="V126" s="91" t="n"/>
      <c r="W126" s="91" t="n"/>
    </row>
    <row r="127">
      <c r="A127" s="91" t="n"/>
      <c r="B127" s="91" t="n"/>
      <c r="C127" s="91" t="n"/>
      <c r="D127" s="91" t="n"/>
      <c r="E127" s="91" t="n"/>
      <c r="F127" s="91" t="n"/>
      <c r="G127" s="91" t="n"/>
      <c r="H127" s="91" t="n"/>
      <c r="I127" s="91" t="n"/>
      <c r="J127" s="91" t="n"/>
      <c r="K127" s="91" t="n"/>
      <c r="L127" s="91" t="n"/>
      <c r="M127" s="91" t="n"/>
      <c r="N127" s="91" t="n"/>
      <c r="O127" s="91" t="n"/>
      <c r="P127" s="91" t="n"/>
      <c r="Q127" s="91" t="n"/>
      <c r="R127" s="91" t="n"/>
      <c r="S127" s="91" t="n"/>
      <c r="T127" s="91" t="n"/>
      <c r="U127" s="91" t="n"/>
      <c r="V127" s="91" t="n"/>
      <c r="W127" s="91" t="n"/>
    </row>
    <row r="128">
      <c r="A128" s="91" t="n"/>
      <c r="B128" s="91" t="n"/>
      <c r="C128" s="91" t="n"/>
      <c r="D128" s="91" t="n"/>
      <c r="E128" s="91" t="n"/>
      <c r="F128" s="91" t="n"/>
      <c r="G128" s="91" t="n"/>
      <c r="H128" s="91" t="n"/>
      <c r="I128" s="91" t="n"/>
      <c r="J128" s="91" t="n"/>
      <c r="K128" s="91" t="n"/>
      <c r="L128" s="91" t="n"/>
      <c r="M128" s="91" t="n"/>
      <c r="N128" s="91" t="n"/>
      <c r="O128" s="91" t="n"/>
      <c r="P128" s="91" t="n"/>
      <c r="Q128" s="91" t="n"/>
      <c r="R128" s="91" t="n"/>
      <c r="S128" s="91" t="n"/>
      <c r="T128" s="91" t="n"/>
      <c r="U128" s="91" t="n"/>
      <c r="V128" s="91" t="n"/>
      <c r="W128" s="91" t="n"/>
    </row>
    <row r="129">
      <c r="A129" s="91" t="n"/>
      <c r="B129" s="91" t="n"/>
      <c r="C129" s="91" t="n"/>
      <c r="D129" s="91" t="n"/>
      <c r="E129" s="91" t="n"/>
      <c r="F129" s="91" t="n"/>
      <c r="G129" s="91" t="n"/>
      <c r="H129" s="91" t="n"/>
      <c r="I129" s="91" t="n"/>
      <c r="J129" s="91" t="n"/>
      <c r="K129" s="91" t="n"/>
      <c r="L129" s="91" t="n"/>
      <c r="M129" s="91" t="n"/>
      <c r="N129" s="91" t="n"/>
      <c r="O129" s="91" t="n"/>
      <c r="P129" s="91" t="n"/>
      <c r="Q129" s="91" t="n"/>
      <c r="R129" s="91" t="n"/>
      <c r="S129" s="91" t="n"/>
      <c r="T129" s="91" t="n"/>
      <c r="U129" s="91" t="n"/>
      <c r="V129" s="91" t="n"/>
      <c r="W129" s="91" t="n"/>
    </row>
    <row r="130">
      <c r="A130" s="91" t="n"/>
      <c r="B130" s="99" t="inlineStr">
        <is>
          <t>tbl_param_locataires (extrait)</t>
        </is>
      </c>
      <c r="C130" s="91" t="n"/>
      <c r="D130" s="91" t="n"/>
      <c r="E130" s="91" t="n"/>
      <c r="F130" s="91" t="n"/>
      <c r="G130" s="91" t="n"/>
      <c r="H130" s="91" t="n"/>
      <c r="I130" s="91" t="n"/>
      <c r="J130" s="91" t="n"/>
      <c r="K130" s="91" t="n"/>
      <c r="L130" s="91" t="n"/>
      <c r="M130" s="91" t="n"/>
      <c r="N130" s="91" t="n"/>
      <c r="O130" s="91" t="n"/>
      <c r="P130" s="91" t="n"/>
      <c r="Q130" s="91" t="n"/>
      <c r="R130" s="91" t="n"/>
      <c r="S130" s="91" t="n"/>
      <c r="T130" s="91" t="n"/>
      <c r="U130" s="91" t="n"/>
      <c r="V130" s="91" t="n"/>
      <c r="W130" s="91" t="n"/>
    </row>
    <row r="131">
      <c r="A131" s="91" t="n"/>
      <c r="B131" s="91" t="n"/>
      <c r="C131" s="91" t="n"/>
      <c r="D131" s="91" t="n"/>
      <c r="E131" s="91" t="n"/>
      <c r="F131" s="91" t="n"/>
      <c r="G131" s="91" t="n"/>
      <c r="H131" s="91" t="n"/>
      <c r="I131" s="91" t="n"/>
      <c r="J131" s="91" t="n"/>
      <c r="K131" s="91" t="n"/>
      <c r="L131" s="91" t="n"/>
      <c r="M131" s="91" t="n"/>
      <c r="N131" s="91" t="n"/>
      <c r="O131" s="91" t="n"/>
      <c r="P131" s="91" t="n"/>
      <c r="Q131" s="91" t="n"/>
      <c r="R131" s="91" t="n"/>
      <c r="S131" s="91" t="n"/>
      <c r="T131" s="91" t="n"/>
      <c r="U131" s="91" t="n"/>
      <c r="V131" s="91" t="n"/>
      <c r="W131" s="91" t="n"/>
    </row>
    <row r="132">
      <c r="A132" s="91" t="n"/>
      <c r="B132" s="91" t="n"/>
      <c r="C132" s="91" t="n"/>
      <c r="D132" s="91" t="n"/>
      <c r="E132" s="91" t="n"/>
      <c r="F132" s="91" t="n"/>
      <c r="G132" s="91" t="n"/>
      <c r="H132" s="91" t="n"/>
      <c r="I132" s="91" t="n"/>
      <c r="J132" s="91" t="n"/>
      <c r="K132" s="91" t="n"/>
      <c r="L132" s="91" t="n"/>
      <c r="M132" s="91" t="n"/>
      <c r="N132" s="91" t="n"/>
      <c r="O132" s="91" t="n"/>
      <c r="P132" s="91" t="n"/>
      <c r="Q132" s="91" t="n"/>
      <c r="R132" s="91" t="n"/>
      <c r="S132" s="91" t="n"/>
      <c r="T132" s="91" t="n"/>
      <c r="U132" s="91" t="n"/>
      <c r="V132" s="91" t="n"/>
      <c r="W132" s="91" t="n"/>
    </row>
    <row r="133">
      <c r="A133" s="91" t="n"/>
      <c r="B133" s="91" t="n"/>
      <c r="C133" s="91" t="n"/>
      <c r="D133" s="91" t="n"/>
      <c r="E133" s="91" t="n"/>
      <c r="F133" s="91" t="n"/>
      <c r="G133" s="91" t="n"/>
      <c r="H133" s="91" t="n"/>
      <c r="I133" s="91" t="n"/>
      <c r="J133" s="91" t="n"/>
      <c r="K133" s="91" t="n"/>
      <c r="L133" s="91" t="n"/>
      <c r="M133" s="91" t="n"/>
      <c r="N133" s="91" t="n"/>
      <c r="O133" s="91" t="n"/>
      <c r="P133" s="91" t="n"/>
      <c r="Q133" s="91" t="n"/>
      <c r="R133" s="91" t="n"/>
      <c r="S133" s="91" t="n"/>
      <c r="T133" s="91" t="n"/>
      <c r="U133" s="91" t="n"/>
      <c r="V133" s="91" t="n"/>
      <c r="W133" s="91" t="n"/>
    </row>
    <row r="134">
      <c r="A134" s="91" t="n"/>
      <c r="B134" s="91" t="n"/>
      <c r="C134" s="91" t="n"/>
      <c r="D134" s="91" t="n"/>
      <c r="E134" s="91" t="n"/>
      <c r="F134" s="91" t="n"/>
      <c r="G134" s="91" t="n"/>
      <c r="H134" s="91" t="n"/>
      <c r="I134" s="91" t="n"/>
      <c r="J134" s="91" t="n"/>
      <c r="K134" s="91" t="n"/>
      <c r="L134" s="91" t="n"/>
      <c r="M134" s="91" t="n"/>
      <c r="N134" s="91" t="n"/>
      <c r="O134" s="91" t="n"/>
      <c r="P134" s="91" t="n"/>
      <c r="Q134" s="91" t="n"/>
      <c r="R134" s="91" t="n"/>
      <c r="S134" s="91" t="n"/>
      <c r="T134" s="91" t="n"/>
      <c r="U134" s="91" t="n"/>
      <c r="V134" s="91" t="n"/>
      <c r="W134" s="91" t="n"/>
    </row>
    <row r="135">
      <c r="A135" s="91" t="n"/>
      <c r="B135" s="91" t="n"/>
      <c r="C135" s="91" t="n"/>
      <c r="D135" s="91" t="n"/>
      <c r="E135" s="91" t="n"/>
      <c r="F135" s="91" t="n"/>
      <c r="G135" s="91" t="n"/>
      <c r="H135" s="91" t="n"/>
      <c r="I135" s="91" t="n"/>
      <c r="J135" s="91" t="n"/>
      <c r="K135" s="91" t="n"/>
      <c r="L135" s="91" t="n"/>
      <c r="M135" s="91" t="n"/>
      <c r="N135" s="91" t="n"/>
      <c r="O135" s="91" t="n"/>
      <c r="P135" s="91" t="n"/>
      <c r="Q135" s="91" t="n"/>
      <c r="R135" s="91" t="n"/>
      <c r="S135" s="91" t="n"/>
      <c r="T135" s="91" t="n"/>
      <c r="U135" s="91" t="n"/>
      <c r="V135" s="91" t="n"/>
      <c r="W135" s="91" t="n"/>
    </row>
    <row r="136">
      <c r="A136" s="91" t="n"/>
      <c r="B136" s="91" t="n"/>
      <c r="C136" s="91" t="n"/>
      <c r="D136" s="91" t="n"/>
      <c r="E136" s="91" t="n"/>
      <c r="F136" s="91" t="n"/>
      <c r="G136" s="91" t="n"/>
      <c r="H136" s="91" t="n"/>
      <c r="I136" s="91" t="n"/>
      <c r="J136" s="91" t="n"/>
      <c r="K136" s="91" t="n"/>
      <c r="L136" s="91" t="n"/>
      <c r="M136" s="91" t="n"/>
      <c r="N136" s="91" t="n"/>
      <c r="O136" s="91" t="n"/>
      <c r="P136" s="91" t="n"/>
      <c r="Q136" s="91" t="n"/>
      <c r="R136" s="91" t="n"/>
      <c r="S136" s="91" t="n"/>
      <c r="T136" s="91" t="n"/>
      <c r="U136" s="91" t="n"/>
      <c r="V136" s="91" t="n"/>
      <c r="W136" s="91" t="n"/>
    </row>
    <row r="137">
      <c r="A137" s="91" t="n"/>
      <c r="B137" s="91" t="n"/>
      <c r="C137" s="91" t="n"/>
      <c r="D137" s="91" t="n"/>
      <c r="E137" s="91" t="n"/>
      <c r="F137" s="91" t="n"/>
      <c r="G137" s="91" t="n"/>
      <c r="H137" s="91" t="n"/>
      <c r="I137" s="91" t="n"/>
      <c r="J137" s="91" t="n"/>
      <c r="K137" s="91" t="n"/>
      <c r="L137" s="91" t="n"/>
      <c r="M137" s="91" t="n"/>
      <c r="N137" s="91" t="n"/>
      <c r="O137" s="91" t="n"/>
      <c r="P137" s="91" t="n"/>
      <c r="Q137" s="91" t="n"/>
      <c r="R137" s="91" t="n"/>
      <c r="S137" s="91" t="n"/>
      <c r="T137" s="91" t="n"/>
      <c r="U137" s="91" t="n"/>
      <c r="V137" s="91" t="n"/>
      <c r="W137" s="91" t="n"/>
    </row>
    <row r="138">
      <c r="A138" s="91" t="n"/>
      <c r="B138" s="91" t="n"/>
      <c r="C138" s="91" t="n"/>
      <c r="D138" s="91" t="n"/>
      <c r="E138" s="91" t="n"/>
      <c r="F138" s="91" t="n"/>
      <c r="G138" s="91" t="n"/>
      <c r="H138" s="91" t="n"/>
      <c r="I138" s="91" t="n"/>
      <c r="J138" s="91" t="n"/>
      <c r="K138" s="91" t="n"/>
      <c r="L138" s="91" t="n"/>
      <c r="M138" s="91" t="n"/>
      <c r="N138" s="91" t="n"/>
      <c r="O138" s="91" t="n"/>
      <c r="P138" s="91" t="n"/>
      <c r="Q138" s="91" t="n"/>
      <c r="R138" s="91" t="n"/>
      <c r="S138" s="91" t="n"/>
      <c r="T138" s="91" t="n"/>
      <c r="U138" s="91" t="n"/>
      <c r="V138" s="91" t="n"/>
      <c r="W138" s="91" t="n"/>
    </row>
    <row r="139">
      <c r="A139" s="91" t="n"/>
      <c r="B139" s="91" t="n"/>
      <c r="C139" s="91" t="n"/>
      <c r="D139" s="91" t="n"/>
      <c r="E139" s="91" t="n"/>
      <c r="F139" s="91" t="n"/>
      <c r="G139" s="91" t="n"/>
      <c r="H139" s="91" t="n"/>
      <c r="I139" s="91" t="n"/>
      <c r="J139" s="91" t="n"/>
      <c r="K139" s="91" t="n"/>
      <c r="L139" s="91" t="n"/>
      <c r="M139" s="91" t="n"/>
      <c r="N139" s="91" t="n"/>
      <c r="O139" s="91" t="n"/>
      <c r="P139" s="91" t="n"/>
      <c r="Q139" s="91" t="n"/>
      <c r="R139" s="91" t="n"/>
      <c r="S139" s="91" t="n"/>
      <c r="T139" s="91" t="n"/>
      <c r="U139" s="91" t="n"/>
      <c r="V139" s="91" t="n"/>
      <c r="W139" s="91" t="n"/>
    </row>
    <row r="140">
      <c r="A140" s="91" t="n"/>
      <c r="B140" s="91" t="n"/>
      <c r="C140" s="91" t="n"/>
      <c r="D140" s="91" t="n"/>
      <c r="E140" s="91" t="n"/>
      <c r="F140" s="91" t="n"/>
      <c r="G140" s="91" t="n"/>
      <c r="H140" s="91" t="n"/>
      <c r="I140" s="91" t="n"/>
      <c r="J140" s="91" t="n"/>
      <c r="K140" s="91" t="n"/>
      <c r="L140" s="91" t="n"/>
      <c r="M140" s="91" t="n"/>
      <c r="N140" s="91" t="n"/>
      <c r="O140" s="91" t="n"/>
      <c r="P140" s="91" t="n"/>
      <c r="Q140" s="91" t="n"/>
      <c r="R140" s="91" t="n"/>
      <c r="S140" s="91" t="n"/>
      <c r="T140" s="91" t="n"/>
      <c r="U140" s="91" t="n"/>
      <c r="V140" s="91" t="n"/>
      <c r="W140" s="91" t="n"/>
    </row>
    <row r="141">
      <c r="A141" s="91" t="n"/>
      <c r="B141" s="91" t="n"/>
      <c r="C141" s="91" t="n"/>
      <c r="D141" s="91" t="n"/>
      <c r="E141" s="91" t="n"/>
      <c r="F141" s="91" t="n"/>
      <c r="G141" s="91" t="n"/>
      <c r="H141" s="91" t="n"/>
      <c r="I141" s="91" t="n"/>
      <c r="J141" s="91" t="n"/>
      <c r="K141" s="91" t="n"/>
      <c r="L141" s="91" t="n"/>
      <c r="M141" s="91" t="n"/>
      <c r="N141" s="91" t="n"/>
      <c r="O141" s="91" t="n"/>
      <c r="P141" s="91" t="n"/>
      <c r="Q141" s="91" t="n"/>
      <c r="R141" s="91" t="n"/>
      <c r="S141" s="91" t="n"/>
      <c r="T141" s="91" t="n"/>
      <c r="U141" s="91" t="n"/>
      <c r="V141" s="91" t="n"/>
      <c r="W141" s="91" t="n"/>
    </row>
    <row r="142">
      <c r="A142" s="91" t="n"/>
      <c r="B142" s="91" t="n"/>
      <c r="C142" s="91" t="n"/>
      <c r="D142" s="91" t="n"/>
      <c r="E142" s="91" t="n"/>
      <c r="F142" s="91" t="n"/>
      <c r="G142" s="91" t="n"/>
      <c r="H142" s="91" t="n"/>
      <c r="I142" s="91" t="n"/>
      <c r="J142" s="91" t="n"/>
      <c r="K142" s="91" t="n"/>
      <c r="L142" s="91" t="n"/>
      <c r="M142" s="91" t="n"/>
      <c r="N142" s="91" t="n"/>
      <c r="O142" s="91" t="n"/>
      <c r="P142" s="91" t="n"/>
      <c r="Q142" s="91" t="n"/>
      <c r="R142" s="91" t="n"/>
      <c r="S142" s="91" t="n"/>
      <c r="T142" s="91" t="n"/>
      <c r="U142" s="91" t="n"/>
      <c r="V142" s="91" t="n"/>
      <c r="W142" s="91" t="n"/>
    </row>
    <row r="143">
      <c r="A143" s="91" t="n"/>
      <c r="B143" s="91" t="n"/>
      <c r="C143" s="91" t="n"/>
      <c r="D143" s="91" t="n"/>
      <c r="E143" s="91" t="n"/>
      <c r="F143" s="91" t="n"/>
      <c r="G143" s="91" t="n"/>
      <c r="H143" s="91" t="n"/>
      <c r="I143" s="91" t="n"/>
      <c r="J143" s="91" t="n"/>
      <c r="K143" s="91" t="n"/>
      <c r="L143" s="91" t="n"/>
      <c r="M143" s="91" t="n"/>
      <c r="N143" s="91" t="n"/>
      <c r="O143" s="91" t="n"/>
      <c r="P143" s="91" t="n"/>
      <c r="Q143" s="91" t="n"/>
      <c r="R143" s="91" t="n"/>
      <c r="S143" s="91" t="n"/>
      <c r="T143" s="91" t="n"/>
      <c r="U143" s="91" t="n"/>
      <c r="V143" s="91" t="n"/>
      <c r="W143" s="91" t="n"/>
    </row>
    <row r="144">
      <c r="A144" s="91" t="n"/>
      <c r="B144" s="91" t="n"/>
      <c r="C144" s="91" t="n"/>
      <c r="D144" s="91" t="n"/>
      <c r="E144" s="91" t="n"/>
      <c r="F144" s="91" t="n"/>
      <c r="G144" s="91" t="n"/>
      <c r="H144" s="91" t="n"/>
      <c r="I144" s="91" t="n"/>
      <c r="J144" s="91" t="n"/>
      <c r="K144" s="91" t="n"/>
      <c r="L144" s="91" t="n"/>
      <c r="M144" s="91" t="n"/>
      <c r="N144" s="91" t="n"/>
      <c r="O144" s="91" t="n"/>
      <c r="P144" s="91" t="n"/>
      <c r="Q144" s="91" t="n"/>
      <c r="R144" s="91" t="n"/>
      <c r="S144" s="91" t="n"/>
      <c r="T144" s="91" t="n"/>
      <c r="U144" s="91" t="n"/>
      <c r="V144" s="91" t="n"/>
      <c r="W144" s="91" t="n"/>
    </row>
    <row r="145">
      <c r="A145" s="91" t="n"/>
      <c r="B145" s="91" t="n"/>
      <c r="C145" s="91" t="n"/>
      <c r="D145" s="91" t="n"/>
      <c r="E145" s="91" t="n"/>
      <c r="F145" s="91" t="n"/>
      <c r="G145" s="91" t="n"/>
      <c r="H145" s="91" t="n"/>
      <c r="I145" s="91" t="n"/>
      <c r="J145" s="91" t="n"/>
      <c r="K145" s="91" t="n"/>
      <c r="L145" s="91" t="n"/>
      <c r="M145" s="91" t="n"/>
      <c r="N145" s="91" t="n"/>
      <c r="O145" s="91" t="n"/>
      <c r="P145" s="91" t="n"/>
      <c r="Q145" s="91" t="n"/>
      <c r="R145" s="91" t="n"/>
      <c r="S145" s="91" t="n"/>
      <c r="T145" s="91" t="n"/>
      <c r="U145" s="91" t="n"/>
      <c r="V145" s="91" t="n"/>
      <c r="W145" s="91" t="n"/>
    </row>
    <row r="146">
      <c r="A146" s="91" t="n"/>
      <c r="B146" s="91" t="n"/>
      <c r="C146" s="91" t="n"/>
      <c r="D146" s="91" t="n"/>
      <c r="E146" s="91" t="n"/>
      <c r="F146" s="91" t="n"/>
      <c r="G146" s="91" t="n"/>
      <c r="H146" s="91" t="n"/>
      <c r="I146" s="91" t="n"/>
      <c r="J146" s="91" t="n"/>
      <c r="K146" s="91" t="n"/>
      <c r="L146" s="91" t="n"/>
      <c r="M146" s="91" t="n"/>
      <c r="N146" s="91" t="n"/>
      <c r="O146" s="91" t="n"/>
      <c r="P146" s="91" t="n"/>
      <c r="Q146" s="91" t="n"/>
      <c r="R146" s="91" t="n"/>
      <c r="S146" s="91" t="n"/>
      <c r="T146" s="91" t="n"/>
      <c r="U146" s="91" t="n"/>
      <c r="V146" s="91" t="n"/>
      <c r="W146" s="91" t="n"/>
    </row>
    <row r="147">
      <c r="A147" s="91" t="n"/>
      <c r="B147" s="91" t="n"/>
      <c r="C147" s="91" t="n"/>
      <c r="D147" s="91" t="n"/>
      <c r="E147" s="91" t="n"/>
      <c r="F147" s="91" t="n"/>
      <c r="G147" s="91" t="n"/>
      <c r="H147" s="91" t="n"/>
      <c r="I147" s="91" t="n"/>
      <c r="J147" s="91" t="n"/>
      <c r="K147" s="91" t="n"/>
      <c r="L147" s="91" t="n"/>
      <c r="M147" s="91" t="n"/>
      <c r="N147" s="91" t="n"/>
      <c r="O147" s="91" t="n"/>
      <c r="P147" s="91" t="n"/>
      <c r="Q147" s="91" t="n"/>
      <c r="R147" s="91" t="n"/>
      <c r="S147" s="91" t="n"/>
      <c r="T147" s="91" t="n"/>
      <c r="U147" s="91" t="n"/>
      <c r="V147" s="91" t="n"/>
      <c r="W147" s="91" t="n"/>
    </row>
    <row r="148">
      <c r="A148" s="91" t="n"/>
      <c r="B148" s="91" t="n"/>
      <c r="C148" s="91" t="n"/>
      <c r="D148" s="91" t="n"/>
      <c r="E148" s="91" t="n"/>
      <c r="F148" s="91" t="n"/>
      <c r="G148" s="91" t="n"/>
      <c r="H148" s="91" t="n"/>
      <c r="I148" s="91" t="n"/>
      <c r="J148" s="91" t="n"/>
      <c r="K148" s="91" t="n"/>
      <c r="L148" s="91" t="n"/>
      <c r="M148" s="91" t="n"/>
      <c r="N148" s="91" t="n"/>
      <c r="O148" s="91" t="n"/>
      <c r="P148" s="91" t="n"/>
      <c r="Q148" s="91" t="n"/>
      <c r="R148" s="91" t="n"/>
      <c r="S148" s="91" t="n"/>
      <c r="T148" s="91" t="n"/>
      <c r="U148" s="91" t="n"/>
      <c r="V148" s="91" t="n"/>
      <c r="W148" s="91" t="n"/>
    </row>
    <row r="149">
      <c r="A149" s="91" t="n"/>
      <c r="B149" s="91" t="n"/>
      <c r="C149" s="91" t="n"/>
      <c r="D149" s="91" t="n"/>
      <c r="E149" s="91" t="n"/>
      <c r="F149" s="91" t="n"/>
      <c r="G149" s="91" t="n"/>
      <c r="H149" s="91" t="n"/>
      <c r="I149" s="91" t="n"/>
      <c r="J149" s="91" t="n"/>
      <c r="K149" s="91" t="n"/>
      <c r="L149" s="91" t="n"/>
      <c r="M149" s="91" t="n"/>
      <c r="N149" s="91" t="n"/>
      <c r="O149" s="91" t="n"/>
      <c r="P149" s="91" t="n"/>
      <c r="Q149" s="91" t="n"/>
      <c r="R149" s="91" t="n"/>
      <c r="S149" s="91" t="n"/>
      <c r="T149" s="91" t="n"/>
      <c r="U149" s="91" t="n"/>
      <c r="V149" s="91" t="n"/>
      <c r="W149" s="91" t="n"/>
    </row>
    <row r="150">
      <c r="A150" s="91" t="n"/>
      <c r="B150" s="91" t="n"/>
      <c r="C150" s="91" t="n"/>
      <c r="D150" s="91" t="n"/>
      <c r="E150" s="91" t="n"/>
      <c r="F150" s="91" t="n"/>
      <c r="G150" s="91" t="n"/>
      <c r="H150" s="91" t="n"/>
      <c r="I150" s="91" t="n"/>
      <c r="J150" s="91" t="n"/>
      <c r="K150" s="91" t="n"/>
      <c r="L150" s="91" t="n"/>
      <c r="M150" s="91" t="n"/>
      <c r="N150" s="91" t="n"/>
      <c r="O150" s="91" t="n"/>
      <c r="P150" s="91" t="n"/>
      <c r="Q150" s="91" t="n"/>
      <c r="R150" s="91" t="n"/>
      <c r="S150" s="91" t="n"/>
      <c r="T150" s="91" t="n"/>
      <c r="U150" s="91" t="n"/>
      <c r="V150" s="91" t="n"/>
      <c r="W150" s="91" t="n"/>
    </row>
    <row r="151">
      <c r="A151" s="91" t="n"/>
      <c r="B151" s="91" t="n"/>
      <c r="C151" s="91" t="n"/>
      <c r="D151" s="91" t="n"/>
      <c r="E151" s="91" t="n"/>
      <c r="F151" s="91" t="n"/>
      <c r="G151" s="91" t="n"/>
      <c r="H151" s="91" t="n"/>
      <c r="I151" s="91" t="n"/>
      <c r="J151" s="91" t="n"/>
      <c r="K151" s="91" t="n"/>
      <c r="L151" s="91" t="n"/>
      <c r="M151" s="91" t="n"/>
      <c r="N151" s="91" t="n"/>
      <c r="O151" s="91" t="n"/>
      <c r="P151" s="91" t="n"/>
      <c r="Q151" s="91" t="n"/>
      <c r="R151" s="91" t="n"/>
      <c r="S151" s="91" t="n"/>
      <c r="T151" s="91" t="n"/>
      <c r="U151" s="91" t="n"/>
      <c r="V151" s="91" t="n"/>
      <c r="W151" s="91" t="n"/>
    </row>
    <row r="152">
      <c r="A152" s="91" t="n"/>
      <c r="B152" s="91" t="n"/>
      <c r="C152" s="91" t="n"/>
      <c r="D152" s="91" t="n"/>
      <c r="E152" s="91" t="n"/>
      <c r="F152" s="91" t="n"/>
      <c r="G152" s="91" t="n"/>
      <c r="H152" s="91" t="n"/>
      <c r="I152" s="91" t="n"/>
      <c r="J152" s="91" t="n"/>
      <c r="K152" s="91" t="n"/>
      <c r="L152" s="91" t="n"/>
      <c r="M152" s="91" t="n"/>
      <c r="N152" s="91" t="n"/>
      <c r="O152" s="91" t="n"/>
      <c r="P152" s="91" t="n"/>
      <c r="Q152" s="91" t="n"/>
      <c r="R152" s="91" t="n"/>
      <c r="S152" s="91" t="n"/>
      <c r="T152" s="91" t="n"/>
      <c r="U152" s="91" t="n"/>
      <c r="V152" s="91" t="n"/>
      <c r="W152" s="91" t="n"/>
    </row>
    <row r="153">
      <c r="A153" s="91" t="n"/>
      <c r="B153" s="91" t="n"/>
      <c r="C153" s="91" t="n"/>
      <c r="D153" s="91" t="n"/>
      <c r="E153" s="91" t="n"/>
      <c r="F153" s="91" t="n"/>
      <c r="G153" s="91" t="n"/>
      <c r="H153" s="91" t="n"/>
      <c r="I153" s="91" t="n"/>
      <c r="J153" s="91" t="n"/>
      <c r="K153" s="91" t="n"/>
      <c r="L153" s="91" t="n"/>
      <c r="M153" s="91" t="n"/>
      <c r="N153" s="91" t="n"/>
      <c r="O153" s="91" t="n"/>
      <c r="P153" s="91" t="n"/>
      <c r="Q153" s="91" t="n"/>
      <c r="R153" s="91" t="n"/>
      <c r="S153" s="91" t="n"/>
      <c r="T153" s="91" t="n"/>
      <c r="U153" s="91" t="n"/>
      <c r="V153" s="91" t="n"/>
      <c r="W153" s="91" t="n"/>
    </row>
    <row r="154">
      <c r="A154" s="91" t="n"/>
      <c r="B154" s="91" t="n"/>
      <c r="C154" s="91" t="n"/>
      <c r="D154" s="91" t="n"/>
      <c r="E154" s="91" t="n"/>
      <c r="F154" s="91" t="n"/>
      <c r="G154" s="91" t="n"/>
      <c r="H154" s="91" t="n"/>
      <c r="I154" s="91" t="n"/>
      <c r="J154" s="91" t="n"/>
      <c r="K154" s="91" t="n"/>
      <c r="L154" s="91" t="n"/>
      <c r="M154" s="91" t="n"/>
      <c r="N154" s="91" t="n"/>
      <c r="O154" s="91" t="n"/>
      <c r="P154" s="91" t="n"/>
      <c r="Q154" s="91" t="n"/>
      <c r="R154" s="91" t="n"/>
      <c r="S154" s="91" t="n"/>
      <c r="T154" s="91" t="n"/>
      <c r="U154" s="91" t="n"/>
      <c r="V154" s="91" t="n"/>
      <c r="W154" s="91" t="n"/>
    </row>
    <row r="155">
      <c r="A155" s="91" t="n"/>
      <c r="B155" s="91" t="n"/>
      <c r="C155" s="91" t="n"/>
      <c r="D155" s="91" t="n"/>
      <c r="E155" s="91" t="n"/>
      <c r="F155" s="91" t="n"/>
      <c r="G155" s="91" t="n"/>
      <c r="H155" s="91" t="n"/>
      <c r="I155" s="91" t="n"/>
      <c r="J155" s="91" t="n"/>
      <c r="K155" s="91" t="n"/>
      <c r="L155" s="91" t="n"/>
      <c r="M155" s="91" t="n"/>
      <c r="N155" s="91" t="n"/>
      <c r="O155" s="91" t="n"/>
      <c r="P155" s="91" t="n"/>
      <c r="Q155" s="91" t="n"/>
      <c r="R155" s="91" t="n"/>
      <c r="S155" s="91" t="n"/>
      <c r="T155" s="91" t="n"/>
      <c r="U155" s="91" t="n"/>
      <c r="V155" s="91" t="n"/>
      <c r="W155" s="91" t="n"/>
    </row>
    <row r="156">
      <c r="A156" s="91" t="n"/>
      <c r="B156" s="91" t="n"/>
      <c r="C156" s="91" t="n"/>
      <c r="D156" s="91" t="n"/>
      <c r="E156" s="91" t="n"/>
      <c r="F156" s="91" t="n"/>
      <c r="G156" s="91" t="n"/>
      <c r="H156" s="91" t="n"/>
      <c r="I156" s="91" t="n"/>
      <c r="J156" s="91" t="n"/>
      <c r="K156" s="91" t="n"/>
      <c r="L156" s="91" t="n"/>
      <c r="M156" s="91" t="n"/>
      <c r="N156" s="91" t="n"/>
      <c r="O156" s="91" t="n"/>
      <c r="P156" s="91" t="n"/>
      <c r="Q156" s="91" t="n"/>
      <c r="R156" s="91" t="n"/>
      <c r="S156" s="91" t="n"/>
      <c r="T156" s="91" t="n"/>
      <c r="U156" s="91" t="n"/>
      <c r="V156" s="91" t="n"/>
      <c r="W156" s="91" t="n"/>
    </row>
    <row r="157">
      <c r="A157" s="91" t="n"/>
      <c r="B157" s="91" t="n"/>
      <c r="C157" s="91" t="n"/>
      <c r="D157" s="91" t="n"/>
      <c r="E157" s="91" t="n"/>
      <c r="F157" s="91" t="n"/>
      <c r="G157" s="91" t="n"/>
      <c r="H157" s="91" t="n"/>
      <c r="I157" s="91" t="n"/>
      <c r="J157" s="91" t="n"/>
      <c r="K157" s="91" t="n"/>
      <c r="L157" s="91" t="n"/>
      <c r="M157" s="91" t="n"/>
      <c r="N157" s="91" t="n"/>
      <c r="O157" s="91" t="n"/>
      <c r="P157" s="91" t="n"/>
      <c r="Q157" s="91" t="n"/>
      <c r="R157" s="91" t="n"/>
      <c r="S157" s="91" t="n"/>
      <c r="T157" s="91" t="n"/>
      <c r="U157" s="91" t="n"/>
      <c r="V157" s="91" t="n"/>
      <c r="W157" s="91" t="n"/>
    </row>
    <row r="158">
      <c r="A158" s="91" t="n"/>
      <c r="B158" s="91" t="n"/>
      <c r="C158" s="91" t="n"/>
      <c r="D158" s="91" t="n"/>
      <c r="E158" s="91" t="n"/>
      <c r="F158" s="91" t="n"/>
      <c r="G158" s="91" t="n"/>
      <c r="H158" s="91" t="n"/>
      <c r="I158" s="91" t="n"/>
      <c r="J158" s="91" t="n"/>
      <c r="K158" s="91" t="n"/>
      <c r="L158" s="91" t="n"/>
      <c r="M158" s="91" t="n"/>
      <c r="N158" s="91" t="n"/>
      <c r="O158" s="91" t="n"/>
      <c r="P158" s="91" t="n"/>
      <c r="Q158" s="91" t="n"/>
      <c r="R158" s="91" t="n"/>
      <c r="S158" s="91" t="n"/>
      <c r="T158" s="91" t="n"/>
      <c r="U158" s="91" t="n"/>
      <c r="V158" s="91" t="n"/>
      <c r="W158" s="91" t="n"/>
    </row>
    <row r="159">
      <c r="A159" s="91" t="n"/>
      <c r="B159" s="91" t="n"/>
      <c r="C159" s="91" t="n"/>
      <c r="D159" s="91" t="n"/>
      <c r="E159" s="91" t="n"/>
      <c r="F159" s="91" t="n"/>
      <c r="G159" s="91" t="n"/>
      <c r="H159" s="91" t="n"/>
      <c r="I159" s="91" t="n"/>
      <c r="J159" s="91" t="n"/>
      <c r="K159" s="91" t="n"/>
      <c r="L159" s="91" t="n"/>
      <c r="M159" s="91" t="n"/>
      <c r="N159" s="91" t="n"/>
      <c r="O159" s="91" t="n"/>
      <c r="P159" s="91" t="n"/>
      <c r="Q159" s="91" t="n"/>
      <c r="R159" s="91" t="n"/>
      <c r="S159" s="91" t="n"/>
      <c r="T159" s="91" t="n"/>
      <c r="U159" s="91" t="n"/>
      <c r="V159" s="91" t="n"/>
      <c r="W159" s="91" t="n"/>
    </row>
    <row r="160">
      <c r="A160" s="91" t="n"/>
      <c r="B160" s="91" t="n"/>
      <c r="C160" s="91" t="n"/>
      <c r="D160" s="91" t="n"/>
      <c r="E160" s="91" t="n"/>
      <c r="F160" s="91" t="n"/>
      <c r="G160" s="91" t="n"/>
      <c r="H160" s="91" t="n"/>
      <c r="I160" s="91" t="n"/>
      <c r="J160" s="91" t="n"/>
      <c r="K160" s="91" t="n"/>
      <c r="L160" s="91" t="n"/>
      <c r="M160" s="91" t="n"/>
      <c r="N160" s="91" t="n"/>
      <c r="O160" s="91" t="n"/>
      <c r="P160" s="91" t="n"/>
      <c r="Q160" s="91" t="n"/>
      <c r="R160" s="91" t="n"/>
      <c r="S160" s="91" t="n"/>
      <c r="T160" s="91" t="n"/>
      <c r="U160" s="91" t="n"/>
      <c r="V160" s="91" t="n"/>
      <c r="W160" s="91" t="n"/>
    </row>
    <row r="161">
      <c r="A161" s="91" t="n"/>
      <c r="B161" s="91" t="n"/>
      <c r="C161" s="91" t="n"/>
      <c r="D161" s="91" t="n"/>
      <c r="E161" s="91" t="n"/>
      <c r="F161" s="91" t="n"/>
      <c r="G161" s="91" t="n"/>
      <c r="H161" s="91" t="n"/>
      <c r="I161" s="91" t="n"/>
      <c r="J161" s="91" t="n"/>
      <c r="K161" s="91" t="n"/>
      <c r="L161" s="91" t="n"/>
      <c r="M161" s="91" t="n"/>
      <c r="N161" s="91" t="n"/>
      <c r="O161" s="91" t="n"/>
      <c r="P161" s="91" t="n"/>
      <c r="Q161" s="91" t="n"/>
      <c r="R161" s="91" t="n"/>
      <c r="S161" s="91" t="n"/>
      <c r="T161" s="91" t="n"/>
      <c r="U161" s="91" t="n"/>
      <c r="V161" s="91" t="n"/>
      <c r="W161" s="9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A742"/>
    <outlinePr summaryBelow="1" summaryRight="1"/>
    <pageSetUpPr/>
  </sheetPr>
  <dimension ref="A1:L259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34" customWidth="1" min="3" max="3"/>
    <col width="34" customWidth="1" min="4" max="4"/>
  </cols>
  <sheetData>
    <row r="1">
      <c r="A1" s="91" t="n"/>
      <c r="B1" s="106" t="inlineStr">
        <is>
          <t>M2 · i18n (FR/EN) + MOIS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</row>
    <row r="2">
      <c r="A2" s="91" t="n"/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</row>
    <row r="3">
      <c r="A3" s="91" t="n"/>
      <c r="B3" s="124" t="inlineStr">
        <is>
          <t>KEY</t>
        </is>
      </c>
      <c r="C3" s="124" t="inlineStr">
        <is>
          <t>FR</t>
        </is>
      </c>
      <c r="D3" s="124" t="inlineStr">
        <is>
          <t>EN</t>
        </is>
      </c>
      <c r="E3" s="91" t="n"/>
      <c r="F3" s="130" t="inlineStr">
        <is>
          <t>Clés vides (attendu 0)</t>
        </is>
      </c>
      <c r="G3" s="99">
        <f>SUMPRODUCT(--(C4:C215=""))+SUMPRODUCT(--(D4:D215=""))</f>
        <v/>
      </c>
      <c r="H3" s="91" t="n"/>
      <c r="I3" s="102" t="inlineStr">
        <is>
          <t>#</t>
        </is>
      </c>
      <c r="J3" s="102" t="inlineStr">
        <is>
          <t>FR</t>
        </is>
      </c>
      <c r="K3" s="102" t="inlineStr">
        <is>
          <t>EN</t>
        </is>
      </c>
      <c r="L3" s="91" t="n"/>
    </row>
    <row r="4">
      <c r="A4" s="91" t="n"/>
      <c r="B4" s="125" t="inlineStr">
        <is>
          <t>nav.title</t>
        </is>
      </c>
      <c r="C4" s="103" t="inlineStr">
        <is>
          <t>Reporting mensuel — Cosmos</t>
        </is>
      </c>
      <c r="D4" s="103" t="inlineStr">
        <is>
          <t>Monthly Report — Cosmos</t>
        </is>
      </c>
      <c r="E4" s="91" t="n"/>
      <c r="F4" s="91" t="n"/>
      <c r="G4" s="91" t="n"/>
      <c r="H4" s="91" t="n"/>
      <c r="I4" s="126" t="n">
        <v>1</v>
      </c>
      <c r="J4" s="103" t="inlineStr">
        <is>
          <t>Janvier</t>
        </is>
      </c>
      <c r="K4" s="103" t="inlineStr">
        <is>
          <t>January</t>
        </is>
      </c>
      <c r="L4" s="91" t="n"/>
    </row>
    <row r="5">
      <c r="A5" s="91" t="n"/>
      <c r="B5" s="125" t="inlineStr">
        <is>
          <t>nav.subtitle</t>
        </is>
      </c>
      <c r="C5" s="103" t="inlineStr">
        <is>
          <t>Cosmos Yopougon · EPLSA – Emergence Plaza</t>
        </is>
      </c>
      <c r="D5" s="103" t="inlineStr">
        <is>
          <t>Cosmos Yopougon · EPLSA – Emergence Plaza</t>
        </is>
      </c>
      <c r="E5" s="91" t="n"/>
      <c r="F5" s="91" t="n"/>
      <c r="G5" s="91" t="n"/>
      <c r="H5" s="91" t="n"/>
      <c r="I5" s="126" t="n">
        <v>2</v>
      </c>
      <c r="J5" s="103" t="inlineStr">
        <is>
          <t>Février</t>
        </is>
      </c>
      <c r="K5" s="103" t="inlineStr">
        <is>
          <t>February</t>
        </is>
      </c>
      <c r="L5" s="91" t="n"/>
    </row>
    <row r="6">
      <c r="A6" s="91" t="n"/>
      <c r="B6" s="125" t="inlineStr">
        <is>
          <t>nav.period</t>
        </is>
      </c>
      <c r="C6" s="103" t="inlineStr">
        <is>
          <t>Période</t>
        </is>
      </c>
      <c r="D6" s="103" t="inlineStr">
        <is>
          <t>Period</t>
        </is>
      </c>
      <c r="E6" s="91" t="n"/>
      <c r="F6" s="91" t="n"/>
      <c r="G6" s="91" t="n"/>
      <c r="H6" s="91" t="n"/>
      <c r="I6" s="126" t="n">
        <v>3</v>
      </c>
      <c r="J6" s="103" t="inlineStr">
        <is>
          <t>Mars</t>
        </is>
      </c>
      <c r="K6" s="103" t="inlineStr">
        <is>
          <t>March</t>
        </is>
      </c>
      <c r="L6" s="91" t="n"/>
    </row>
    <row r="7">
      <c r="A7" s="91" t="n"/>
      <c r="B7" s="125" t="inlineStr">
        <is>
          <t>nav.grain</t>
        </is>
      </c>
      <c r="C7" s="103" t="inlineStr">
        <is>
          <t>Granularité</t>
        </is>
      </c>
      <c r="D7" s="103" t="inlineStr">
        <is>
          <t>Granularity</t>
        </is>
      </c>
      <c r="E7" s="91" t="n"/>
      <c r="F7" s="91" t="n"/>
      <c r="G7" s="91" t="n"/>
      <c r="H7" s="91" t="n"/>
      <c r="I7" s="126" t="n">
        <v>4</v>
      </c>
      <c r="J7" s="103" t="inlineStr">
        <is>
          <t>Avril</t>
        </is>
      </c>
      <c r="K7" s="103" t="inlineStr">
        <is>
          <t>April</t>
        </is>
      </c>
      <c r="L7" s="91" t="n"/>
    </row>
    <row r="8">
      <c r="A8" s="91" t="n"/>
      <c r="B8" s="125" t="inlineStr">
        <is>
          <t>nav.lang</t>
        </is>
      </c>
      <c r="C8" s="103" t="inlineStr">
        <is>
          <t>Langue</t>
        </is>
      </c>
      <c r="D8" s="103" t="inlineStr">
        <is>
          <t>Language</t>
        </is>
      </c>
      <c r="E8" s="91" t="n"/>
      <c r="F8" s="91" t="n"/>
      <c r="G8" s="91" t="n"/>
      <c r="H8" s="91" t="n"/>
      <c r="I8" s="126" t="n">
        <v>5</v>
      </c>
      <c r="J8" s="103" t="inlineStr">
        <is>
          <t>Mai</t>
        </is>
      </c>
      <c r="K8" s="103" t="inlineStr">
        <is>
          <t>May</t>
        </is>
      </c>
      <c r="L8" s="91" t="n"/>
    </row>
    <row r="9">
      <c r="A9" s="91" t="n"/>
      <c r="B9" s="125" t="inlineStr">
        <is>
          <t>nav.summary</t>
        </is>
      </c>
      <c r="C9" s="103" t="inlineStr">
        <is>
          <t>Sommaire</t>
        </is>
      </c>
      <c r="D9" s="103" t="inlineStr">
        <is>
          <t>Contents</t>
        </is>
      </c>
      <c r="E9" s="91" t="n"/>
      <c r="F9" s="91" t="n"/>
      <c r="G9" s="91" t="n"/>
      <c r="H9" s="91" t="n"/>
      <c r="I9" s="126" t="n">
        <v>6</v>
      </c>
      <c r="J9" s="103" t="inlineStr">
        <is>
          <t>Juin</t>
        </is>
      </c>
      <c r="K9" s="103" t="inlineStr">
        <is>
          <t>June</t>
        </is>
      </c>
      <c r="L9" s="91" t="n"/>
    </row>
    <row r="10">
      <c r="A10" s="91" t="n"/>
      <c r="B10" s="125" t="inlineStr">
        <is>
          <t>nav.synthesis</t>
        </is>
      </c>
      <c r="C10" s="103" t="inlineStr">
        <is>
          <t>Synthèse exécutive</t>
        </is>
      </c>
      <c r="D10" s="103" t="inlineStr">
        <is>
          <t>Executive summary</t>
        </is>
      </c>
      <c r="E10" s="91" t="n"/>
      <c r="F10" s="91" t="n"/>
      <c r="G10" s="91" t="n"/>
      <c r="H10" s="91" t="n"/>
      <c r="I10" s="126" t="n">
        <v>7</v>
      </c>
      <c r="J10" s="103" t="inlineStr">
        <is>
          <t>Juillet</t>
        </is>
      </c>
      <c r="K10" s="103" t="inlineStr">
        <is>
          <t>July</t>
        </is>
      </c>
      <c r="L10" s="91" t="n"/>
    </row>
    <row r="11">
      <c r="A11" s="91" t="n"/>
      <c r="B11" s="125" t="inlineStr">
        <is>
          <t>nav.methodo</t>
        </is>
      </c>
      <c r="C11" s="103" t="inlineStr">
        <is>
          <t>Méthodologie</t>
        </is>
      </c>
      <c r="D11" s="103" t="inlineStr">
        <is>
          <t>Methodology</t>
        </is>
      </c>
      <c r="E11" s="91" t="n"/>
      <c r="F11" s="91" t="n"/>
      <c r="G11" s="91" t="n"/>
      <c r="H11" s="91" t="n"/>
      <c r="I11" s="126" t="n">
        <v>8</v>
      </c>
      <c r="J11" s="103" t="inlineStr">
        <is>
          <t>Août</t>
        </is>
      </c>
      <c r="K11" s="103" t="inlineStr">
        <is>
          <t>August</t>
        </is>
      </c>
      <c r="L11" s="91" t="n"/>
    </row>
    <row r="12">
      <c r="A12" s="91" t="n"/>
      <c r="B12" s="125" t="inlineStr">
        <is>
          <t>grain.month</t>
        </is>
      </c>
      <c r="C12" s="103" t="inlineStr">
        <is>
          <t>Mois</t>
        </is>
      </c>
      <c r="D12" s="103" t="inlineStr">
        <is>
          <t>Month</t>
        </is>
      </c>
      <c r="E12" s="91" t="n"/>
      <c r="F12" s="91" t="n"/>
      <c r="G12" s="91" t="n"/>
      <c r="H12" s="91" t="n"/>
      <c r="I12" s="126" t="n">
        <v>9</v>
      </c>
      <c r="J12" s="103" t="inlineStr">
        <is>
          <t>Septembre</t>
        </is>
      </c>
      <c r="K12" s="103" t="inlineStr">
        <is>
          <t>September</t>
        </is>
      </c>
      <c r="L12" s="91" t="n"/>
    </row>
    <row r="13">
      <c r="A13" s="91" t="n"/>
      <c r="B13" s="125" t="inlineStr">
        <is>
          <t>grain.quarter</t>
        </is>
      </c>
      <c r="C13" s="103" t="inlineStr">
        <is>
          <t>Trimestre</t>
        </is>
      </c>
      <c r="D13" s="103" t="inlineStr">
        <is>
          <t>Quarter</t>
        </is>
      </c>
      <c r="E13" s="91" t="n"/>
      <c r="F13" s="91" t="n"/>
      <c r="G13" s="91" t="n"/>
      <c r="H13" s="91" t="n"/>
      <c r="I13" s="126" t="n">
        <v>10</v>
      </c>
      <c r="J13" s="103" t="inlineStr">
        <is>
          <t>Octobre</t>
        </is>
      </c>
      <c r="K13" s="103" t="inlineStr">
        <is>
          <t>October</t>
        </is>
      </c>
      <c r="L13" s="91" t="n"/>
    </row>
    <row r="14">
      <c r="A14" s="91" t="n"/>
      <c r="B14" s="125" t="inlineStr">
        <is>
          <t>grain.year</t>
        </is>
      </c>
      <c r="C14" s="103" t="inlineStr">
        <is>
          <t>Année</t>
        </is>
      </c>
      <c r="D14" s="103" t="inlineStr">
        <is>
          <t>Year</t>
        </is>
      </c>
      <c r="E14" s="91" t="n"/>
      <c r="F14" s="91" t="n"/>
      <c r="G14" s="91" t="n"/>
      <c r="H14" s="91" t="n"/>
      <c r="I14" s="126" t="n">
        <v>11</v>
      </c>
      <c r="J14" s="103" t="inlineStr">
        <is>
          <t>Novembre</t>
        </is>
      </c>
      <c r="K14" s="103" t="inlineStr">
        <is>
          <t>November</t>
        </is>
      </c>
      <c r="L14" s="91" t="n"/>
    </row>
    <row r="15">
      <c r="A15" s="91" t="n"/>
      <c r="B15" s="125" t="inlineStr">
        <is>
          <t>col.kpi</t>
        </is>
      </c>
      <c r="C15" s="103" t="inlineStr">
        <is>
          <t>Indicateur</t>
        </is>
      </c>
      <c r="D15" s="103" t="inlineStr">
        <is>
          <t>KPI</t>
        </is>
      </c>
      <c r="E15" s="91" t="n"/>
      <c r="F15" s="91" t="n"/>
      <c r="G15" s="91" t="n"/>
      <c r="H15" s="91" t="n"/>
      <c r="I15" s="126" t="n">
        <v>12</v>
      </c>
      <c r="J15" s="103" t="inlineStr">
        <is>
          <t>Décembre</t>
        </is>
      </c>
      <c r="K15" s="103" t="inlineStr">
        <is>
          <t>December</t>
        </is>
      </c>
      <c r="L15" s="91" t="n"/>
    </row>
    <row r="16">
      <c r="A16" s="91" t="n"/>
      <c r="B16" s="125" t="inlineStr">
        <is>
          <t>col.unit</t>
        </is>
      </c>
      <c r="C16" s="103" t="inlineStr">
        <is>
          <t>Unité</t>
        </is>
      </c>
      <c r="D16" s="103" t="inlineStr">
        <is>
          <t>Unit</t>
        </is>
      </c>
      <c r="E16" s="91" t="n"/>
      <c r="F16" s="91" t="n"/>
      <c r="G16" s="91" t="n"/>
      <c r="H16" s="91" t="n"/>
      <c r="I16" s="91" t="n"/>
      <c r="J16" s="91" t="n"/>
      <c r="K16" s="91" t="n"/>
      <c r="L16" s="91" t="n"/>
    </row>
    <row r="17">
      <c r="A17" s="91" t="n"/>
      <c r="B17" s="125" t="inlineStr">
        <is>
          <t>col.current</t>
        </is>
      </c>
      <c r="C17" s="103" t="inlineStr">
        <is>
          <t>Courant</t>
        </is>
      </c>
      <c r="D17" s="103" t="inlineStr">
        <is>
          <t>Current</t>
        </is>
      </c>
      <c r="E17" s="91" t="n"/>
      <c r="F17" s="91" t="n"/>
      <c r="G17" s="91" t="n"/>
      <c r="H17" s="91" t="n"/>
      <c r="I17" s="91" t="n"/>
      <c r="J17" s="91" t="n"/>
      <c r="K17" s="91" t="n"/>
      <c r="L17" s="91" t="n"/>
    </row>
    <row r="18">
      <c r="A18" s="91" t="n"/>
      <c r="B18" s="125" t="inlineStr">
        <is>
          <t>col.prev</t>
        </is>
      </c>
      <c r="C18" s="103" t="inlineStr">
        <is>
          <t>Période préc.</t>
        </is>
      </c>
      <c r="D18" s="103" t="inlineStr">
        <is>
          <t>Prior period</t>
        </is>
      </c>
      <c r="E18" s="91" t="n"/>
      <c r="F18" s="91" t="n"/>
      <c r="G18" s="91" t="n"/>
      <c r="H18" s="91" t="n"/>
      <c r="I18" s="91" t="n"/>
      <c r="J18" s="91" t="n"/>
      <c r="K18" s="91" t="n"/>
      <c r="L18" s="91" t="n"/>
    </row>
    <row r="19">
      <c r="A19" s="91" t="n"/>
      <c r="B19" s="125" t="inlineStr">
        <is>
          <t>col.py</t>
        </is>
      </c>
      <c r="C19" s="103" t="inlineStr">
        <is>
          <t>N-1</t>
        </is>
      </c>
      <c r="D19" s="103" t="inlineStr">
        <is>
          <t>PY</t>
        </is>
      </c>
      <c r="E19" s="91" t="n"/>
      <c r="F19" s="91" t="n"/>
      <c r="G19" s="91" t="n"/>
      <c r="H19" s="91" t="n"/>
      <c r="I19" s="91" t="n"/>
      <c r="J19" s="91" t="n"/>
      <c r="K19" s="91" t="n"/>
      <c r="L19" s="91" t="n"/>
    </row>
    <row r="20">
      <c r="A20" s="91" t="n"/>
      <c r="B20" s="125" t="inlineStr">
        <is>
          <t>col.delta_prev</t>
        </is>
      </c>
      <c r="C20" s="103" t="inlineStr">
        <is>
          <t>Δ% préc.</t>
        </is>
      </c>
      <c r="D20" s="103" t="inlineStr">
        <is>
          <t>Δ% prior</t>
        </is>
      </c>
      <c r="E20" s="91" t="n"/>
      <c r="F20" s="91" t="n"/>
      <c r="G20" s="91" t="n"/>
      <c r="H20" s="91" t="n"/>
      <c r="I20" s="91" t="n"/>
      <c r="J20" s="91" t="n"/>
      <c r="K20" s="91" t="n"/>
      <c r="L20" s="91" t="n"/>
    </row>
    <row r="21">
      <c r="A21" s="91" t="n"/>
      <c r="B21" s="125" t="inlineStr">
        <is>
          <t>col.delta_py</t>
        </is>
      </c>
      <c r="C21" s="103" t="inlineStr">
        <is>
          <t>Δ% N-1</t>
        </is>
      </c>
      <c r="D21" s="103" t="inlineStr">
        <is>
          <t>Δ% PY</t>
        </is>
      </c>
      <c r="E21" s="91" t="n"/>
      <c r="F21" s="91" t="n"/>
      <c r="G21" s="91" t="n"/>
      <c r="H21" s="91" t="n"/>
      <c r="I21" s="91" t="n"/>
      <c r="J21" s="91" t="n"/>
      <c r="K21" s="91" t="n"/>
      <c r="L21" s="91" t="n"/>
    </row>
    <row r="22">
      <c r="A22" s="91" t="n"/>
      <c r="B22" s="125" t="inlineStr">
        <is>
          <t>col.budget</t>
        </is>
      </c>
      <c r="C22" s="103" t="inlineStr">
        <is>
          <t>Budget</t>
        </is>
      </c>
      <c r="D22" s="103" t="inlineStr">
        <is>
          <t>Budget</t>
        </is>
      </c>
      <c r="E22" s="91" t="n"/>
      <c r="F22" s="91" t="n"/>
      <c r="G22" s="91" t="n"/>
      <c r="H22" s="91" t="n"/>
      <c r="I22" s="91" t="n"/>
      <c r="J22" s="91" t="n"/>
      <c r="K22" s="91" t="n"/>
      <c r="L22" s="91" t="n"/>
    </row>
    <row r="23">
      <c r="A23" s="91" t="n"/>
      <c r="B23" s="125" t="inlineStr">
        <is>
          <t>col.var</t>
        </is>
      </c>
      <c r="C23" s="103" t="inlineStr">
        <is>
          <t>Écart%</t>
        </is>
      </c>
      <c r="D23" s="103" t="inlineStr">
        <is>
          <t>Var%</t>
        </is>
      </c>
      <c r="E23" s="91" t="n"/>
      <c r="F23" s="91" t="n"/>
      <c r="G23" s="91" t="n"/>
      <c r="H23" s="91" t="n"/>
      <c r="I23" s="91" t="n"/>
      <c r="J23" s="91" t="n"/>
      <c r="K23" s="91" t="n"/>
      <c r="L23" s="91" t="n"/>
    </row>
    <row r="24">
      <c r="A24" s="91" t="n"/>
      <c r="B24" s="125" t="inlineStr">
        <is>
          <t>col.rag</t>
        </is>
      </c>
      <c r="C24" s="103" t="inlineStr">
        <is>
          <t>Statut</t>
        </is>
      </c>
      <c r="D24" s="103" t="inlineStr">
        <is>
          <t>Status</t>
        </is>
      </c>
      <c r="E24" s="91" t="n"/>
      <c r="F24" s="91" t="n"/>
      <c r="G24" s="91" t="n"/>
      <c r="H24" s="91" t="n"/>
      <c r="I24" s="91" t="n"/>
      <c r="J24" s="91" t="n"/>
      <c r="K24" s="91" t="n"/>
      <c r="L24" s="91" t="n"/>
    </row>
    <row r="25">
      <c r="A25" s="91" t="n"/>
      <c r="B25" s="125" t="inlineStr">
        <is>
          <t>col.trend</t>
        </is>
      </c>
      <c r="C25" s="103" t="inlineStr">
        <is>
          <t>Tendance</t>
        </is>
      </c>
      <c r="D25" s="103" t="inlineStr">
        <is>
          <t>Trend</t>
        </is>
      </c>
      <c r="E25" s="91" t="n"/>
      <c r="F25" s="91" t="n"/>
      <c r="G25" s="91" t="n"/>
      <c r="H25" s="91" t="n"/>
      <c r="I25" s="91" t="n"/>
      <c r="J25" s="91" t="n"/>
      <c r="K25" s="91" t="n"/>
      <c r="L25" s="91" t="n"/>
    </row>
    <row r="26">
      <c r="A26" s="91" t="n"/>
      <c r="B26" s="125" t="inlineStr">
        <is>
          <t>col.comment</t>
        </is>
      </c>
      <c r="C26" s="103" t="inlineStr">
        <is>
          <t>Commentaire</t>
        </is>
      </c>
      <c r="D26" s="103" t="inlineStr">
        <is>
          <t>Comment</t>
        </is>
      </c>
      <c r="E26" s="91" t="n"/>
      <c r="F26" s="91" t="n"/>
      <c r="G26" s="91" t="n"/>
      <c r="H26" s="91" t="n"/>
      <c r="I26" s="91" t="n"/>
      <c r="J26" s="91" t="n"/>
      <c r="K26" s="91" t="n"/>
      <c r="L26" s="91" t="n"/>
    </row>
    <row r="27">
      <c r="A27" s="91" t="n"/>
      <c r="B27" s="125" t="inlineStr">
        <is>
          <t>rag.green</t>
        </is>
      </c>
      <c r="C27" s="103" t="inlineStr">
        <is>
          <t>Conforme</t>
        </is>
      </c>
      <c r="D27" s="103" t="inlineStr">
        <is>
          <t>On track</t>
        </is>
      </c>
      <c r="E27" s="91" t="n"/>
      <c r="F27" s="91" t="n"/>
      <c r="G27" s="91" t="n"/>
      <c r="H27" s="91" t="n"/>
      <c r="I27" s="91" t="n"/>
      <c r="J27" s="91" t="n"/>
      <c r="K27" s="91" t="n"/>
      <c r="L27" s="91" t="n"/>
    </row>
    <row r="28">
      <c r="A28" s="91" t="n"/>
      <c r="B28" s="125" t="inlineStr">
        <is>
          <t>rag.amber</t>
        </is>
      </c>
      <c r="C28" s="103" t="inlineStr">
        <is>
          <t>Vigilance</t>
        </is>
      </c>
      <c r="D28" s="103" t="inlineStr">
        <is>
          <t>Watch</t>
        </is>
      </c>
      <c r="E28" s="91" t="n"/>
      <c r="F28" s="91" t="n"/>
      <c r="G28" s="91" t="n"/>
      <c r="H28" s="91" t="n"/>
      <c r="I28" s="91" t="n"/>
      <c r="J28" s="91" t="n"/>
      <c r="K28" s="91" t="n"/>
      <c r="L28" s="91" t="n"/>
    </row>
    <row r="29">
      <c r="A29" s="91" t="n"/>
      <c r="B29" s="125" t="inlineStr">
        <is>
          <t>rag.red</t>
        </is>
      </c>
      <c r="C29" s="103" t="inlineStr">
        <is>
          <t>Alerte</t>
        </is>
      </c>
      <c r="D29" s="103" t="inlineStr">
        <is>
          <t>Alert</t>
        </is>
      </c>
      <c r="E29" s="91" t="n"/>
      <c r="F29" s="91" t="n"/>
      <c r="G29" s="91" t="n"/>
      <c r="H29" s="91" t="n"/>
      <c r="I29" s="91" t="n"/>
      <c r="J29" s="91" t="n"/>
      <c r="K29" s="91" t="n"/>
      <c r="L29" s="91" t="n"/>
    </row>
    <row r="30">
      <c r="A30" s="91" t="n"/>
      <c r="B30" s="125" t="inlineStr">
        <is>
          <t>rag.global</t>
        </is>
      </c>
      <c r="C30" s="103" t="inlineStr">
        <is>
          <t>RAG global</t>
        </is>
      </c>
      <c r="D30" s="103" t="inlineStr">
        <is>
          <t>Global RAG</t>
        </is>
      </c>
      <c r="E30" s="91" t="n"/>
      <c r="F30" s="91" t="n"/>
      <c r="G30" s="91" t="n"/>
      <c r="H30" s="91" t="n"/>
      <c r="I30" s="91" t="n"/>
      <c r="J30" s="91" t="n"/>
      <c r="K30" s="91" t="n"/>
      <c r="L30" s="91" t="n"/>
    </row>
    <row r="31">
      <c r="A31" s="91" t="n"/>
      <c r="B31" s="125" t="inlineStr">
        <is>
          <t>dept.rh</t>
        </is>
      </c>
      <c r="C31" s="103" t="inlineStr">
        <is>
          <t>Capital Humain</t>
        </is>
      </c>
      <c r="D31" s="103" t="inlineStr">
        <is>
          <t>Human Capital</t>
        </is>
      </c>
      <c r="E31" s="91" t="n"/>
      <c r="F31" s="91" t="n"/>
      <c r="G31" s="91" t="n"/>
      <c r="H31" s="91" t="n"/>
      <c r="I31" s="91" t="n"/>
      <c r="J31" s="91" t="n"/>
      <c r="K31" s="91" t="n"/>
      <c r="L31" s="91" t="n"/>
    </row>
    <row r="32">
      <c r="A32" s="91" t="n"/>
      <c r="B32" s="125" t="inlineStr">
        <is>
          <t>dept.lease</t>
        </is>
      </c>
      <c r="C32" s="103" t="inlineStr">
        <is>
          <t>Gestion locative</t>
        </is>
      </c>
      <c r="D32" s="103" t="inlineStr">
        <is>
          <t>Leasing</t>
        </is>
      </c>
      <c r="E32" s="91" t="n"/>
      <c r="F32" s="91" t="n"/>
      <c r="G32" s="91" t="n"/>
      <c r="H32" s="91" t="n"/>
      <c r="I32" s="91" t="n"/>
      <c r="J32" s="91" t="n"/>
      <c r="K32" s="91" t="n"/>
      <c r="L32" s="91" t="n"/>
    </row>
    <row r="33">
      <c r="A33" s="91" t="n"/>
      <c r="B33" s="125" t="inlineStr">
        <is>
          <t>dept.rec</t>
        </is>
      </c>
      <c r="C33" s="103" t="inlineStr">
        <is>
          <t>Recouvrement</t>
        </is>
      </c>
      <c r="D33" s="103" t="inlineStr">
        <is>
          <t>Collections</t>
        </is>
      </c>
      <c r="E33" s="91" t="n"/>
      <c r="F33" s="91" t="n"/>
      <c r="G33" s="91" t="n"/>
      <c r="H33" s="91" t="n"/>
      <c r="I33" s="91" t="n"/>
      <c r="J33" s="91" t="n"/>
      <c r="K33" s="91" t="n"/>
      <c r="L33" s="91" t="n"/>
    </row>
    <row r="34">
      <c r="A34" s="91" t="n"/>
      <c r="B34" s="125" t="inlineStr">
        <is>
          <t>dept.foot</t>
        </is>
      </c>
      <c r="C34" s="103" t="inlineStr">
        <is>
          <t>Fréquentation</t>
        </is>
      </c>
      <c r="D34" s="103" t="inlineStr">
        <is>
          <t>Footfall</t>
        </is>
      </c>
      <c r="E34" s="91" t="n"/>
      <c r="F34" s="91" t="n"/>
      <c r="G34" s="91" t="n"/>
      <c r="H34" s="91" t="n"/>
      <c r="I34" s="91" t="n"/>
      <c r="J34" s="91" t="n"/>
      <c r="K34" s="91" t="n"/>
      <c r="L34" s="91" t="n"/>
    </row>
    <row r="35">
      <c r="A35" s="91" t="n"/>
      <c r="B35" s="125" t="inlineStr">
        <is>
          <t>dept.mkt</t>
        </is>
      </c>
      <c r="C35" s="103" t="inlineStr">
        <is>
          <t>Marketing</t>
        </is>
      </c>
      <c r="D35" s="103" t="inlineStr">
        <is>
          <t>Marketing</t>
        </is>
      </c>
      <c r="E35" s="91" t="n"/>
      <c r="F35" s="91" t="n"/>
      <c r="G35" s="91" t="n"/>
      <c r="H35" s="91" t="n"/>
      <c r="I35" s="91" t="n"/>
      <c r="J35" s="91" t="n"/>
      <c r="K35" s="91" t="n"/>
      <c r="L35" s="91" t="n"/>
    </row>
    <row r="36">
      <c r="A36" s="91" t="n"/>
      <c r="B36" s="125" t="inlineStr">
        <is>
          <t>dept.com</t>
        </is>
      </c>
      <c r="C36" s="103" t="inlineStr">
        <is>
          <t>Commercial</t>
        </is>
      </c>
      <c r="D36" s="103" t="inlineStr">
        <is>
          <t>Commercial</t>
        </is>
      </c>
      <c r="E36" s="91" t="n"/>
      <c r="F36" s="91" t="n"/>
      <c r="G36" s="91" t="n"/>
      <c r="H36" s="91" t="n"/>
      <c r="I36" s="91" t="n"/>
      <c r="J36" s="91" t="n"/>
      <c r="K36" s="91" t="n"/>
      <c r="L36" s="91" t="n"/>
    </row>
    <row r="37">
      <c r="A37" s="91" t="n"/>
      <c r="B37" s="125" t="inlineStr">
        <is>
          <t>dept.hsse</t>
        </is>
      </c>
      <c r="C37" s="103" t="inlineStr">
        <is>
          <t>Sécurité / HSSE</t>
        </is>
      </c>
      <c r="D37" s="103" t="inlineStr">
        <is>
          <t>Safety / HSSE</t>
        </is>
      </c>
      <c r="E37" s="91" t="n"/>
      <c r="F37" s="91" t="n"/>
      <c r="G37" s="91" t="n"/>
      <c r="H37" s="91" t="n"/>
      <c r="I37" s="91" t="n"/>
      <c r="J37" s="91" t="n"/>
      <c r="K37" s="91" t="n"/>
      <c r="L37" s="91" t="n"/>
    </row>
    <row r="38">
      <c r="A38" s="91" t="n"/>
      <c r="B38" s="125" t="inlineStr">
        <is>
          <t>dept.fac</t>
        </is>
      </c>
      <c r="C38" s="103" t="inlineStr">
        <is>
          <t>Facility Management</t>
        </is>
      </c>
      <c r="D38" s="103" t="inlineStr">
        <is>
          <t>Facility Management</t>
        </is>
      </c>
      <c r="E38" s="91" t="n"/>
      <c r="F38" s="91" t="n"/>
      <c r="G38" s="91" t="n"/>
      <c r="H38" s="91" t="n"/>
      <c r="I38" s="91" t="n"/>
      <c r="J38" s="91" t="n"/>
      <c r="K38" s="91" t="n"/>
      <c r="L38" s="91" t="n"/>
    </row>
    <row r="39">
      <c r="A39" s="91" t="n"/>
      <c r="B39" s="125" t="inlineStr">
        <is>
          <t>msg.collect</t>
        </is>
      </c>
      <c r="C39" s="103" t="inlineStr">
        <is>
          <t>Collecte</t>
        </is>
      </c>
      <c r="D39" s="103" t="inlineStr">
        <is>
          <t>Collection</t>
        </is>
      </c>
      <c r="E39" s="91" t="n"/>
      <c r="F39" s="91" t="n"/>
      <c r="G39" s="91" t="n"/>
      <c r="H39" s="91" t="n"/>
      <c r="I39" s="91" t="n"/>
      <c r="J39" s="91" t="n"/>
      <c r="K39" s="91" t="n"/>
      <c r="L39" s="91" t="n"/>
    </row>
    <row r="40">
      <c r="A40" s="91" t="n"/>
      <c r="B40" s="125" t="inlineStr">
        <is>
          <t>msg.data</t>
        </is>
      </c>
      <c r="C40" s="103" t="inlineStr">
        <is>
          <t>Données</t>
        </is>
      </c>
      <c r="D40" s="103" t="inlineStr">
        <is>
          <t>Data</t>
        </is>
      </c>
      <c r="E40" s="91" t="n"/>
      <c r="F40" s="91" t="n"/>
      <c r="G40" s="91" t="n"/>
      <c r="H40" s="91" t="n"/>
      <c r="I40" s="91" t="n"/>
      <c r="J40" s="91" t="n"/>
      <c r="K40" s="91" t="n"/>
      <c r="L40" s="91" t="n"/>
    </row>
    <row r="41">
      <c r="A41" s="91" t="n"/>
      <c r="B41" s="125" t="inlineStr">
        <is>
          <t>msg.help</t>
        </is>
      </c>
      <c r="C41" s="103" t="inlineStr">
        <is>
          <t>1 chiffre par KPI / mois — le rapport se remplit seul.</t>
        </is>
      </c>
      <c r="D41" s="103" t="inlineStr">
        <is>
          <t>One figure per KPI / month — the report fills itself.</t>
        </is>
      </c>
      <c r="E41" s="91" t="n"/>
      <c r="F41" s="91" t="n"/>
      <c r="G41" s="91" t="n"/>
      <c r="H41" s="91" t="n"/>
      <c r="I41" s="91" t="n"/>
      <c r="J41" s="91" t="n"/>
      <c r="K41" s="91" t="n"/>
      <c r="L41" s="91" t="n"/>
    </row>
    <row r="42">
      <c r="A42" s="91" t="n"/>
      <c r="B42" s="125" t="inlineStr">
        <is>
          <t>msg.updated</t>
        </is>
      </c>
      <c r="C42" s="103" t="inlineStr">
        <is>
          <t>Mis à jour</t>
        </is>
      </c>
      <c r="D42" s="103" t="inlineStr">
        <is>
          <t>Updated</t>
        </is>
      </c>
      <c r="E42" s="91" t="n"/>
      <c r="F42" s="91" t="n"/>
      <c r="G42" s="91" t="n"/>
      <c r="H42" s="91" t="n"/>
      <c r="I42" s="91" t="n"/>
      <c r="J42" s="91" t="n"/>
      <c r="K42" s="91" t="n"/>
      <c r="L42" s="91" t="n"/>
    </row>
    <row r="43">
      <c r="A43" s="91" t="n"/>
      <c r="B43" s="125" t="inlineStr">
        <is>
          <t>msg.confidential</t>
        </is>
      </c>
      <c r="C43" s="103" t="inlineStr">
        <is>
          <t>Confidentiel — diffusion restreinte</t>
        </is>
      </c>
      <c r="D43" s="103" t="inlineStr">
        <is>
          <t>Confidential — restricted</t>
        </is>
      </c>
      <c r="E43" s="91" t="n"/>
      <c r="F43" s="91" t="n"/>
      <c r="G43" s="91" t="n"/>
      <c r="H43" s="91" t="n"/>
      <c r="I43" s="91" t="n"/>
      <c r="J43" s="91" t="n"/>
      <c r="K43" s="91" t="n"/>
      <c r="L43" s="91" t="n"/>
    </row>
    <row r="44">
      <c r="A44" s="91" t="n"/>
      <c r="B44" s="125" t="inlineStr">
        <is>
          <t>msg.version</t>
        </is>
      </c>
      <c r="C44" s="103" t="inlineStr">
        <is>
          <t>Version 3.0</t>
        </is>
      </c>
      <c r="D44" s="103" t="inlineStr">
        <is>
          <t>Version 3.0</t>
        </is>
      </c>
      <c r="E44" s="91" t="n"/>
      <c r="F44" s="91" t="n"/>
      <c r="G44" s="91" t="n"/>
      <c r="H44" s="91" t="n"/>
      <c r="I44" s="91" t="n"/>
      <c r="J44" s="91" t="n"/>
      <c r="K44" s="91" t="n"/>
      <c r="L44" s="91" t="n"/>
    </row>
    <row r="45">
      <c r="A45" s="91" t="n"/>
      <c r="B45" s="125" t="inlineStr">
        <is>
          <t>msg.headline</t>
        </is>
      </c>
      <c r="C45" s="103" t="inlineStr">
        <is>
          <t>Chiffre phare</t>
        </is>
      </c>
      <c r="D45" s="103" t="inlineStr">
        <is>
          <t>Headline</t>
        </is>
      </c>
      <c r="E45" s="91" t="n"/>
      <c r="F45" s="91" t="n"/>
      <c r="G45" s="91" t="n"/>
      <c r="H45" s="91" t="n"/>
      <c r="I45" s="91" t="n"/>
      <c r="J45" s="91" t="n"/>
      <c r="K45" s="91" t="n"/>
      <c r="L45" s="91" t="n"/>
    </row>
    <row r="46">
      <c r="A46" s="91" t="n"/>
      <c r="B46" s="125" t="inlineStr">
        <is>
          <t>msg.heatmap</t>
        </is>
      </c>
      <c r="C46" s="103" t="inlineStr">
        <is>
          <t>Heatmap RAG — départements × KPI clé</t>
        </is>
      </c>
      <c r="D46" s="103" t="inlineStr">
        <is>
          <t>RAG heatmap — departments × key KPI</t>
        </is>
      </c>
      <c r="E46" s="91" t="n"/>
      <c r="F46" s="91" t="n"/>
      <c r="G46" s="91" t="n"/>
      <c r="H46" s="91" t="n"/>
      <c r="I46" s="91" t="n"/>
      <c r="J46" s="91" t="n"/>
      <c r="K46" s="91" t="n"/>
      <c r="L46" s="91" t="n"/>
    </row>
    <row r="47">
      <c r="A47" s="91" t="n"/>
      <c r="B47" s="125" t="inlineStr">
        <is>
          <t>msg.highlights</t>
        </is>
      </c>
      <c r="C47" s="103" t="inlineStr">
        <is>
          <t>Faits marquants</t>
        </is>
      </c>
      <c r="D47" s="103" t="inlineStr">
        <is>
          <t>Highlights</t>
        </is>
      </c>
      <c r="E47" s="91" t="n"/>
      <c r="F47" s="91" t="n"/>
      <c r="G47" s="91" t="n"/>
      <c r="H47" s="91" t="n"/>
      <c r="I47" s="91" t="n"/>
      <c r="J47" s="91" t="n"/>
      <c r="K47" s="91" t="n"/>
      <c r="L47" s="91" t="n"/>
    </row>
    <row r="48">
      <c r="A48" s="91" t="n"/>
      <c r="B48" s="125" t="inlineStr">
        <is>
          <t>msg.tracking</t>
        </is>
      </c>
      <c r="C48" s="103" t="inlineStr">
        <is>
          <t>Suivi de saisie</t>
        </is>
      </c>
      <c r="D48" s="103" t="inlineStr">
        <is>
          <t>Input tracking</t>
        </is>
      </c>
      <c r="E48" s="91" t="n"/>
      <c r="F48" s="91" t="n"/>
      <c r="G48" s="91" t="n"/>
      <c r="H48" s="91" t="n"/>
      <c r="I48" s="91" t="n"/>
      <c r="J48" s="91" t="n"/>
      <c r="K48" s="91" t="n"/>
      <c r="L48" s="91" t="n"/>
    </row>
    <row r="49">
      <c r="A49" s="91" t="n"/>
      <c r="B49" s="125" t="inlineStr">
        <is>
          <t>msg.hero</t>
        </is>
      </c>
      <c r="C49" s="103" t="inlineStr">
        <is>
          <t>Indicateurs groupe</t>
        </is>
      </c>
      <c r="D49" s="103" t="inlineStr">
        <is>
          <t>Group indicators</t>
        </is>
      </c>
      <c r="E49" s="91" t="n"/>
      <c r="F49" s="91" t="n"/>
      <c r="G49" s="91" t="n"/>
      <c r="H49" s="91" t="n"/>
      <c r="I49" s="91" t="n"/>
      <c r="J49" s="91" t="n"/>
      <c r="K49" s="91" t="n"/>
      <c r="L49" s="91" t="n"/>
    </row>
    <row r="50">
      <c r="A50" s="91" t="n"/>
      <c r="B50" s="125" t="inlineStr">
        <is>
          <t>narr.up</t>
        </is>
      </c>
      <c r="C50" s="103" t="inlineStr">
        <is>
          <t>{kpi} en hausse de {delta} vs période précédente.</t>
        </is>
      </c>
      <c r="D50" s="103" t="inlineStr">
        <is>
          <t>{kpi} up {delta} vs prior period.</t>
        </is>
      </c>
      <c r="E50" s="91" t="n"/>
      <c r="F50" s="91" t="n"/>
      <c r="G50" s="91" t="n"/>
      <c r="H50" s="91" t="n"/>
      <c r="I50" s="91" t="n"/>
      <c r="J50" s="91" t="n"/>
      <c r="K50" s="91" t="n"/>
      <c r="L50" s="91" t="n"/>
    </row>
    <row r="51">
      <c r="A51" s="91" t="n"/>
      <c r="B51" s="125" t="inlineStr">
        <is>
          <t>narr.down</t>
        </is>
      </c>
      <c r="C51" s="103" t="inlineStr">
        <is>
          <t>{kpi} en baisse de {delta} vs période précédente.</t>
        </is>
      </c>
      <c r="D51" s="103" t="inlineStr">
        <is>
          <t>{kpi} down {delta} vs prior period.</t>
        </is>
      </c>
      <c r="E51" s="91" t="n"/>
      <c r="F51" s="91" t="n"/>
      <c r="G51" s="91" t="n"/>
      <c r="H51" s="91" t="n"/>
      <c r="I51" s="91" t="n"/>
      <c r="J51" s="91" t="n"/>
      <c r="K51" s="91" t="n"/>
      <c r="L51" s="91" t="n"/>
    </row>
    <row r="52">
      <c r="A52" s="91" t="n"/>
      <c r="B52" s="125" t="inlineStr">
        <is>
          <t>kpi.rh.headcount</t>
        </is>
      </c>
      <c r="C52" s="103" t="inlineStr">
        <is>
          <t>Effectif (ETP)</t>
        </is>
      </c>
      <c r="D52" s="103" t="inlineStr">
        <is>
          <t>Headcount (FTE)</t>
        </is>
      </c>
      <c r="E52" s="91" t="n"/>
      <c r="F52" s="91" t="n"/>
      <c r="G52" s="91" t="n"/>
      <c r="H52" s="91" t="n"/>
      <c r="I52" s="91" t="n"/>
      <c r="J52" s="91" t="n"/>
      <c r="K52" s="91" t="n"/>
      <c r="L52" s="91" t="n"/>
    </row>
    <row r="53">
      <c r="A53" s="91" t="n"/>
      <c r="B53" s="125" t="inlineStr">
        <is>
          <t>kpi.rh.fte_gap</t>
        </is>
      </c>
      <c r="C53" s="103" t="inlineStr">
        <is>
          <t>Écart ETP vs budget</t>
        </is>
      </c>
      <c r="D53" s="103" t="inlineStr">
        <is>
          <t>FTE gap vs budget</t>
        </is>
      </c>
      <c r="E53" s="91" t="n"/>
      <c r="F53" s="91" t="n"/>
      <c r="G53" s="91" t="n"/>
      <c r="H53" s="91" t="n"/>
      <c r="I53" s="91" t="n"/>
      <c r="J53" s="91" t="n"/>
      <c r="K53" s="91" t="n"/>
      <c r="L53" s="91" t="n"/>
    </row>
    <row r="54">
      <c r="A54" s="91" t="n"/>
      <c r="B54" s="125" t="inlineStr">
        <is>
          <t>kpi.rh.open_pos</t>
        </is>
      </c>
      <c r="C54" s="103" t="inlineStr">
        <is>
          <t>Postes ouverts</t>
        </is>
      </c>
      <c r="D54" s="103" t="inlineStr">
        <is>
          <t>Open positions</t>
        </is>
      </c>
      <c r="E54" s="91" t="n"/>
      <c r="F54" s="91" t="n"/>
      <c r="G54" s="91" t="n"/>
      <c r="H54" s="91" t="n"/>
      <c r="I54" s="91" t="n"/>
      <c r="J54" s="91" t="n"/>
      <c r="K54" s="91" t="n"/>
      <c r="L54" s="91" t="n"/>
    </row>
    <row r="55">
      <c r="A55" s="91" t="n"/>
      <c r="B55" s="125" t="inlineStr">
        <is>
          <t>kpi.rh.ttf</t>
        </is>
      </c>
      <c r="C55" s="103" t="inlineStr">
        <is>
          <t>Time-to-fill</t>
        </is>
      </c>
      <c r="D55" s="103" t="inlineStr">
        <is>
          <t>Time-to-fill</t>
        </is>
      </c>
      <c r="E55" s="91" t="n"/>
      <c r="F55" s="91" t="n"/>
      <c r="G55" s="91" t="n"/>
      <c r="H55" s="91" t="n"/>
      <c r="I55" s="91" t="n"/>
      <c r="J55" s="91" t="n"/>
      <c r="K55" s="91" t="n"/>
      <c r="L55" s="91" t="n"/>
    </row>
    <row r="56">
      <c r="A56" s="91" t="n"/>
      <c r="B56" s="125" t="inlineStr">
        <is>
          <t>kpi.rh.payroll</t>
        </is>
      </c>
      <c r="C56" s="103" t="inlineStr">
        <is>
          <t>Masse salariale</t>
        </is>
      </c>
      <c r="D56" s="103" t="inlineStr">
        <is>
          <t>Payroll</t>
        </is>
      </c>
      <c r="E56" s="91" t="n"/>
      <c r="F56" s="91" t="n"/>
      <c r="G56" s="91" t="n"/>
      <c r="H56" s="91" t="n"/>
      <c r="I56" s="91" t="n"/>
      <c r="J56" s="91" t="n"/>
      <c r="K56" s="91" t="n"/>
      <c r="L56" s="91" t="n"/>
    </row>
    <row r="57">
      <c r="A57" s="91" t="n"/>
      <c r="B57" s="125" t="inlineStr">
        <is>
          <t>kpi.rh.payroll_var</t>
        </is>
      </c>
      <c r="C57" s="103" t="inlineStr">
        <is>
          <t>Masse sal. vs budget</t>
        </is>
      </c>
      <c r="D57" s="103" t="inlineStr">
        <is>
          <t>Payroll vs budget</t>
        </is>
      </c>
      <c r="E57" s="91" t="n"/>
      <c r="F57" s="91" t="n"/>
      <c r="G57" s="91" t="n"/>
      <c r="H57" s="91" t="n"/>
      <c r="I57" s="91" t="n"/>
      <c r="J57" s="91" t="n"/>
      <c r="K57" s="91" t="n"/>
      <c r="L57" s="91" t="n"/>
    </row>
    <row r="58">
      <c r="A58" s="91" t="n"/>
      <c r="B58" s="125" t="inlineStr">
        <is>
          <t>kpi.rh.turnover</t>
        </is>
      </c>
      <c r="C58" s="103" t="inlineStr">
        <is>
          <t>Turnover</t>
        </is>
      </c>
      <c r="D58" s="103" t="inlineStr">
        <is>
          <t>Turnover</t>
        </is>
      </c>
      <c r="E58" s="91" t="n"/>
      <c r="F58" s="91" t="n"/>
      <c r="G58" s="91" t="n"/>
      <c r="H58" s="91" t="n"/>
      <c r="I58" s="91" t="n"/>
      <c r="J58" s="91" t="n"/>
      <c r="K58" s="91" t="n"/>
      <c r="L58" s="91" t="n"/>
    </row>
    <row r="59">
      <c r="A59" s="91" t="n"/>
      <c r="B59" s="125" t="inlineStr">
        <is>
          <t>kpi.rh.absence</t>
        </is>
      </c>
      <c r="C59" s="103" t="inlineStr">
        <is>
          <t>Absentéisme</t>
        </is>
      </c>
      <c r="D59" s="103" t="inlineStr">
        <is>
          <t>Absenteeism</t>
        </is>
      </c>
      <c r="E59" s="91" t="n"/>
      <c r="F59" s="91" t="n"/>
      <c r="G59" s="91" t="n"/>
      <c r="H59" s="91" t="n"/>
      <c r="I59" s="91" t="n"/>
      <c r="J59" s="91" t="n"/>
      <c r="K59" s="91" t="n"/>
      <c r="L59" s="91" t="n"/>
    </row>
    <row r="60">
      <c r="A60" s="91" t="n"/>
      <c r="B60" s="125" t="inlineStr">
        <is>
          <t>kpi.rh.train_hours</t>
        </is>
      </c>
      <c r="C60" s="103" t="inlineStr">
        <is>
          <t>Heures form./agent</t>
        </is>
      </c>
      <c r="D60" s="103" t="inlineStr">
        <is>
          <t>Training hrs/FTE</t>
        </is>
      </c>
      <c r="E60" s="91" t="n"/>
      <c r="F60" s="91" t="n"/>
      <c r="G60" s="91" t="n"/>
      <c r="H60" s="91" t="n"/>
      <c r="I60" s="91" t="n"/>
      <c r="J60" s="91" t="n"/>
      <c r="K60" s="91" t="n"/>
      <c r="L60" s="91" t="n"/>
    </row>
    <row r="61">
      <c r="A61" s="91" t="n"/>
      <c r="B61" s="125" t="inlineStr">
        <is>
          <t>kpi.rh.train_cover</t>
        </is>
      </c>
      <c r="C61" s="103" t="inlineStr">
        <is>
          <t>Couverture formation</t>
        </is>
      </c>
      <c r="D61" s="103" t="inlineStr">
        <is>
          <t>Training coverage</t>
        </is>
      </c>
      <c r="E61" s="91" t="n"/>
      <c r="F61" s="91" t="n"/>
      <c r="G61" s="91" t="n"/>
      <c r="H61" s="91" t="n"/>
      <c r="I61" s="91" t="n"/>
      <c r="J61" s="91" t="n"/>
      <c r="K61" s="91" t="n"/>
      <c r="L61" s="91" t="n"/>
    </row>
    <row r="62">
      <c r="A62" s="91" t="n"/>
      <c r="B62" s="125" t="inlineStr">
        <is>
          <t>kpi.lease.occ_gla</t>
        </is>
      </c>
      <c r="C62" s="103" t="inlineStr">
        <is>
          <t>Occupation (GLA)</t>
        </is>
      </c>
      <c r="D62" s="103" t="inlineStr">
        <is>
          <t>Occupancy (GLA)</t>
        </is>
      </c>
      <c r="E62" s="91" t="n"/>
      <c r="F62" s="91" t="n"/>
      <c r="G62" s="91" t="n"/>
      <c r="H62" s="91" t="n"/>
      <c r="I62" s="91" t="n"/>
      <c r="J62" s="91" t="n"/>
      <c r="K62" s="91" t="n"/>
      <c r="L62" s="91" t="n"/>
    </row>
    <row r="63">
      <c r="A63" s="91" t="n"/>
      <c r="B63" s="125" t="inlineStr">
        <is>
          <t>kpi.lease.occ_unit</t>
        </is>
      </c>
      <c r="C63" s="103" t="inlineStr">
        <is>
          <t>Occupation (unités)</t>
        </is>
      </c>
      <c r="D63" s="103" t="inlineStr">
        <is>
          <t>Occupancy (units)</t>
        </is>
      </c>
      <c r="E63" s="91" t="n"/>
      <c r="F63" s="91" t="n"/>
      <c r="G63" s="91" t="n"/>
      <c r="H63" s="91" t="n"/>
      <c r="I63" s="91" t="n"/>
      <c r="J63" s="91" t="n"/>
      <c r="K63" s="91" t="n"/>
      <c r="L63" s="91" t="n"/>
    </row>
    <row r="64">
      <c r="A64" s="91" t="n"/>
      <c r="B64" s="125" t="inlineStr">
        <is>
          <t>kpi.lease.gla_vacant</t>
        </is>
      </c>
      <c r="C64" s="103" t="inlineStr">
        <is>
          <t>GLA vacant</t>
        </is>
      </c>
      <c r="D64" s="103" t="inlineStr">
        <is>
          <t>Vacant GLA</t>
        </is>
      </c>
      <c r="E64" s="91" t="n"/>
      <c r="F64" s="91" t="n"/>
      <c r="G64" s="91" t="n"/>
      <c r="H64" s="91" t="n"/>
      <c r="I64" s="91" t="n"/>
      <c r="J64" s="91" t="n"/>
      <c r="K64" s="91" t="n"/>
      <c r="L64" s="91" t="n"/>
    </row>
    <row r="65">
      <c r="A65" s="91" t="n"/>
      <c r="B65" s="125" t="inlineStr">
        <is>
          <t>kpi.lease.ocr</t>
        </is>
      </c>
      <c r="C65" s="103" t="inlineStr">
        <is>
          <t>Taux d'effort (OCR)</t>
        </is>
      </c>
      <c r="D65" s="103" t="inlineStr">
        <is>
          <t>Occupancy Cost Ratio</t>
        </is>
      </c>
      <c r="E65" s="91" t="n"/>
      <c r="F65" s="91" t="n"/>
      <c r="G65" s="91" t="n"/>
      <c r="H65" s="91" t="n"/>
      <c r="I65" s="91" t="n"/>
      <c r="J65" s="91" t="n"/>
      <c r="K65" s="91" t="n"/>
      <c r="L65" s="91" t="n"/>
    </row>
    <row r="66">
      <c r="A66" s="91" t="n"/>
      <c r="B66" s="125" t="inlineStr">
        <is>
          <t>kpi.lease.passing</t>
        </is>
      </c>
      <c r="C66" s="103" t="inlineStr">
        <is>
          <t>Loyer en place</t>
        </is>
      </c>
      <c r="D66" s="103" t="inlineStr">
        <is>
          <t>Passing rent</t>
        </is>
      </c>
      <c r="E66" s="91" t="n"/>
      <c r="F66" s="91" t="n"/>
      <c r="G66" s="91" t="n"/>
      <c r="H66" s="91" t="n"/>
      <c r="I66" s="91" t="n"/>
      <c r="J66" s="91" t="n"/>
      <c r="K66" s="91" t="n"/>
      <c r="L66" s="91" t="n"/>
    </row>
    <row r="67">
      <c r="A67" s="91" t="n"/>
      <c r="B67" s="125" t="inlineStr">
        <is>
          <t>kpi.lease.erv</t>
        </is>
      </c>
      <c r="C67" s="103" t="inlineStr">
        <is>
          <t>Valeur locative (ERV)</t>
        </is>
      </c>
      <c r="D67" s="103" t="inlineStr">
        <is>
          <t>Est. Rental Value</t>
        </is>
      </c>
      <c r="E67" s="91" t="n"/>
      <c r="F67" s="91" t="n"/>
      <c r="G67" s="91" t="n"/>
      <c r="H67" s="91" t="n"/>
      <c r="I67" s="91" t="n"/>
      <c r="J67" s="91" t="n"/>
      <c r="K67" s="91" t="n"/>
      <c r="L67" s="91" t="n"/>
    </row>
    <row r="68">
      <c r="A68" s="91" t="n"/>
      <c r="B68" s="125" t="inlineStr">
        <is>
          <t>kpi.lease.reversion</t>
        </is>
      </c>
      <c r="C68" s="103" t="inlineStr">
        <is>
          <t>Réversion</t>
        </is>
      </c>
      <c r="D68" s="103" t="inlineStr">
        <is>
          <t>Reversion</t>
        </is>
      </c>
      <c r="E68" s="91" t="n"/>
      <c r="F68" s="91" t="n"/>
      <c r="G68" s="91" t="n"/>
      <c r="H68" s="91" t="n"/>
      <c r="I68" s="91" t="n"/>
      <c r="J68" s="91" t="n"/>
      <c r="K68" s="91" t="n"/>
      <c r="L68" s="91" t="n"/>
    </row>
    <row r="69">
      <c r="A69" s="91" t="n"/>
      <c r="B69" s="125" t="inlineStr">
        <is>
          <t>kpi.lease.vac_age</t>
        </is>
      </c>
      <c r="C69" s="103" t="inlineStr">
        <is>
          <t>Ancienneté vacance</t>
        </is>
      </c>
      <c r="D69" s="103" t="inlineStr">
        <is>
          <t>Vacancy age</t>
        </is>
      </c>
      <c r="E69" s="91" t="n"/>
      <c r="F69" s="91" t="n"/>
      <c r="G69" s="91" t="n"/>
      <c r="H69" s="91" t="n"/>
      <c r="I69" s="91" t="n"/>
      <c r="J69" s="91" t="n"/>
      <c r="K69" s="91" t="n"/>
      <c r="L69" s="91" t="n"/>
    </row>
    <row r="70">
      <c r="A70" s="91" t="n"/>
      <c r="B70" s="125" t="inlineStr">
        <is>
          <t>kpi.lease.retention</t>
        </is>
      </c>
      <c r="C70" s="103" t="inlineStr">
        <is>
          <t>Rétention renouvel.</t>
        </is>
      </c>
      <c r="D70" s="103" t="inlineStr">
        <is>
          <t>Renewal retention</t>
        </is>
      </c>
      <c r="E70" s="91" t="n"/>
      <c r="F70" s="91" t="n"/>
      <c r="G70" s="91" t="n"/>
      <c r="H70" s="91" t="n"/>
      <c r="I70" s="91" t="n"/>
      <c r="J70" s="91" t="n"/>
      <c r="K70" s="91" t="n"/>
      <c r="L70" s="91" t="n"/>
    </row>
    <row r="71">
      <c r="A71" s="91" t="n"/>
      <c r="B71" s="125" t="inlineStr">
        <is>
          <t>kpi.lease.incentives</t>
        </is>
      </c>
      <c r="C71" s="103" t="inlineStr">
        <is>
          <t>Franchises/incentives</t>
        </is>
      </c>
      <c r="D71" s="103" t="inlineStr">
        <is>
          <t>Incentives</t>
        </is>
      </c>
      <c r="E71" s="91" t="n"/>
      <c r="F71" s="91" t="n"/>
      <c r="G71" s="91" t="n"/>
      <c r="H71" s="91" t="n"/>
      <c r="I71" s="91" t="n"/>
      <c r="J71" s="91" t="n"/>
      <c r="K71" s="91" t="n"/>
      <c r="L71" s="91" t="n"/>
    </row>
    <row r="72">
      <c r="A72" s="91" t="n"/>
      <c r="B72" s="125" t="inlineStr">
        <is>
          <t>kpi.lease.rent_sqm</t>
        </is>
      </c>
      <c r="C72" s="103" t="inlineStr">
        <is>
          <t>Loyer moyen /m²</t>
        </is>
      </c>
      <c r="D72" s="103" t="inlineStr">
        <is>
          <t>Avg rent/sqm</t>
        </is>
      </c>
      <c r="E72" s="91" t="n"/>
      <c r="F72" s="91" t="n"/>
      <c r="G72" s="91" t="n"/>
      <c r="H72" s="91" t="n"/>
      <c r="I72" s="91" t="n"/>
      <c r="J72" s="91" t="n"/>
      <c r="K72" s="91" t="n"/>
      <c r="L72" s="91" t="n"/>
    </row>
    <row r="73">
      <c r="A73" s="91" t="n"/>
      <c r="B73" s="125" t="inlineStr">
        <is>
          <t>kpi.lease.walt</t>
        </is>
      </c>
      <c r="C73" s="103" t="inlineStr">
        <is>
          <t>Durée résiduelle (WALT)</t>
        </is>
      </c>
      <c r="D73" s="103" t="inlineStr">
        <is>
          <t>WALT</t>
        </is>
      </c>
      <c r="E73" s="91" t="n"/>
      <c r="F73" s="91" t="n"/>
      <c r="G73" s="91" t="n"/>
      <c r="H73" s="91" t="n"/>
      <c r="I73" s="91" t="n"/>
      <c r="J73" s="91" t="n"/>
      <c r="K73" s="91" t="n"/>
      <c r="L73" s="91" t="n"/>
    </row>
    <row r="74">
      <c r="A74" s="91" t="n"/>
      <c r="B74" s="125" t="inlineStr">
        <is>
          <t>kpi.rec.ar</t>
        </is>
      </c>
      <c r="C74" s="103" t="inlineStr">
        <is>
          <t>Créances (AR)</t>
        </is>
      </c>
      <c r="D74" s="103" t="inlineStr">
        <is>
          <t>Receivables</t>
        </is>
      </c>
      <c r="E74" s="91" t="n"/>
      <c r="F74" s="91" t="n"/>
      <c r="G74" s="91" t="n"/>
      <c r="H74" s="91" t="n"/>
      <c r="I74" s="91" t="n"/>
      <c r="J74" s="91" t="n"/>
      <c r="K74" s="91" t="n"/>
      <c r="L74" s="91" t="n"/>
    </row>
    <row r="75">
      <c r="A75" s="91" t="n"/>
      <c r="B75" s="125" t="inlineStr">
        <is>
          <t>kpi.rec.aged_0_30</t>
        </is>
      </c>
      <c r="C75" s="103" t="inlineStr">
        <is>
          <t>Âgée 0-30j</t>
        </is>
      </c>
      <c r="D75" s="103" t="inlineStr">
        <is>
          <t>Aged 0-30d</t>
        </is>
      </c>
      <c r="E75" s="91" t="n"/>
      <c r="F75" s="91" t="n"/>
      <c r="G75" s="91" t="n"/>
      <c r="H75" s="91" t="n"/>
      <c r="I75" s="91" t="n"/>
      <c r="J75" s="91" t="n"/>
      <c r="K75" s="91" t="n"/>
      <c r="L75" s="91" t="n"/>
    </row>
    <row r="76">
      <c r="A76" s="91" t="n"/>
      <c r="B76" s="125" t="inlineStr">
        <is>
          <t>kpi.rec.aged_30_60</t>
        </is>
      </c>
      <c r="C76" s="103" t="inlineStr">
        <is>
          <t>Âgée 30-60j</t>
        </is>
      </c>
      <c r="D76" s="103" t="inlineStr">
        <is>
          <t>Aged 30-60d</t>
        </is>
      </c>
      <c r="E76" s="91" t="n"/>
      <c r="F76" s="91" t="n"/>
      <c r="G76" s="91" t="n"/>
      <c r="H76" s="91" t="n"/>
      <c r="I76" s="91" t="n"/>
      <c r="J76" s="91" t="n"/>
      <c r="K76" s="91" t="n"/>
      <c r="L76" s="91" t="n"/>
    </row>
    <row r="77">
      <c r="A77" s="91" t="n"/>
      <c r="B77" s="125" t="inlineStr">
        <is>
          <t>kpi.rec.aged_60_90</t>
        </is>
      </c>
      <c r="C77" s="103" t="inlineStr">
        <is>
          <t>Âgée 60-90j</t>
        </is>
      </c>
      <c r="D77" s="103" t="inlineStr">
        <is>
          <t>Aged 60-90d</t>
        </is>
      </c>
      <c r="E77" s="91" t="n"/>
      <c r="F77" s="91" t="n"/>
      <c r="G77" s="91" t="n"/>
      <c r="H77" s="91" t="n"/>
      <c r="I77" s="91" t="n"/>
      <c r="J77" s="91" t="n"/>
      <c r="K77" s="91" t="n"/>
      <c r="L77" s="91" t="n"/>
    </row>
    <row r="78">
      <c r="A78" s="91" t="n"/>
      <c r="B78" s="125" t="inlineStr">
        <is>
          <t>kpi.rec.aged_90p</t>
        </is>
      </c>
      <c r="C78" s="103" t="inlineStr">
        <is>
          <t>Âgée 90j+</t>
        </is>
      </c>
      <c r="D78" s="103" t="inlineStr">
        <is>
          <t>Aged 90d+</t>
        </is>
      </c>
      <c r="E78" s="91" t="n"/>
      <c r="F78" s="91" t="n"/>
      <c r="G78" s="91" t="n"/>
      <c r="H78" s="91" t="n"/>
      <c r="I78" s="91" t="n"/>
      <c r="J78" s="91" t="n"/>
      <c r="K78" s="91" t="n"/>
      <c r="L78" s="91" t="n"/>
    </row>
    <row r="79">
      <c r="A79" s="91" t="n"/>
      <c r="B79" s="125" t="inlineStr">
        <is>
          <t>kpi.rec.dso</t>
        </is>
      </c>
      <c r="C79" s="103" t="inlineStr">
        <is>
          <t>DSO réel</t>
        </is>
      </c>
      <c r="D79" s="103" t="inlineStr">
        <is>
          <t>DSO</t>
        </is>
      </c>
      <c r="E79" s="91" t="n"/>
      <c r="F79" s="91" t="n"/>
      <c r="G79" s="91" t="n"/>
      <c r="H79" s="91" t="n"/>
      <c r="I79" s="91" t="n"/>
      <c r="J79" s="91" t="n"/>
      <c r="K79" s="91" t="n"/>
      <c r="L79" s="91" t="n"/>
    </row>
    <row r="80">
      <c r="A80" s="91" t="n"/>
      <c r="B80" s="125" t="inlineStr">
        <is>
          <t>kpi.rec.recovery</t>
        </is>
      </c>
      <c r="C80" s="103" t="inlineStr">
        <is>
          <t>Taux recouvrement</t>
        </is>
      </c>
      <c r="D80" s="103" t="inlineStr">
        <is>
          <t>Recovery rate</t>
        </is>
      </c>
      <c r="E80" s="91" t="n"/>
      <c r="F80" s="91" t="n"/>
      <c r="G80" s="91" t="n"/>
      <c r="H80" s="91" t="n"/>
      <c r="I80" s="91" t="n"/>
      <c r="J80" s="91" t="n"/>
      <c r="K80" s="91" t="n"/>
      <c r="L80" s="91" t="n"/>
    </row>
    <row r="81">
      <c r="A81" s="91" t="n"/>
      <c r="B81" s="125" t="inlineStr">
        <is>
          <t>kpi.rec.collected</t>
        </is>
      </c>
      <c r="C81" s="103" t="inlineStr">
        <is>
          <t>Encaissements</t>
        </is>
      </c>
      <c r="D81" s="103" t="inlineStr">
        <is>
          <t>Collections</t>
        </is>
      </c>
      <c r="E81" s="91" t="n"/>
      <c r="F81" s="91" t="n"/>
      <c r="G81" s="91" t="n"/>
      <c r="H81" s="91" t="n"/>
      <c r="I81" s="91" t="n"/>
      <c r="J81" s="91" t="n"/>
      <c r="K81" s="91" t="n"/>
      <c r="L81" s="91" t="n"/>
    </row>
    <row r="82">
      <c r="A82" s="91" t="n"/>
      <c r="B82" s="125" t="inlineStr">
        <is>
          <t>kpi.rec.billed</t>
        </is>
      </c>
      <c r="C82" s="103" t="inlineStr">
        <is>
          <t>Facturé</t>
        </is>
      </c>
      <c r="D82" s="103" t="inlineStr">
        <is>
          <t>Billed</t>
        </is>
      </c>
      <c r="E82" s="91" t="n"/>
      <c r="F82" s="91" t="n"/>
      <c r="G82" s="91" t="n"/>
      <c r="H82" s="91" t="n"/>
      <c r="I82" s="91" t="n"/>
      <c r="J82" s="91" t="n"/>
      <c r="K82" s="91" t="n"/>
      <c r="L82" s="91" t="n"/>
    </row>
    <row r="83">
      <c r="A83" s="91" t="n"/>
      <c r="B83" s="125" t="inlineStr">
        <is>
          <t>kpi.rec.dunning</t>
        </is>
      </c>
      <c r="C83" s="103" t="inlineStr">
        <is>
          <t>Relances émises</t>
        </is>
      </c>
      <c r="D83" s="103" t="inlineStr">
        <is>
          <t>Dunning notices</t>
        </is>
      </c>
      <c r="E83" s="91" t="n"/>
      <c r="F83" s="91" t="n"/>
      <c r="G83" s="91" t="n"/>
      <c r="H83" s="91" t="n"/>
      <c r="I83" s="91" t="n"/>
      <c r="J83" s="91" t="n"/>
      <c r="K83" s="91" t="n"/>
      <c r="L83" s="91" t="n"/>
    </row>
    <row r="84">
      <c r="A84" s="91" t="n"/>
      <c r="B84" s="125" t="inlineStr">
        <is>
          <t>kpi.rec.promises</t>
        </is>
      </c>
      <c r="C84" s="103" t="inlineStr">
        <is>
          <t>Promesses de paiement</t>
        </is>
      </c>
      <c r="D84" s="103" t="inlineStr">
        <is>
          <t>Payment promises</t>
        </is>
      </c>
      <c r="E84" s="91" t="n"/>
      <c r="F84" s="91" t="n"/>
      <c r="G84" s="91" t="n"/>
      <c r="H84" s="91" t="n"/>
      <c r="I84" s="91" t="n"/>
      <c r="J84" s="91" t="n"/>
      <c r="K84" s="91" t="n"/>
      <c r="L84" s="91" t="n"/>
    </row>
    <row r="85">
      <c r="A85" s="91" t="n"/>
      <c r="B85" s="125" t="inlineStr">
        <is>
          <t>kpi.rec.promise_kept</t>
        </is>
      </c>
      <c r="C85" s="103" t="inlineStr">
        <is>
          <t>Taux promesses tenues</t>
        </is>
      </c>
      <c r="D85" s="103" t="inlineStr">
        <is>
          <t>Promise-kept rate</t>
        </is>
      </c>
      <c r="E85" s="91" t="n"/>
      <c r="F85" s="91" t="n"/>
      <c r="G85" s="91" t="n"/>
      <c r="H85" s="91" t="n"/>
      <c r="I85" s="91" t="n"/>
      <c r="J85" s="91" t="n"/>
      <c r="K85" s="91" t="n"/>
      <c r="L85" s="91" t="n"/>
    </row>
    <row r="86">
      <c r="A86" s="91" t="n"/>
      <c r="B86" s="125" t="inlineStr">
        <is>
          <t>kpi.rec.collected_dun</t>
        </is>
      </c>
      <c r="C86" s="103" t="inlineStr">
        <is>
          <t>Encaissé sur relance</t>
        </is>
      </c>
      <c r="D86" s="103" t="inlineStr">
        <is>
          <t>Collected via dunning</t>
        </is>
      </c>
      <c r="E86" s="91" t="n"/>
      <c r="F86" s="91" t="n"/>
      <c r="G86" s="91" t="n"/>
      <c r="H86" s="91" t="n"/>
      <c r="I86" s="91" t="n"/>
      <c r="J86" s="91" t="n"/>
      <c r="K86" s="91" t="n"/>
      <c r="L86" s="91" t="n"/>
    </row>
    <row r="87">
      <c r="A87" s="91" t="n"/>
      <c r="B87" s="125" t="inlineStr">
        <is>
          <t>kpi.rec.provision</t>
        </is>
      </c>
      <c r="C87" s="103" t="inlineStr">
        <is>
          <t>Provisions douteuses</t>
        </is>
      </c>
      <c r="D87" s="103" t="inlineStr">
        <is>
          <t>Doubtful provisions</t>
        </is>
      </c>
      <c r="E87" s="91" t="n"/>
      <c r="F87" s="91" t="n"/>
      <c r="G87" s="91" t="n"/>
      <c r="H87" s="91" t="n"/>
      <c r="I87" s="91" t="n"/>
      <c r="J87" s="91" t="n"/>
      <c r="K87" s="91" t="n"/>
      <c r="L87" s="91" t="n"/>
    </row>
    <row r="88">
      <c r="A88" s="91" t="n"/>
      <c r="B88" s="125" t="inlineStr">
        <is>
          <t>kpi.rec.litige_count</t>
        </is>
      </c>
      <c r="C88" s="103" t="inlineStr">
        <is>
          <t>Dossiers en litige</t>
        </is>
      </c>
      <c r="D88" s="103" t="inlineStr">
        <is>
          <t>Disputed cases</t>
        </is>
      </c>
      <c r="E88" s="91" t="n"/>
      <c r="F88" s="91" t="n"/>
      <c r="G88" s="91" t="n"/>
      <c r="H88" s="91" t="n"/>
      <c r="I88" s="91" t="n"/>
      <c r="J88" s="91" t="n"/>
      <c r="K88" s="91" t="n"/>
      <c r="L88" s="91" t="n"/>
    </row>
    <row r="89">
      <c r="A89" s="91" t="n"/>
      <c r="B89" s="125" t="inlineStr">
        <is>
          <t>kpi.rec.litige_amount</t>
        </is>
      </c>
      <c r="C89" s="103" t="inlineStr">
        <is>
          <t>Montant en litige</t>
        </is>
      </c>
      <c r="D89" s="103" t="inlineStr">
        <is>
          <t>Disputed amount</t>
        </is>
      </c>
      <c r="E89" s="91" t="n"/>
      <c r="F89" s="91" t="n"/>
      <c r="G89" s="91" t="n"/>
      <c r="H89" s="91" t="n"/>
      <c r="I89" s="91" t="n"/>
      <c r="J89" s="91" t="n"/>
      <c r="K89" s="91" t="n"/>
      <c r="L89" s="91" t="n"/>
    </row>
    <row r="90">
      <c r="A90" s="91" t="n"/>
      <c r="B90" s="125" t="inlineStr">
        <is>
          <t>kpi.rec.litige_resolved</t>
        </is>
      </c>
      <c r="C90" s="103" t="inlineStr">
        <is>
          <t>Taux résolution litiges</t>
        </is>
      </c>
      <c r="D90" s="103" t="inlineStr">
        <is>
          <t>Dispute resolution rate</t>
        </is>
      </c>
      <c r="E90" s="91" t="n"/>
      <c r="F90" s="91" t="n"/>
      <c r="G90" s="91" t="n"/>
      <c r="H90" s="91" t="n"/>
      <c r="I90" s="91" t="n"/>
      <c r="J90" s="91" t="n"/>
      <c r="K90" s="91" t="n"/>
      <c r="L90" s="91" t="n"/>
    </row>
    <row r="91">
      <c r="A91" s="91" t="n"/>
      <c r="B91" s="125" t="inlineStr">
        <is>
          <t>kpi.rec.litige_age</t>
        </is>
      </c>
      <c r="C91" s="103" t="inlineStr">
        <is>
          <t>Ancienneté litige</t>
        </is>
      </c>
      <c r="D91" s="103" t="inlineStr">
        <is>
          <t>Dispute age</t>
        </is>
      </c>
      <c r="E91" s="91" t="n"/>
      <c r="F91" s="91" t="n"/>
      <c r="G91" s="91" t="n"/>
      <c r="H91" s="91" t="n"/>
      <c r="I91" s="91" t="n"/>
      <c r="J91" s="91" t="n"/>
      <c r="K91" s="91" t="n"/>
      <c r="L91" s="91" t="n"/>
    </row>
    <row r="92">
      <c r="A92" s="91" t="n"/>
      <c r="B92" s="125" t="inlineStr">
        <is>
          <t>kpi.foot.total</t>
        </is>
      </c>
      <c r="C92" s="103" t="inlineStr">
        <is>
          <t>Fréquentation</t>
        </is>
      </c>
      <c r="D92" s="103" t="inlineStr">
        <is>
          <t>Total footfall</t>
        </is>
      </c>
      <c r="E92" s="91" t="n"/>
      <c r="F92" s="91" t="n"/>
      <c r="G92" s="91" t="n"/>
      <c r="H92" s="91" t="n"/>
      <c r="I92" s="91" t="n"/>
      <c r="J92" s="91" t="n"/>
      <c r="K92" s="91" t="n"/>
      <c r="L92" s="91" t="n"/>
    </row>
    <row r="93">
      <c r="A93" s="91" t="n"/>
      <c r="B93" s="125" t="inlineStr">
        <is>
          <t>kpi.foot.vs_budget</t>
        </is>
      </c>
      <c r="C93" s="103" t="inlineStr">
        <is>
          <t>Footfall vs budget</t>
        </is>
      </c>
      <c r="D93" s="103" t="inlineStr">
        <is>
          <t>Footfall vs budget</t>
        </is>
      </c>
      <c r="E93" s="91" t="n"/>
      <c r="F93" s="91" t="n"/>
      <c r="G93" s="91" t="n"/>
      <c r="H93" s="91" t="n"/>
      <c r="I93" s="91" t="n"/>
      <c r="J93" s="91" t="n"/>
      <c r="K93" s="91" t="n"/>
      <c r="L93" s="91" t="n"/>
    </row>
    <row r="94">
      <c r="A94" s="91" t="n"/>
      <c r="B94" s="125" t="inlineStr">
        <is>
          <t>kpi.foot.per_sqm</t>
        </is>
      </c>
      <c r="C94" s="103" t="inlineStr">
        <is>
          <t>Footfall /m²</t>
        </is>
      </c>
      <c r="D94" s="103" t="inlineStr">
        <is>
          <t>Footfall/sqm</t>
        </is>
      </c>
      <c r="E94" s="91" t="n"/>
      <c r="F94" s="91" t="n"/>
      <c r="G94" s="91" t="n"/>
      <c r="H94" s="91" t="n"/>
      <c r="I94" s="91" t="n"/>
      <c r="J94" s="91" t="n"/>
      <c r="K94" s="91" t="n"/>
      <c r="L94" s="91" t="n"/>
    </row>
    <row r="95">
      <c r="A95" s="91" t="n"/>
      <c r="B95" s="125" t="inlineStr">
        <is>
          <t>kpi.foot.conversion</t>
        </is>
      </c>
      <c r="C95" s="103" t="inlineStr">
        <is>
          <t>Conversion→ventes</t>
        </is>
      </c>
      <c r="D95" s="103" t="inlineStr">
        <is>
          <t>Footfall→sales conv.</t>
        </is>
      </c>
      <c r="E95" s="91" t="n"/>
      <c r="F95" s="91" t="n"/>
      <c r="G95" s="91" t="n"/>
      <c r="H95" s="91" t="n"/>
      <c r="I95" s="91" t="n"/>
      <c r="J95" s="91" t="n"/>
      <c r="K95" s="91" t="n"/>
      <c r="L95" s="91" t="n"/>
    </row>
    <row r="96">
      <c r="A96" s="91" t="n"/>
      <c r="B96" s="125" t="inlineStr">
        <is>
          <t>kpi.foot.dwell</t>
        </is>
      </c>
      <c r="C96" s="103" t="inlineStr">
        <is>
          <t>Temps de visite</t>
        </is>
      </c>
      <c r="D96" s="103" t="inlineStr">
        <is>
          <t>Dwell time</t>
        </is>
      </c>
      <c r="E96" s="91" t="n"/>
      <c r="F96" s="91" t="n"/>
      <c r="G96" s="91" t="n"/>
      <c r="H96" s="91" t="n"/>
      <c r="I96" s="91" t="n"/>
      <c r="J96" s="91" t="n"/>
      <c r="K96" s="91" t="n"/>
      <c r="L96" s="91" t="n"/>
    </row>
    <row r="97">
      <c r="A97" s="91" t="n"/>
      <c r="B97" s="125" t="inlineStr">
        <is>
          <t>kpi.foot.peak_share</t>
        </is>
      </c>
      <c r="C97" s="103" t="inlineStr">
        <is>
          <t>Part heure de pointe</t>
        </is>
      </c>
      <c r="D97" s="103" t="inlineStr">
        <is>
          <t>Peak-hour share</t>
        </is>
      </c>
      <c r="E97" s="91" t="n"/>
      <c r="F97" s="91" t="n"/>
      <c r="G97" s="91" t="n"/>
      <c r="H97" s="91" t="n"/>
      <c r="I97" s="91" t="n"/>
      <c r="J97" s="91" t="n"/>
      <c r="K97" s="91" t="n"/>
      <c r="L97" s="91" t="n"/>
    </row>
    <row r="98">
      <c r="A98" s="91" t="n"/>
      <c r="B98" s="125" t="inlineStr">
        <is>
          <t>kpi.foot.weekend_share</t>
        </is>
      </c>
      <c r="C98" s="103" t="inlineStr">
        <is>
          <t>Part week-end</t>
        </is>
      </c>
      <c r="D98" s="103" t="inlineStr">
        <is>
          <t>Weekend share</t>
        </is>
      </c>
      <c r="E98" s="91" t="n"/>
      <c r="F98" s="91" t="n"/>
      <c r="G98" s="91" t="n"/>
      <c r="H98" s="91" t="n"/>
      <c r="I98" s="91" t="n"/>
      <c r="J98" s="91" t="n"/>
      <c r="K98" s="91" t="n"/>
      <c r="L98" s="91" t="n"/>
    </row>
    <row r="99">
      <c r="A99" s="91" t="n"/>
      <c r="B99" s="125" t="inlineStr">
        <is>
          <t>kpi.mkt.events</t>
        </is>
      </c>
      <c r="C99" s="103" t="inlineStr">
        <is>
          <t>Événements</t>
        </is>
      </c>
      <c r="D99" s="103" t="inlineStr">
        <is>
          <t>Events</t>
        </is>
      </c>
      <c r="E99" s="91" t="n"/>
      <c r="F99" s="91" t="n"/>
      <c r="G99" s="91" t="n"/>
      <c r="H99" s="91" t="n"/>
      <c r="I99" s="91" t="n"/>
      <c r="J99" s="91" t="n"/>
      <c r="K99" s="91" t="n"/>
      <c r="L99" s="91" t="n"/>
    </row>
    <row r="100">
      <c r="A100" s="91" t="n"/>
      <c r="B100" s="125" t="inlineStr">
        <is>
          <t>kpi.mkt.event_att</t>
        </is>
      </c>
      <c r="C100" s="103" t="inlineStr">
        <is>
          <t>Affluence événements</t>
        </is>
      </c>
      <c r="D100" s="103" t="inlineStr">
        <is>
          <t>Event attendance</t>
        </is>
      </c>
      <c r="E100" s="91" t="n"/>
      <c r="F100" s="91" t="n"/>
      <c r="G100" s="91" t="n"/>
      <c r="H100" s="91" t="n"/>
      <c r="I100" s="91" t="n"/>
      <c r="J100" s="91" t="n"/>
      <c r="K100" s="91" t="n"/>
      <c r="L100" s="91" t="n"/>
    </row>
    <row r="101">
      <c r="A101" s="91" t="n"/>
      <c r="B101" s="125" t="inlineStr">
        <is>
          <t>kpi.mkt.event_roi</t>
        </is>
      </c>
      <c r="C101" s="103" t="inlineStr">
        <is>
          <t>ROI événement</t>
        </is>
      </c>
      <c r="D101" s="103" t="inlineStr">
        <is>
          <t>Event ROI</t>
        </is>
      </c>
      <c r="E101" s="91" t="n"/>
      <c r="F101" s="91" t="n"/>
      <c r="G101" s="91" t="n"/>
      <c r="H101" s="91" t="n"/>
      <c r="I101" s="91" t="n"/>
      <c r="J101" s="91" t="n"/>
      <c r="K101" s="91" t="n"/>
      <c r="L101" s="91" t="n"/>
    </row>
    <row r="102">
      <c r="A102" s="91" t="n"/>
      <c r="B102" s="125" t="inlineStr">
        <is>
          <t>kpi.mkt.event_sat</t>
        </is>
      </c>
      <c r="C102" s="103" t="inlineStr">
        <is>
          <t>Satisfaction événement</t>
        </is>
      </c>
      <c r="D102" s="103" t="inlineStr">
        <is>
          <t>Event satisfaction</t>
        </is>
      </c>
      <c r="E102" s="91" t="n"/>
      <c r="F102" s="91" t="n"/>
      <c r="G102" s="91" t="n"/>
      <c r="H102" s="91" t="n"/>
      <c r="I102" s="91" t="n"/>
      <c r="J102" s="91" t="n"/>
      <c r="K102" s="91" t="n"/>
      <c r="L102" s="91" t="n"/>
    </row>
    <row r="103">
      <c r="A103" s="91" t="n"/>
      <c r="B103" s="125" t="inlineStr">
        <is>
          <t>kpi.mkt.engagement</t>
        </is>
      </c>
      <c r="C103" s="103" t="inlineStr">
        <is>
          <t>Taux d'engagement</t>
        </is>
      </c>
      <c r="D103" s="103" t="inlineStr">
        <is>
          <t>Engagement rate</t>
        </is>
      </c>
      <c r="E103" s="91" t="n"/>
      <c r="F103" s="91" t="n"/>
      <c r="G103" s="91" t="n"/>
      <c r="H103" s="91" t="n"/>
      <c r="I103" s="91" t="n"/>
      <c r="J103" s="91" t="n"/>
      <c r="K103" s="91" t="n"/>
      <c r="L103" s="91" t="n"/>
    </row>
    <row r="104">
      <c r="A104" s="91" t="n"/>
      <c r="B104" s="125" t="inlineStr">
        <is>
          <t>kpi.mkt.followers</t>
        </is>
      </c>
      <c r="C104" s="103" t="inlineStr">
        <is>
          <t>Abonnés</t>
        </is>
      </c>
      <c r="D104" s="103" t="inlineStr">
        <is>
          <t>Followers</t>
        </is>
      </c>
      <c r="E104" s="91" t="n"/>
      <c r="F104" s="91" t="n"/>
      <c r="G104" s="91" t="n"/>
      <c r="H104" s="91" t="n"/>
      <c r="I104" s="91" t="n"/>
      <c r="J104" s="91" t="n"/>
      <c r="K104" s="91" t="n"/>
      <c r="L104" s="91" t="n"/>
    </row>
    <row r="105">
      <c r="A105" s="91" t="n"/>
      <c r="B105" s="125" t="inlineStr">
        <is>
          <t>kpi.mkt.reach</t>
        </is>
      </c>
      <c r="C105" s="103" t="inlineStr">
        <is>
          <t>Portée (reach)</t>
        </is>
      </c>
      <c r="D105" s="103" t="inlineStr">
        <is>
          <t>Reach</t>
        </is>
      </c>
      <c r="E105" s="91" t="n"/>
      <c r="F105" s="91" t="n"/>
      <c r="G105" s="91" t="n"/>
      <c r="H105" s="91" t="n"/>
      <c r="I105" s="91" t="n"/>
      <c r="J105" s="91" t="n"/>
      <c r="K105" s="91" t="n"/>
      <c r="L105" s="91" t="n"/>
    </row>
    <row r="106">
      <c r="A106" s="91" t="n"/>
      <c r="B106" s="125" t="inlineStr">
        <is>
          <t>kpi.mkt.cpa</t>
        </is>
      </c>
      <c r="C106" s="103" t="inlineStr">
        <is>
          <t>Coût/acquisition</t>
        </is>
      </c>
      <c r="D106" s="103" t="inlineStr">
        <is>
          <t>CPA</t>
        </is>
      </c>
      <c r="E106" s="91" t="n"/>
      <c r="F106" s="91" t="n"/>
      <c r="G106" s="91" t="n"/>
      <c r="H106" s="91" t="n"/>
      <c r="I106" s="91" t="n"/>
      <c r="J106" s="91" t="n"/>
      <c r="K106" s="91" t="n"/>
      <c r="L106" s="91" t="n"/>
    </row>
    <row r="107">
      <c r="A107" s="91" t="n"/>
      <c r="B107" s="125" t="inlineStr">
        <is>
          <t>kpi.mkt.digital_conv</t>
        </is>
      </c>
      <c r="C107" s="103" t="inlineStr">
        <is>
          <t>Conversion digitale</t>
        </is>
      </c>
      <c r="D107" s="103" t="inlineStr">
        <is>
          <t>Digital conversion</t>
        </is>
      </c>
      <c r="E107" s="91" t="n"/>
      <c r="F107" s="91" t="n"/>
      <c r="G107" s="91" t="n"/>
      <c r="H107" s="91" t="n"/>
      <c r="I107" s="91" t="n"/>
      <c r="J107" s="91" t="n"/>
      <c r="K107" s="91" t="n"/>
      <c r="L107" s="91" t="n"/>
    </row>
    <row r="108">
      <c r="A108" s="91" t="n"/>
      <c r="B108" s="125" t="inlineStr">
        <is>
          <t>kpi.mkt.spend</t>
        </is>
      </c>
      <c r="C108" s="103" t="inlineStr">
        <is>
          <t>Dépense mkt</t>
        </is>
      </c>
      <c r="D108" s="103" t="inlineStr">
        <is>
          <t>Marketing spend</t>
        </is>
      </c>
      <c r="E108" s="91" t="n"/>
      <c r="F108" s="91" t="n"/>
      <c r="G108" s="91" t="n"/>
      <c r="H108" s="91" t="n"/>
      <c r="I108" s="91" t="n"/>
      <c r="J108" s="91" t="n"/>
      <c r="K108" s="91" t="n"/>
      <c r="L108" s="91" t="n"/>
    </row>
    <row r="109">
      <c r="A109" s="91" t="n"/>
      <c r="B109" s="125" t="inlineStr">
        <is>
          <t>kpi.mkt.spend_pct</t>
        </is>
      </c>
      <c r="C109" s="103" t="inlineStr">
        <is>
          <t>Spend % du CA</t>
        </is>
      </c>
      <c r="D109" s="103" t="inlineStr">
        <is>
          <t>Spend % revenue</t>
        </is>
      </c>
      <c r="E109" s="91" t="n"/>
      <c r="F109" s="91" t="n"/>
      <c r="G109" s="91" t="n"/>
      <c r="H109" s="91" t="n"/>
      <c r="I109" s="91" t="n"/>
      <c r="J109" s="91" t="n"/>
      <c r="K109" s="91" t="n"/>
      <c r="L109" s="91" t="n"/>
    </row>
    <row r="110">
      <c r="A110" s="91" t="n"/>
      <c r="B110" s="125" t="inlineStr">
        <is>
          <t>kpi.mkt.impressions</t>
        </is>
      </c>
      <c r="C110" s="103" t="inlineStr">
        <is>
          <t>Impressions pub</t>
        </is>
      </c>
      <c r="D110" s="103" t="inlineStr">
        <is>
          <t>Ad impressions</t>
        </is>
      </c>
      <c r="E110" s="91" t="n"/>
      <c r="F110" s="91" t="n"/>
      <c r="G110" s="91" t="n"/>
      <c r="H110" s="91" t="n"/>
      <c r="I110" s="91" t="n"/>
      <c r="J110" s="91" t="n"/>
      <c r="K110" s="91" t="n"/>
      <c r="L110" s="91" t="n"/>
    </row>
    <row r="111">
      <c r="A111" s="91" t="n"/>
      <c r="B111" s="125" t="inlineStr">
        <is>
          <t>kpi.mkt.campaigns</t>
        </is>
      </c>
      <c r="C111" s="103" t="inlineStr">
        <is>
          <t>Campagnes actives</t>
        </is>
      </c>
      <c r="D111" s="103" t="inlineStr">
        <is>
          <t>Active campaigns</t>
        </is>
      </c>
      <c r="E111" s="91" t="n"/>
      <c r="F111" s="91" t="n"/>
      <c r="G111" s="91" t="n"/>
      <c r="H111" s="91" t="n"/>
      <c r="I111" s="91" t="n"/>
      <c r="J111" s="91" t="n"/>
      <c r="K111" s="91" t="n"/>
      <c r="L111" s="91" t="n"/>
    </row>
    <row r="112">
      <c r="A112" s="91" t="n"/>
      <c r="B112" s="125" t="inlineStr">
        <is>
          <t>kpi.mkt.nps</t>
        </is>
      </c>
      <c r="C112" s="103" t="inlineStr">
        <is>
          <t>NPS</t>
        </is>
      </c>
      <c r="D112" s="103" t="inlineStr">
        <is>
          <t>NPS</t>
        </is>
      </c>
      <c r="E112" s="91" t="n"/>
      <c r="F112" s="91" t="n"/>
      <c r="G112" s="91" t="n"/>
      <c r="H112" s="91" t="n"/>
      <c r="I112" s="91" t="n"/>
      <c r="J112" s="91" t="n"/>
      <c r="K112" s="91" t="n"/>
      <c r="L112" s="91" t="n"/>
    </row>
    <row r="113">
      <c r="A113" s="91" t="n"/>
      <c r="B113" s="125" t="inlineStr">
        <is>
          <t>kpi.mkt.members</t>
        </is>
      </c>
      <c r="C113" s="103" t="inlineStr">
        <is>
          <t>Membres fidélité</t>
        </is>
      </c>
      <c r="D113" s="103" t="inlineStr">
        <is>
          <t>Loyalty members</t>
        </is>
      </c>
      <c r="E113" s="91" t="n"/>
      <c r="F113" s="91" t="n"/>
      <c r="G113" s="91" t="n"/>
      <c r="H113" s="91" t="n"/>
      <c r="I113" s="91" t="n"/>
      <c r="J113" s="91" t="n"/>
      <c r="K113" s="91" t="n"/>
      <c r="L113" s="91" t="n"/>
    </row>
    <row r="114">
      <c r="A114" s="91" t="n"/>
      <c r="B114" s="125" t="inlineStr">
        <is>
          <t>kpi.mkt.member_act</t>
        </is>
      </c>
      <c r="C114" s="103" t="inlineStr">
        <is>
          <t>Activation membres</t>
        </is>
      </c>
      <c r="D114" s="103" t="inlineStr">
        <is>
          <t>Member activation</t>
        </is>
      </c>
      <c r="E114" s="91" t="n"/>
      <c r="F114" s="91" t="n"/>
      <c r="G114" s="91" t="n"/>
      <c r="H114" s="91" t="n"/>
      <c r="I114" s="91" t="n"/>
      <c r="J114" s="91" t="n"/>
      <c r="K114" s="91" t="n"/>
      <c r="L114" s="91" t="n"/>
    </row>
    <row r="115">
      <c r="A115" s="91" t="n"/>
      <c r="B115" s="125" t="inlineStr">
        <is>
          <t>kpi.mkt.basket_member</t>
        </is>
      </c>
      <c r="C115" s="103" t="inlineStr">
        <is>
          <t>Panier moyen membre</t>
        </is>
      </c>
      <c r="D115" s="103" t="inlineStr">
        <is>
          <t>Avg member basket</t>
        </is>
      </c>
      <c r="E115" s="91" t="n"/>
      <c r="F115" s="91" t="n"/>
      <c r="G115" s="91" t="n"/>
      <c r="H115" s="91" t="n"/>
      <c r="I115" s="91" t="n"/>
      <c r="J115" s="91" t="n"/>
      <c r="K115" s="91" t="n"/>
      <c r="L115" s="91" t="n"/>
    </row>
    <row r="116">
      <c r="A116" s="91" t="n"/>
      <c r="B116" s="125" t="inlineStr">
        <is>
          <t>kpi.com.tenant_sales</t>
        </is>
      </c>
      <c r="C116" s="103" t="inlineStr">
        <is>
          <t>Ventes locataires</t>
        </is>
      </c>
      <c r="D116" s="103" t="inlineStr">
        <is>
          <t>Tenant sales</t>
        </is>
      </c>
      <c r="E116" s="91" t="n"/>
      <c r="F116" s="91" t="n"/>
      <c r="G116" s="91" t="n"/>
      <c r="H116" s="91" t="n"/>
      <c r="I116" s="91" t="n"/>
      <c r="J116" s="91" t="n"/>
      <c r="K116" s="91" t="n"/>
      <c r="L116" s="91" t="n"/>
    </row>
    <row r="117">
      <c r="A117" s="91" t="n"/>
      <c r="B117" s="125" t="inlineStr">
        <is>
          <t>kpi.com.total_sales</t>
        </is>
      </c>
      <c r="C117" s="103" t="inlineStr">
        <is>
          <t>CA total locataires</t>
        </is>
      </c>
      <c r="D117" s="103" t="inlineStr">
        <is>
          <t>Total turnover</t>
        </is>
      </c>
      <c r="E117" s="91" t="n"/>
      <c r="F117" s="91" t="n"/>
      <c r="G117" s="91" t="n"/>
      <c r="H117" s="91" t="n"/>
      <c r="I117" s="91" t="n"/>
      <c r="J117" s="91" t="n"/>
      <c r="K117" s="91" t="n"/>
      <c r="L117" s="91" t="n"/>
    </row>
    <row r="118">
      <c r="A118" s="91" t="n"/>
      <c r="B118" s="125" t="inlineStr">
        <is>
          <t>kpi.com.sales_sqm</t>
        </is>
      </c>
      <c r="C118" s="103" t="inlineStr">
        <is>
          <t>CA /m²</t>
        </is>
      </c>
      <c r="D118" s="103" t="inlineStr">
        <is>
          <t>Sales/sqm</t>
        </is>
      </c>
      <c r="E118" s="91" t="n"/>
      <c r="F118" s="91" t="n"/>
      <c r="G118" s="91" t="n"/>
      <c r="H118" s="91" t="n"/>
      <c r="I118" s="91" t="n"/>
      <c r="J118" s="91" t="n"/>
      <c r="K118" s="91" t="n"/>
      <c r="L118" s="91" t="n"/>
    </row>
    <row r="119">
      <c r="A119" s="91" t="n"/>
      <c r="B119" s="125" t="inlineStr">
        <is>
          <t>kpi.com.lfl</t>
        </is>
      </c>
      <c r="C119" s="103" t="inlineStr">
        <is>
          <t>Like-for-like</t>
        </is>
      </c>
      <c r="D119" s="103" t="inlineStr">
        <is>
          <t>Like-for-like</t>
        </is>
      </c>
      <c r="E119" s="91" t="n"/>
      <c r="F119" s="91" t="n"/>
      <c r="G119" s="91" t="n"/>
      <c r="H119" s="91" t="n"/>
      <c r="I119" s="91" t="n"/>
      <c r="J119" s="91" t="n"/>
      <c r="K119" s="91" t="n"/>
      <c r="L119" s="91" t="n"/>
    </row>
    <row r="120">
      <c r="A120" s="91" t="n"/>
      <c r="B120" s="125" t="inlineStr">
        <is>
          <t>kpi.com.new_leases</t>
        </is>
      </c>
      <c r="C120" s="103" t="inlineStr">
        <is>
          <t>Nouveaux baux</t>
        </is>
      </c>
      <c r="D120" s="103" t="inlineStr">
        <is>
          <t>New leases</t>
        </is>
      </c>
      <c r="E120" s="91" t="n"/>
      <c r="F120" s="91" t="n"/>
      <c r="G120" s="91" t="n"/>
      <c r="H120" s="91" t="n"/>
      <c r="I120" s="91" t="n"/>
      <c r="J120" s="91" t="n"/>
      <c r="K120" s="91" t="n"/>
      <c r="L120" s="91" t="n"/>
    </row>
    <row r="121">
      <c r="A121" s="91" t="n"/>
      <c r="B121" s="125" t="inlineStr">
        <is>
          <t>kpi.com.pipeline</t>
        </is>
      </c>
      <c r="C121" s="103" t="inlineStr">
        <is>
          <t>Pipeline pondéré</t>
        </is>
      </c>
      <c r="D121" s="103" t="inlineStr">
        <is>
          <t>Weighted pipeline</t>
        </is>
      </c>
      <c r="E121" s="91" t="n"/>
      <c r="F121" s="91" t="n"/>
      <c r="G121" s="91" t="n"/>
      <c r="H121" s="91" t="n"/>
      <c r="I121" s="91" t="n"/>
      <c r="J121" s="91" t="n"/>
      <c r="K121" s="91" t="n"/>
      <c r="L121" s="91" t="n"/>
    </row>
    <row r="122">
      <c r="A122" s="91" t="n"/>
      <c r="B122" s="125" t="inlineStr">
        <is>
          <t>kpi.com.leases_renewed</t>
        </is>
      </c>
      <c r="C122" s="103" t="inlineStr">
        <is>
          <t>Baux renouvelés</t>
        </is>
      </c>
      <c r="D122" s="103" t="inlineStr">
        <is>
          <t>Leases renewed</t>
        </is>
      </c>
      <c r="E122" s="91" t="n"/>
      <c r="F122" s="91" t="n"/>
      <c r="G122" s="91" t="n"/>
      <c r="H122" s="91" t="n"/>
      <c r="I122" s="91" t="n"/>
      <c r="J122" s="91" t="n"/>
      <c r="K122" s="91" t="n"/>
      <c r="L122" s="91" t="n"/>
    </row>
    <row r="123">
      <c r="A123" s="91" t="n"/>
      <c r="B123" s="125" t="inlineStr">
        <is>
          <t>kpi.com.pipeline_conv</t>
        </is>
      </c>
      <c r="C123" s="103" t="inlineStr">
        <is>
          <t>Conversion pipeline</t>
        </is>
      </c>
      <c r="D123" s="103" t="inlineStr">
        <is>
          <t>Pipeline conversion</t>
        </is>
      </c>
      <c r="E123" s="91" t="n"/>
      <c r="F123" s="91" t="n"/>
      <c r="G123" s="91" t="n"/>
      <c r="H123" s="91" t="n"/>
      <c r="I123" s="91" t="n"/>
      <c r="J123" s="91" t="n"/>
      <c r="K123" s="91" t="n"/>
      <c r="L123" s="91" t="n"/>
    </row>
    <row r="124">
      <c r="A124" s="91" t="n"/>
      <c r="B124" s="125" t="inlineStr">
        <is>
          <t>kpi.com.popup_count</t>
        </is>
      </c>
      <c r="C124" s="103" t="inlineStr">
        <is>
          <t>Locations pop-up (nb)</t>
        </is>
      </c>
      <c r="D124" s="103" t="inlineStr">
        <is>
          <t>Pop-up rentals (nb)</t>
        </is>
      </c>
      <c r="E124" s="91" t="n"/>
      <c r="F124" s="91" t="n"/>
      <c r="G124" s="91" t="n"/>
      <c r="H124" s="91" t="n"/>
      <c r="I124" s="91" t="n"/>
      <c r="J124" s="91" t="n"/>
      <c r="K124" s="91" t="n"/>
      <c r="L124" s="91" t="n"/>
    </row>
    <row r="125">
      <c r="A125" s="91" t="n"/>
      <c r="B125" s="125" t="inlineStr">
        <is>
          <t>kpi.com.popup_rev</t>
        </is>
      </c>
      <c r="C125" s="103" t="inlineStr">
        <is>
          <t>Revenus pop-up</t>
        </is>
      </c>
      <c r="D125" s="103" t="inlineStr">
        <is>
          <t>Pop-up revenue</t>
        </is>
      </c>
      <c r="E125" s="91" t="n"/>
      <c r="F125" s="91" t="n"/>
      <c r="G125" s="91" t="n"/>
      <c r="H125" s="91" t="n"/>
      <c r="I125" s="91" t="n"/>
      <c r="J125" s="91" t="n"/>
      <c r="K125" s="91" t="n"/>
      <c r="L125" s="91" t="n"/>
    </row>
    <row r="126">
      <c r="A126" s="91" t="n"/>
      <c r="B126" s="125" t="inlineStr">
        <is>
          <t>kpi.com.kiosk_occ</t>
        </is>
      </c>
      <c r="C126" s="103" t="inlineStr">
        <is>
          <t>Taux d'occupation pop-up</t>
        </is>
      </c>
      <c r="D126" s="103" t="inlineStr">
        <is>
          <t>Pop-up occupancy</t>
        </is>
      </c>
      <c r="E126" s="91" t="n"/>
      <c r="F126" s="91" t="n"/>
      <c r="G126" s="91" t="n"/>
      <c r="H126" s="91" t="n"/>
      <c r="I126" s="91" t="n"/>
      <c r="J126" s="91" t="n"/>
      <c r="K126" s="91" t="n"/>
      <c r="L126" s="91" t="n"/>
    </row>
    <row r="127">
      <c r="A127" s="91" t="n"/>
      <c r="B127" s="125" t="inlineStr">
        <is>
          <t>kpi.com.market_rev</t>
        </is>
      </c>
      <c r="C127" s="103" t="inlineStr">
        <is>
          <t>Revenus Le Market</t>
        </is>
      </c>
      <c r="D127" s="103" t="inlineStr">
        <is>
          <t>Le Market revenue</t>
        </is>
      </c>
      <c r="E127" s="91" t="n"/>
      <c r="F127" s="91" t="n"/>
      <c r="G127" s="91" t="n"/>
      <c r="H127" s="91" t="n"/>
      <c r="I127" s="91" t="n"/>
      <c r="J127" s="91" t="n"/>
      <c r="K127" s="91" t="n"/>
      <c r="L127" s="91" t="n"/>
    </row>
    <row r="128">
      <c r="A128" s="91" t="n"/>
      <c r="B128" s="125" t="inlineStr">
        <is>
          <t>kpi.com.market_occ</t>
        </is>
      </c>
      <c r="C128" s="103" t="inlineStr">
        <is>
          <t>Taux d'occupation Le Market</t>
        </is>
      </c>
      <c r="D128" s="103" t="inlineStr">
        <is>
          <t>Le Market occupancy</t>
        </is>
      </c>
      <c r="E128" s="91" t="n"/>
      <c r="F128" s="91" t="n"/>
      <c r="G128" s="91" t="n"/>
      <c r="H128" s="91" t="n"/>
      <c r="I128" s="91" t="n"/>
      <c r="J128" s="91" t="n"/>
      <c r="K128" s="91" t="n"/>
      <c r="L128" s="91" t="n"/>
    </row>
    <row r="129">
      <c r="A129" s="91" t="n"/>
      <c r="B129" s="125" t="inlineStr">
        <is>
          <t>kpi.com.market_stalls</t>
        </is>
      </c>
      <c r="C129" s="103" t="inlineStr">
        <is>
          <t>Kiosques loués (Le Market)</t>
        </is>
      </c>
      <c r="D129" s="103" t="inlineStr">
        <is>
          <t>Le Market kiosks let</t>
        </is>
      </c>
      <c r="E129" s="91" t="n"/>
      <c r="F129" s="91" t="n"/>
      <c r="G129" s="91" t="n"/>
      <c r="H129" s="91" t="n"/>
      <c r="I129" s="91" t="n"/>
      <c r="J129" s="91" t="n"/>
      <c r="K129" s="91" t="n"/>
      <c r="L129" s="91" t="n"/>
    </row>
    <row r="130">
      <c r="A130" s="91" t="n"/>
      <c r="B130" s="125" t="inlineStr">
        <is>
          <t>kpi.com.media_sales</t>
        </is>
      </c>
      <c r="C130" s="103" t="inlineStr">
        <is>
          <t>Régie publicitaire</t>
        </is>
      </c>
      <c r="D130" s="103" t="inlineStr">
        <is>
          <t>Media sales</t>
        </is>
      </c>
      <c r="E130" s="91" t="n"/>
      <c r="F130" s="91" t="n"/>
      <c r="G130" s="91" t="n"/>
      <c r="H130" s="91" t="n"/>
      <c r="I130" s="91" t="n"/>
      <c r="J130" s="91" t="n"/>
      <c r="K130" s="91" t="n"/>
      <c r="L130" s="91" t="n"/>
    </row>
    <row r="131">
      <c r="A131" s="91" t="n"/>
      <c r="B131" s="125" t="inlineStr">
        <is>
          <t>kpi.com.partnership_rev</t>
        </is>
      </c>
      <c r="C131" s="103" t="inlineStr">
        <is>
          <t>Revenus partenariats</t>
        </is>
      </c>
      <c r="D131" s="103" t="inlineStr">
        <is>
          <t>Partnership revenue</t>
        </is>
      </c>
      <c r="E131" s="91" t="n"/>
      <c r="F131" s="91" t="n"/>
      <c r="G131" s="91" t="n"/>
      <c r="H131" s="91" t="n"/>
      <c r="I131" s="91" t="n"/>
      <c r="J131" s="91" t="n"/>
      <c r="K131" s="91" t="n"/>
      <c r="L131" s="91" t="n"/>
    </row>
    <row r="132">
      <c r="A132" s="91" t="n"/>
      <c r="B132" s="125" t="inlineStr">
        <is>
          <t>kpi.com.activations</t>
        </is>
      </c>
      <c r="C132" s="103" t="inlineStr">
        <is>
          <t>Activations annonceurs</t>
        </is>
      </c>
      <c r="D132" s="103" t="inlineStr">
        <is>
          <t>Advertiser activations</t>
        </is>
      </c>
      <c r="E132" s="91" t="n"/>
      <c r="F132" s="91" t="n"/>
      <c r="G132" s="91" t="n"/>
      <c r="H132" s="91" t="n"/>
      <c r="I132" s="91" t="n"/>
      <c r="J132" s="91" t="n"/>
      <c r="K132" s="91" t="n"/>
      <c r="L132" s="91" t="n"/>
    </row>
    <row r="133">
      <c r="A133" s="91" t="n"/>
      <c r="B133" s="125" t="inlineStr">
        <is>
          <t>kpi.com.activation_rev</t>
        </is>
      </c>
      <c r="C133" s="103" t="inlineStr">
        <is>
          <t>Revenus activations</t>
        </is>
      </c>
      <c r="D133" s="103" t="inlineStr">
        <is>
          <t>Activation revenue</t>
        </is>
      </c>
      <c r="E133" s="91" t="n"/>
      <c r="F133" s="91" t="n"/>
      <c r="G133" s="91" t="n"/>
      <c r="H133" s="91" t="n"/>
      <c r="I133" s="91" t="n"/>
      <c r="J133" s="91" t="n"/>
      <c r="K133" s="91" t="n"/>
      <c r="L133" s="91" t="n"/>
    </row>
    <row r="134">
      <c r="A134" s="91" t="n"/>
      <c r="B134" s="125" t="inlineStr">
        <is>
          <t>kpi.com.discount</t>
        </is>
      </c>
      <c r="C134" s="103" t="inlineStr">
        <is>
          <t>Escompte % CA brut</t>
        </is>
      </c>
      <c r="D134" s="103" t="inlineStr">
        <is>
          <t>Discount % gross</t>
        </is>
      </c>
      <c r="E134" s="91" t="n"/>
      <c r="F134" s="91" t="n"/>
      <c r="G134" s="91" t="n"/>
      <c r="H134" s="91" t="n"/>
      <c r="I134" s="91" t="n"/>
      <c r="J134" s="91" t="n"/>
      <c r="K134" s="91" t="n"/>
      <c r="L134" s="91" t="n"/>
    </row>
    <row r="135">
      <c r="A135" s="91" t="n"/>
      <c r="B135" s="125" t="inlineStr">
        <is>
          <t>kpi.hsse.incidents</t>
        </is>
      </c>
      <c r="C135" s="103" t="inlineStr">
        <is>
          <t>Incidents</t>
        </is>
      </c>
      <c r="D135" s="103" t="inlineStr">
        <is>
          <t>Incidents</t>
        </is>
      </c>
      <c r="E135" s="91" t="n"/>
      <c r="F135" s="91" t="n"/>
      <c r="G135" s="91" t="n"/>
      <c r="H135" s="91" t="n"/>
      <c r="I135" s="91" t="n"/>
      <c r="J135" s="91" t="n"/>
      <c r="K135" s="91" t="n"/>
      <c r="L135" s="91" t="n"/>
    </row>
    <row r="136">
      <c r="A136" s="91" t="n"/>
      <c r="B136" s="125" t="inlineStr">
        <is>
          <t>kpi.hsse.incident_sev</t>
        </is>
      </c>
      <c r="C136" s="103" t="inlineStr">
        <is>
          <t>Gravité incidents</t>
        </is>
      </c>
      <c r="D136" s="103" t="inlineStr">
        <is>
          <t>Incident severity</t>
        </is>
      </c>
      <c r="E136" s="91" t="n"/>
      <c r="F136" s="91" t="n"/>
      <c r="G136" s="91" t="n"/>
      <c r="H136" s="91" t="n"/>
      <c r="I136" s="91" t="n"/>
      <c r="J136" s="91" t="n"/>
      <c r="K136" s="91" t="n"/>
      <c r="L136" s="91" t="n"/>
    </row>
    <row r="137">
      <c r="A137" s="91" t="n"/>
      <c r="B137" s="125" t="inlineStr">
        <is>
          <t>kpi.hsse.tf</t>
        </is>
      </c>
      <c r="C137" s="103" t="inlineStr">
        <is>
          <t>Taux de fréquence</t>
        </is>
      </c>
      <c r="D137" s="103" t="inlineStr">
        <is>
          <t>Frequency rate</t>
        </is>
      </c>
      <c r="E137" s="91" t="n"/>
      <c r="F137" s="91" t="n"/>
      <c r="G137" s="91" t="n"/>
      <c r="H137" s="91" t="n"/>
      <c r="I137" s="91" t="n"/>
      <c r="J137" s="91" t="n"/>
      <c r="K137" s="91" t="n"/>
      <c r="L137" s="91" t="n"/>
    </row>
    <row r="138">
      <c r="A138" s="91" t="n"/>
      <c r="B138" s="125" t="inlineStr">
        <is>
          <t>kpi.hsse.tg</t>
        </is>
      </c>
      <c r="C138" s="103" t="inlineStr">
        <is>
          <t>Taux de gravité</t>
        </is>
      </c>
      <c r="D138" s="103" t="inlineStr">
        <is>
          <t>Severity rate</t>
        </is>
      </c>
      <c r="E138" s="91" t="n"/>
      <c r="F138" s="91" t="n"/>
      <c r="G138" s="91" t="n"/>
      <c r="H138" s="91" t="n"/>
      <c r="I138" s="91" t="n"/>
      <c r="J138" s="91" t="n"/>
      <c r="K138" s="91" t="n"/>
      <c r="L138" s="91" t="n"/>
    </row>
    <row r="139">
      <c r="A139" s="91" t="n"/>
      <c r="B139" s="125" t="inlineStr">
        <is>
          <t>kpi.hsse.nearmiss</t>
        </is>
      </c>
      <c r="C139" s="103" t="inlineStr">
        <is>
          <t>Presqu'accidents</t>
        </is>
      </c>
      <c r="D139" s="103" t="inlineStr">
        <is>
          <t>Near-misses</t>
        </is>
      </c>
      <c r="E139" s="91" t="n"/>
      <c r="F139" s="91" t="n"/>
      <c r="G139" s="91" t="n"/>
      <c r="H139" s="91" t="n"/>
      <c r="I139" s="91" t="n"/>
      <c r="J139" s="91" t="n"/>
      <c r="K139" s="91" t="n"/>
      <c r="L139" s="91" t="n"/>
    </row>
    <row r="140">
      <c r="A140" s="91" t="n"/>
      <c r="B140" s="125" t="inlineStr">
        <is>
          <t>kpi.hsse.days_no_lti</t>
        </is>
      </c>
      <c r="C140" s="103" t="inlineStr">
        <is>
          <t>Jours sans accident</t>
        </is>
      </c>
      <c r="D140" s="103" t="inlineStr">
        <is>
          <t>Days w/o LTI</t>
        </is>
      </c>
      <c r="E140" s="91" t="n"/>
      <c r="F140" s="91" t="n"/>
      <c r="G140" s="91" t="n"/>
      <c r="H140" s="91" t="n"/>
      <c r="I140" s="91" t="n"/>
      <c r="J140" s="91" t="n"/>
      <c r="K140" s="91" t="n"/>
      <c r="L140" s="91" t="n"/>
    </row>
    <row r="141">
      <c r="A141" s="91" t="n"/>
      <c r="B141" s="125" t="inlineStr">
        <is>
          <t>kpi.hsse.evac_drills</t>
        </is>
      </c>
      <c r="C141" s="103" t="inlineStr">
        <is>
          <t>Exercices d'évacuation</t>
        </is>
      </c>
      <c r="D141" s="103" t="inlineStr">
        <is>
          <t>Evacuation drills</t>
        </is>
      </c>
      <c r="E141" s="91" t="n"/>
      <c r="F141" s="91" t="n"/>
      <c r="G141" s="91" t="n"/>
      <c r="H141" s="91" t="n"/>
      <c r="I141" s="91" t="n"/>
      <c r="J141" s="91" t="n"/>
      <c r="K141" s="91" t="n"/>
      <c r="L141" s="91" t="n"/>
    </row>
    <row r="142">
      <c r="A142" s="91" t="n"/>
      <c r="B142" s="125" t="inlineStr">
        <is>
          <t>kpi.hsse.fire_conform</t>
        </is>
      </c>
      <c r="C142" s="103" t="inlineStr">
        <is>
          <t>Conformité incendie</t>
        </is>
      </c>
      <c r="D142" s="103" t="inlineStr">
        <is>
          <t>Fire safety conformity</t>
        </is>
      </c>
      <c r="E142" s="91" t="n"/>
      <c r="F142" s="91" t="n"/>
      <c r="G142" s="91" t="n"/>
      <c r="H142" s="91" t="n"/>
      <c r="I142" s="91" t="n"/>
      <c r="J142" s="91" t="n"/>
      <c r="K142" s="91" t="n"/>
      <c r="L142" s="91" t="n"/>
    </row>
    <row r="143">
      <c r="A143" s="91" t="n"/>
      <c r="B143" s="125" t="inlineStr">
        <is>
          <t>kpi.hsse.fire_alarms</t>
        </is>
      </c>
      <c r="C143" s="103" t="inlineStr">
        <is>
          <t>Déclenchements alarme</t>
        </is>
      </c>
      <c r="D143" s="103" t="inlineStr">
        <is>
          <t>Fire alarm triggers</t>
        </is>
      </c>
      <c r="E143" s="91" t="n"/>
      <c r="F143" s="91" t="n"/>
      <c r="G143" s="91" t="n"/>
      <c r="H143" s="91" t="n"/>
      <c r="I143" s="91" t="n"/>
      <c r="J143" s="91" t="n"/>
      <c r="K143" s="91" t="n"/>
      <c r="L143" s="91" t="n"/>
    </row>
    <row r="144">
      <c r="A144" s="91" t="n"/>
      <c r="B144" s="125" t="inlineStr">
        <is>
          <t>kpi.hsse.evac_time</t>
        </is>
      </c>
      <c r="C144" s="103" t="inlineStr">
        <is>
          <t>Temps d'évacuation</t>
        </is>
      </c>
      <c r="D144" s="103" t="inlineStr">
        <is>
          <t>Evacuation time</t>
        </is>
      </c>
      <c r="E144" s="91" t="n"/>
      <c r="F144" s="91" t="n"/>
      <c r="G144" s="91" t="n"/>
      <c r="H144" s="91" t="n"/>
      <c r="I144" s="91" t="n"/>
      <c r="J144" s="91" t="n"/>
      <c r="K144" s="91" t="n"/>
      <c r="L144" s="91" t="n"/>
    </row>
    <row r="145">
      <c r="A145" s="91" t="n"/>
      <c r="B145" s="125" t="inlineStr">
        <is>
          <t>kpi.hsse.sec_interv</t>
        </is>
      </c>
      <c r="C145" s="103" t="inlineStr">
        <is>
          <t>Interventions sûreté</t>
        </is>
      </c>
      <c r="D145" s="103" t="inlineStr">
        <is>
          <t>Security interventions</t>
        </is>
      </c>
      <c r="E145" s="91" t="n"/>
      <c r="F145" s="91" t="n"/>
      <c r="G145" s="91" t="n"/>
      <c r="H145" s="91" t="n"/>
      <c r="I145" s="91" t="n"/>
      <c r="J145" s="91" t="n"/>
      <c r="K145" s="91" t="n"/>
      <c r="L145" s="91" t="n"/>
    </row>
    <row r="146">
      <c r="A146" s="91" t="n"/>
      <c r="B146" s="125" t="inlineStr">
        <is>
          <t>kpi.hsse.theft</t>
        </is>
      </c>
      <c r="C146" s="103" t="inlineStr">
        <is>
          <t>Vols / malveillance</t>
        </is>
      </c>
      <c r="D146" s="103" t="inlineStr">
        <is>
          <t>Theft / malice events</t>
        </is>
      </c>
      <c r="E146" s="91" t="n"/>
      <c r="F146" s="91" t="n"/>
      <c r="G146" s="91" t="n"/>
      <c r="H146" s="91" t="n"/>
      <c r="I146" s="91" t="n"/>
      <c r="J146" s="91" t="n"/>
      <c r="K146" s="91" t="n"/>
      <c r="L146" s="91" t="n"/>
    </row>
    <row r="147">
      <c r="A147" s="91" t="n"/>
      <c r="B147" s="125" t="inlineStr">
        <is>
          <t>kpi.hsse.cctv</t>
        </is>
      </c>
      <c r="C147" s="103" t="inlineStr">
        <is>
          <t>Couverture CCTV</t>
        </is>
      </c>
      <c r="D147" s="103" t="inlineStr">
        <is>
          <t>CCTV coverage</t>
        </is>
      </c>
      <c r="E147" s="91" t="n"/>
      <c r="F147" s="91" t="n"/>
      <c r="G147" s="91" t="n"/>
      <c r="H147" s="91" t="n"/>
      <c r="I147" s="91" t="n"/>
      <c r="J147" s="91" t="n"/>
      <c r="K147" s="91" t="n"/>
      <c r="L147" s="91" t="n"/>
    </row>
    <row r="148">
      <c r="A148" s="91" t="n"/>
      <c r="B148" s="125" t="inlineStr">
        <is>
          <t>kpi.hsse.guards</t>
        </is>
      </c>
      <c r="C148" s="103" t="inlineStr">
        <is>
          <t>Agents déployés</t>
        </is>
      </c>
      <c r="D148" s="103" t="inlineStr">
        <is>
          <t>Guards deployed</t>
        </is>
      </c>
      <c r="E148" s="91" t="n"/>
      <c r="F148" s="91" t="n"/>
      <c r="G148" s="91" t="n"/>
      <c r="H148" s="91" t="n"/>
      <c r="I148" s="91" t="n"/>
      <c r="J148" s="91" t="n"/>
      <c r="K148" s="91" t="n"/>
      <c r="L148" s="91" t="n"/>
    </row>
    <row r="149">
      <c r="A149" s="91" t="n"/>
      <c r="B149" s="125" t="inlineStr">
        <is>
          <t>kpi.hsse.risks_id</t>
        </is>
      </c>
      <c r="C149" s="103" t="inlineStr">
        <is>
          <t>Risques identifiés</t>
        </is>
      </c>
      <c r="D149" s="103" t="inlineStr">
        <is>
          <t>Risks identified</t>
        </is>
      </c>
      <c r="E149" s="91" t="n"/>
      <c r="F149" s="91" t="n"/>
      <c r="G149" s="91" t="n"/>
      <c r="H149" s="91" t="n"/>
      <c r="I149" s="91" t="n"/>
      <c r="J149" s="91" t="n"/>
      <c r="K149" s="91" t="n"/>
      <c r="L149" s="91" t="n"/>
    </row>
    <row r="150">
      <c r="A150" s="91" t="n"/>
      <c r="B150" s="125" t="inlineStr">
        <is>
          <t>kpi.hsse.risks_treated</t>
        </is>
      </c>
      <c r="C150" s="103" t="inlineStr">
        <is>
          <t>Risques traités</t>
        </is>
      </c>
      <c r="D150" s="103" t="inlineStr">
        <is>
          <t>Risks treated</t>
        </is>
      </c>
      <c r="E150" s="91" t="n"/>
      <c r="F150" s="91" t="n"/>
      <c r="G150" s="91" t="n"/>
      <c r="H150" s="91" t="n"/>
      <c r="I150" s="91" t="n"/>
      <c r="J150" s="91" t="n"/>
      <c r="K150" s="91" t="n"/>
      <c r="L150" s="91" t="n"/>
    </row>
    <row r="151">
      <c r="A151" s="91" t="n"/>
      <c r="B151" s="125" t="inlineStr">
        <is>
          <t>kpi.hsse.action_close</t>
        </is>
      </c>
      <c r="C151" s="103" t="inlineStr">
        <is>
          <t>Clôture plan d'actions</t>
        </is>
      </c>
      <c r="D151" s="103" t="inlineStr">
        <is>
          <t>Action closure</t>
        </is>
      </c>
      <c r="E151" s="91" t="n"/>
      <c r="F151" s="91" t="n"/>
      <c r="G151" s="91" t="n"/>
      <c r="H151" s="91" t="n"/>
      <c r="I151" s="91" t="n"/>
      <c r="J151" s="91" t="n"/>
      <c r="K151" s="91" t="n"/>
      <c r="L151" s="91" t="n"/>
    </row>
    <row r="152">
      <c r="A152" s="91" t="n"/>
      <c r="B152" s="125" t="inlineStr">
        <is>
          <t>kpi.hsse.audits</t>
        </is>
      </c>
      <c r="C152" s="103" t="inlineStr">
        <is>
          <t>Audits réalisés</t>
        </is>
      </c>
      <c r="D152" s="103" t="inlineStr">
        <is>
          <t>Audits done</t>
        </is>
      </c>
      <c r="E152" s="91" t="n"/>
      <c r="F152" s="91" t="n"/>
      <c r="G152" s="91" t="n"/>
      <c r="H152" s="91" t="n"/>
      <c r="I152" s="91" t="n"/>
      <c r="J152" s="91" t="n"/>
      <c r="K152" s="91" t="n"/>
      <c r="L152" s="91" t="n"/>
    </row>
    <row r="153">
      <c r="A153" s="91" t="n"/>
      <c r="B153" s="125" t="inlineStr">
        <is>
          <t>kpi.hsse.train_cover</t>
        </is>
      </c>
      <c r="C153" s="103" t="inlineStr">
        <is>
          <t>Couverture form. HSSE</t>
        </is>
      </c>
      <c r="D153" s="103" t="inlineStr">
        <is>
          <t>HSSE training cov.</t>
        </is>
      </c>
      <c r="E153" s="91" t="n"/>
      <c r="F153" s="91" t="n"/>
      <c r="G153" s="91" t="n"/>
      <c r="H153" s="91" t="n"/>
      <c r="I153" s="91" t="n"/>
      <c r="J153" s="91" t="n"/>
      <c r="K153" s="91" t="n"/>
      <c r="L153" s="91" t="n"/>
    </row>
    <row r="154">
      <c r="A154" s="91" t="n"/>
      <c r="B154" s="125" t="inlineStr">
        <is>
          <t>kpi.fac.prev_corr</t>
        </is>
      </c>
      <c r="C154" s="103" t="inlineStr">
        <is>
          <t>Préventif/correctif</t>
        </is>
      </c>
      <c r="D154" s="103" t="inlineStr">
        <is>
          <t>Preventive/corrective</t>
        </is>
      </c>
      <c r="E154" s="91" t="n"/>
      <c r="F154" s="91" t="n"/>
      <c r="G154" s="91" t="n"/>
      <c r="H154" s="91" t="n"/>
      <c r="I154" s="91" t="n"/>
      <c r="J154" s="91" t="n"/>
      <c r="K154" s="91" t="n"/>
      <c r="L154" s="91" t="n"/>
    </row>
    <row r="155">
      <c r="A155" s="91" t="n"/>
      <c r="B155" s="125" t="inlineStr">
        <is>
          <t>kpi.fac.wo_prev</t>
        </is>
      </c>
      <c r="C155" s="103" t="inlineStr">
        <is>
          <t>OT préventifs</t>
        </is>
      </c>
      <c r="D155" s="103" t="inlineStr">
        <is>
          <t>Preventive WOs</t>
        </is>
      </c>
      <c r="E155" s="91" t="n"/>
      <c r="F155" s="91" t="n"/>
      <c r="G155" s="91" t="n"/>
      <c r="H155" s="91" t="n"/>
      <c r="I155" s="91" t="n"/>
      <c r="J155" s="91" t="n"/>
      <c r="K155" s="91" t="n"/>
      <c r="L155" s="91" t="n"/>
    </row>
    <row r="156">
      <c r="A156" s="91" t="n"/>
      <c r="B156" s="125" t="inlineStr">
        <is>
          <t>kpi.fac.wo_corr</t>
        </is>
      </c>
      <c r="C156" s="103" t="inlineStr">
        <is>
          <t>OT correctifs</t>
        </is>
      </c>
      <c r="D156" s="103" t="inlineStr">
        <is>
          <t>Corrective WOs</t>
        </is>
      </c>
      <c r="E156" s="91" t="n"/>
      <c r="F156" s="91" t="n"/>
      <c r="G156" s="91" t="n"/>
      <c r="H156" s="91" t="n"/>
      <c r="I156" s="91" t="n"/>
      <c r="J156" s="91" t="n"/>
      <c r="K156" s="91" t="n"/>
      <c r="L156" s="91" t="n"/>
    </row>
    <row r="157">
      <c r="A157" s="91" t="n"/>
      <c r="B157" s="125" t="inlineStr">
        <is>
          <t>kpi.fac.ot_backlog</t>
        </is>
      </c>
      <c r="C157" s="103" t="inlineStr">
        <is>
          <t>Backlog d'OT</t>
        </is>
      </c>
      <c r="D157" s="103" t="inlineStr">
        <is>
          <t>WO backlog</t>
        </is>
      </c>
      <c r="E157" s="91" t="n"/>
      <c r="F157" s="91" t="n"/>
      <c r="G157" s="91" t="n"/>
      <c r="H157" s="91" t="n"/>
      <c r="I157" s="91" t="n"/>
      <c r="J157" s="91" t="n"/>
      <c r="K157" s="91" t="n"/>
      <c r="L157" s="91" t="n"/>
    </row>
    <row r="158">
      <c r="A158" s="91" t="n"/>
      <c r="B158" s="125" t="inlineStr">
        <is>
          <t>kpi.fac.mttr</t>
        </is>
      </c>
      <c r="C158" s="103" t="inlineStr">
        <is>
          <t>MTTR</t>
        </is>
      </c>
      <c r="D158" s="103" t="inlineStr">
        <is>
          <t>Mean Time To Repair</t>
        </is>
      </c>
      <c r="E158" s="91" t="n"/>
      <c r="F158" s="91" t="n"/>
      <c r="G158" s="91" t="n"/>
      <c r="H158" s="91" t="n"/>
      <c r="I158" s="91" t="n"/>
      <c r="J158" s="91" t="n"/>
      <c r="K158" s="91" t="n"/>
      <c r="L158" s="91" t="n"/>
    </row>
    <row r="159">
      <c r="A159" s="91" t="n"/>
      <c r="B159" s="125" t="inlineStr">
        <is>
          <t>kpi.fac.ot_opened</t>
        </is>
      </c>
      <c r="C159" s="103" t="inlineStr">
        <is>
          <t>OT ouverts</t>
        </is>
      </c>
      <c r="D159" s="103" t="inlineStr">
        <is>
          <t>WOs opened</t>
        </is>
      </c>
      <c r="E159" s="91" t="n"/>
      <c r="F159" s="91" t="n"/>
      <c r="G159" s="91" t="n"/>
      <c r="H159" s="91" t="n"/>
      <c r="I159" s="91" t="n"/>
      <c r="J159" s="91" t="n"/>
      <c r="K159" s="91" t="n"/>
      <c r="L159" s="91" t="n"/>
    </row>
    <row r="160">
      <c r="A160" s="91" t="n"/>
      <c r="B160" s="125" t="inlineStr">
        <is>
          <t>kpi.fac.ot_closed</t>
        </is>
      </c>
      <c r="C160" s="103" t="inlineStr">
        <is>
          <t>OT clôturés</t>
        </is>
      </c>
      <c r="D160" s="103" t="inlineStr">
        <is>
          <t>WOs closed</t>
        </is>
      </c>
      <c r="E160" s="91" t="n"/>
      <c r="F160" s="91" t="n"/>
      <c r="G160" s="91" t="n"/>
      <c r="H160" s="91" t="n"/>
      <c r="I160" s="91" t="n"/>
      <c r="J160" s="91" t="n"/>
      <c r="K160" s="91" t="n"/>
      <c r="L160" s="91" t="n"/>
    </row>
    <row r="161">
      <c r="A161" s="91" t="n"/>
      <c r="B161" s="125" t="inlineStr">
        <is>
          <t>kpi.fac.energy_int</t>
        </is>
      </c>
      <c r="C161" s="103" t="inlineStr">
        <is>
          <t>Intensité énergétique</t>
        </is>
      </c>
      <c r="D161" s="103" t="inlineStr">
        <is>
          <t>Energy intensity</t>
        </is>
      </c>
      <c r="E161" s="91" t="n"/>
      <c r="F161" s="91" t="n"/>
      <c r="G161" s="91" t="n"/>
      <c r="H161" s="91" t="n"/>
      <c r="I161" s="91" t="n"/>
      <c r="J161" s="91" t="n"/>
      <c r="K161" s="91" t="n"/>
      <c r="L161" s="91" t="n"/>
    </row>
    <row r="162">
      <c r="A162" s="91" t="n"/>
      <c r="B162" s="125" t="inlineStr">
        <is>
          <t>kpi.fac.util_cost</t>
        </is>
      </c>
      <c r="C162" s="103" t="inlineStr">
        <is>
          <t>Coût utilities vs budget</t>
        </is>
      </c>
      <c r="D162" s="103" t="inlineStr">
        <is>
          <t>Utilities vs budget</t>
        </is>
      </c>
      <c r="E162" s="91" t="n"/>
      <c r="F162" s="91" t="n"/>
      <c r="G162" s="91" t="n"/>
      <c r="H162" s="91" t="n"/>
      <c r="I162" s="91" t="n"/>
      <c r="J162" s="91" t="n"/>
      <c r="K162" s="91" t="n"/>
      <c r="L162" s="91" t="n"/>
    </row>
    <row r="163">
      <c r="A163" s="91" t="n"/>
      <c r="B163" s="125" t="inlineStr">
        <is>
          <t>kpi.fac.consumption</t>
        </is>
      </c>
      <c r="C163" s="103" t="inlineStr">
        <is>
          <t>Conso eau/élec</t>
        </is>
      </c>
      <c r="D163" s="103" t="inlineStr">
        <is>
          <t>Water/power use</t>
        </is>
      </c>
      <c r="E163" s="91" t="n"/>
      <c r="F163" s="91" t="n"/>
      <c r="G163" s="91" t="n"/>
      <c r="H163" s="91" t="n"/>
      <c r="I163" s="91" t="n"/>
      <c r="J163" s="91" t="n"/>
      <c r="K163" s="91" t="n"/>
      <c r="L163" s="91" t="n"/>
    </row>
    <row r="164">
      <c r="A164" s="91" t="n"/>
      <c r="B164" s="125" t="inlineStr">
        <is>
          <t>kpi.fac.capex</t>
        </is>
      </c>
      <c r="C164" s="103" t="inlineStr">
        <is>
          <t>Suivi CAPEX</t>
        </is>
      </c>
      <c r="D164" s="103" t="inlineStr">
        <is>
          <t>CAPEX tracking</t>
        </is>
      </c>
      <c r="E164" s="91" t="n"/>
      <c r="F164" s="91" t="n"/>
      <c r="G164" s="91" t="n"/>
      <c r="H164" s="91" t="n"/>
      <c r="I164" s="91" t="n"/>
      <c r="J164" s="91" t="n"/>
      <c r="K164" s="91" t="n"/>
      <c r="L164" s="91" t="n"/>
    </row>
    <row r="165">
      <c r="A165" s="91" t="n"/>
      <c r="B165" s="125" t="inlineStr">
        <is>
          <t>kpi.fac.capex_var</t>
        </is>
      </c>
      <c r="C165" s="103" t="inlineStr">
        <is>
          <t>CAPEX vs budget</t>
        </is>
      </c>
      <c r="D165" s="103" t="inlineStr">
        <is>
          <t>CAPEX vs budget</t>
        </is>
      </c>
      <c r="E165" s="91" t="n"/>
      <c r="F165" s="91" t="n"/>
      <c r="G165" s="91" t="n"/>
      <c r="H165" s="91" t="n"/>
      <c r="I165" s="91" t="n"/>
      <c r="J165" s="91" t="n"/>
      <c r="K165" s="91" t="n"/>
      <c r="L165" s="91" t="n"/>
    </row>
    <row r="166">
      <c r="A166" s="91" t="n"/>
      <c r="B166" s="125" t="inlineStr">
        <is>
          <t>kpi.fac.capex_proj</t>
        </is>
      </c>
      <c r="C166" s="103" t="inlineStr">
        <is>
          <t>Projets CAPEX en cours</t>
        </is>
      </c>
      <c r="D166" s="103" t="inlineStr">
        <is>
          <t>CAPEX projects</t>
        </is>
      </c>
      <c r="E166" s="91" t="n"/>
      <c r="F166" s="91" t="n"/>
      <c r="G166" s="91" t="n"/>
      <c r="H166" s="91" t="n"/>
      <c r="I166" s="91" t="n"/>
      <c r="J166" s="91" t="n"/>
      <c r="K166" s="91" t="n"/>
      <c r="L166" s="91" t="n"/>
    </row>
    <row r="167">
      <c r="A167" s="91" t="n"/>
      <c r="B167" s="125" t="inlineStr">
        <is>
          <t>kpi.fac.inspections</t>
        </is>
      </c>
      <c r="C167" s="103" t="inlineStr">
        <is>
          <t>Inspections réalisées</t>
        </is>
      </c>
      <c r="D167" s="103" t="inlineStr">
        <is>
          <t>Inspections done</t>
        </is>
      </c>
      <c r="E167" s="91" t="n"/>
      <c r="F167" s="91" t="n"/>
      <c r="G167" s="91" t="n"/>
      <c r="H167" s="91" t="n"/>
      <c r="I167" s="91" t="n"/>
      <c r="J167" s="91" t="n"/>
      <c r="K167" s="91" t="n"/>
      <c r="L167" s="91" t="n"/>
    </row>
    <row r="168">
      <c r="A168" s="91" t="n"/>
      <c r="B168" s="125" t="inlineStr">
        <is>
          <t>kpi.fac.insp_conform</t>
        </is>
      </c>
      <c r="C168" s="103" t="inlineStr">
        <is>
          <t>Conformité inspections</t>
        </is>
      </c>
      <c r="D168" s="103" t="inlineStr">
        <is>
          <t>Inspection conformity</t>
        </is>
      </c>
      <c r="E168" s="91" t="n"/>
      <c r="F168" s="91" t="n"/>
      <c r="G168" s="91" t="n"/>
      <c r="H168" s="91" t="n"/>
      <c r="I168" s="91" t="n"/>
      <c r="J168" s="91" t="n"/>
      <c r="K168" s="91" t="n"/>
      <c r="L168" s="91" t="n"/>
    </row>
    <row r="169">
      <c r="A169" s="91" t="n"/>
      <c r="B169" s="125" t="inlineStr">
        <is>
          <t>kpi.fac.nonconform</t>
        </is>
      </c>
      <c r="C169" s="103" t="inlineStr">
        <is>
          <t>Non-conformités</t>
        </is>
      </c>
      <c r="D169" s="103" t="inlineStr">
        <is>
          <t>Non-conformities</t>
        </is>
      </c>
      <c r="E169" s="91" t="n"/>
      <c r="F169" s="91" t="n"/>
      <c r="G169" s="91" t="n"/>
      <c r="H169" s="91" t="n"/>
      <c r="I169" s="91" t="n"/>
      <c r="J169" s="91" t="n"/>
      <c r="K169" s="91" t="n"/>
      <c r="L169" s="91" t="n"/>
    </row>
    <row r="170">
      <c r="A170" s="91" t="n"/>
      <c r="B170" s="125" t="inlineStr">
        <is>
          <t>kpi.fac.cleanliness</t>
        </is>
      </c>
      <c r="C170" s="103" t="inlineStr">
        <is>
          <t>Score propreté</t>
        </is>
      </c>
      <c r="D170" s="103" t="inlineStr">
        <is>
          <t>Cleanliness score</t>
        </is>
      </c>
      <c r="E170" s="91" t="n"/>
      <c r="F170" s="91" t="n"/>
      <c r="G170" s="91" t="n"/>
      <c r="H170" s="91" t="n"/>
      <c r="I170" s="91" t="n"/>
      <c r="J170" s="91" t="n"/>
      <c r="K170" s="91" t="n"/>
      <c r="L170" s="91" t="n"/>
    </row>
    <row r="171">
      <c r="A171" s="91" t="n"/>
      <c r="B171" s="125" t="inlineStr">
        <is>
          <t>kpi.fac.hygiene_audits</t>
        </is>
      </c>
      <c r="C171" s="103" t="inlineStr">
        <is>
          <t>Audits hygiène</t>
        </is>
      </c>
      <c r="D171" s="103" t="inlineStr">
        <is>
          <t>Hygiene audits</t>
        </is>
      </c>
      <c r="E171" s="91" t="n"/>
      <c r="F171" s="91" t="n"/>
      <c r="G171" s="91" t="n"/>
      <c r="H171" s="91" t="n"/>
      <c r="I171" s="91" t="n"/>
      <c r="J171" s="91" t="n"/>
      <c r="K171" s="91" t="n"/>
      <c r="L171" s="91" t="n"/>
    </row>
    <row r="172">
      <c r="A172" s="91" t="n"/>
      <c r="B172" s="125" t="inlineStr">
        <is>
          <t>kpi.fac.clean_complaints</t>
        </is>
      </c>
      <c r="C172" s="103" t="inlineStr">
        <is>
          <t>Réclamations propreté</t>
        </is>
      </c>
      <c r="D172" s="103" t="inlineStr">
        <is>
          <t>Cleaning complaints</t>
        </is>
      </c>
      <c r="E172" s="91" t="n"/>
      <c r="F172" s="91" t="n"/>
      <c r="G172" s="91" t="n"/>
      <c r="H172" s="91" t="n"/>
      <c r="I172" s="91" t="n"/>
      <c r="J172" s="91" t="n"/>
      <c r="K172" s="91" t="n"/>
      <c r="L172" s="91" t="n"/>
    </row>
    <row r="173">
      <c r="A173" s="91" t="n"/>
      <c r="B173" s="125" t="inlineStr">
        <is>
          <t>kpi.fac.sla</t>
        </is>
      </c>
      <c r="C173" s="103" t="inlineStr">
        <is>
          <t>Conformité SLA</t>
        </is>
      </c>
      <c r="D173" s="103" t="inlineStr">
        <is>
          <t>Vendor SLA</t>
        </is>
      </c>
      <c r="E173" s="91" t="n"/>
      <c r="F173" s="91" t="n"/>
      <c r="G173" s="91" t="n"/>
      <c r="H173" s="91" t="n"/>
      <c r="I173" s="91" t="n"/>
      <c r="J173" s="91" t="n"/>
      <c r="K173" s="91" t="n"/>
      <c r="L173" s="91" t="n"/>
    </row>
    <row r="174">
      <c r="A174" s="91" t="n"/>
      <c r="B174" s="125" t="inlineStr">
        <is>
          <t>h2.rh.1</t>
        </is>
      </c>
      <c r="C174" s="103" t="inlineStr">
        <is>
          <t>Effectifs</t>
        </is>
      </c>
      <c r="D174" s="103" t="inlineStr">
        <is>
          <t>Effectifs</t>
        </is>
      </c>
      <c r="E174" s="91" t="n"/>
      <c r="F174" s="91" t="n"/>
      <c r="G174" s="91" t="n"/>
      <c r="H174" s="91" t="n"/>
      <c r="I174" s="91" t="n"/>
      <c r="J174" s="91" t="n"/>
      <c r="K174" s="91" t="n"/>
      <c r="L174" s="91" t="n"/>
    </row>
    <row r="175">
      <c r="A175" s="91" t="n"/>
      <c r="B175" s="125" t="inlineStr">
        <is>
          <t>h2.rh.2</t>
        </is>
      </c>
      <c r="C175" s="103" t="inlineStr">
        <is>
          <t>Recrutement</t>
        </is>
      </c>
      <c r="D175" s="103" t="inlineStr">
        <is>
          <t>Recrutement</t>
        </is>
      </c>
      <c r="E175" s="91" t="n"/>
      <c r="F175" s="91" t="n"/>
      <c r="G175" s="91" t="n"/>
      <c r="H175" s="91" t="n"/>
      <c r="I175" s="91" t="n"/>
      <c r="J175" s="91" t="n"/>
      <c r="K175" s="91" t="n"/>
      <c r="L175" s="91" t="n"/>
    </row>
    <row r="176">
      <c r="A176" s="91" t="n"/>
      <c r="B176" s="125" t="inlineStr">
        <is>
          <t>h2.rh.3</t>
        </is>
      </c>
      <c r="C176" s="103" t="inlineStr">
        <is>
          <t>Masse salariale</t>
        </is>
      </c>
      <c r="D176" s="103" t="inlineStr">
        <is>
          <t>Masse salariale</t>
        </is>
      </c>
      <c r="E176" s="91" t="n"/>
      <c r="F176" s="91" t="n"/>
      <c r="G176" s="91" t="n"/>
      <c r="H176" s="91" t="n"/>
      <c r="I176" s="91" t="n"/>
      <c r="J176" s="91" t="n"/>
      <c r="K176" s="91" t="n"/>
      <c r="L176" s="91" t="n"/>
    </row>
    <row r="177">
      <c r="A177" s="91" t="n"/>
      <c r="B177" s="125" t="inlineStr">
        <is>
          <t>h2.rh.4</t>
        </is>
      </c>
      <c r="C177" s="103" t="inlineStr">
        <is>
          <t>Climat social</t>
        </is>
      </c>
      <c r="D177" s="103" t="inlineStr">
        <is>
          <t>Climat social</t>
        </is>
      </c>
      <c r="E177" s="91" t="n"/>
      <c r="F177" s="91" t="n"/>
      <c r="G177" s="91" t="n"/>
      <c r="H177" s="91" t="n"/>
      <c r="I177" s="91" t="n"/>
      <c r="J177" s="91" t="n"/>
      <c r="K177" s="91" t="n"/>
      <c r="L177" s="91" t="n"/>
    </row>
    <row r="178">
      <c r="A178" s="91" t="n"/>
      <c r="B178" s="125" t="inlineStr">
        <is>
          <t>h2.rh.5</t>
        </is>
      </c>
      <c r="C178" s="103" t="inlineStr">
        <is>
          <t>Formation</t>
        </is>
      </c>
      <c r="D178" s="103" t="inlineStr">
        <is>
          <t>Formation</t>
        </is>
      </c>
      <c r="E178" s="91" t="n"/>
      <c r="F178" s="91" t="n"/>
      <c r="G178" s="91" t="n"/>
      <c r="H178" s="91" t="n"/>
      <c r="I178" s="91" t="n"/>
      <c r="J178" s="91" t="n"/>
      <c r="K178" s="91" t="n"/>
      <c r="L178" s="91" t="n"/>
    </row>
    <row r="179">
      <c r="A179" s="91" t="n"/>
      <c r="B179" s="125" t="inlineStr">
        <is>
          <t>h2.lease.1</t>
        </is>
      </c>
      <c r="C179" s="103" t="inlineStr">
        <is>
          <t>Occupation</t>
        </is>
      </c>
      <c r="D179" s="103" t="inlineStr">
        <is>
          <t>Occupation</t>
        </is>
      </c>
      <c r="E179" s="91" t="n"/>
      <c r="F179" s="91" t="n"/>
      <c r="G179" s="91" t="n"/>
      <c r="H179" s="91" t="n"/>
      <c r="I179" s="91" t="n"/>
      <c r="J179" s="91" t="n"/>
      <c r="K179" s="91" t="n"/>
      <c r="L179" s="91" t="n"/>
    </row>
    <row r="180">
      <c r="A180" s="91" t="n"/>
      <c r="B180" s="125" t="inlineStr">
        <is>
          <t>h2.lease.2</t>
        </is>
      </c>
      <c r="C180" s="103" t="inlineStr">
        <is>
          <t>Effort locataire</t>
        </is>
      </c>
      <c r="D180" s="103" t="inlineStr">
        <is>
          <t>Effort locataire</t>
        </is>
      </c>
      <c r="E180" s="91" t="n"/>
      <c r="F180" s="91" t="n"/>
      <c r="G180" s="91" t="n"/>
      <c r="H180" s="91" t="n"/>
      <c r="I180" s="91" t="n"/>
      <c r="J180" s="91" t="n"/>
      <c r="K180" s="91" t="n"/>
      <c r="L180" s="91" t="n"/>
    </row>
    <row r="181">
      <c r="A181" s="91" t="n"/>
      <c r="B181" s="125" t="inlineStr">
        <is>
          <t>h2.lease.3</t>
        </is>
      </c>
      <c r="C181" s="103" t="inlineStr">
        <is>
          <t>Loyers &amp; réversion</t>
        </is>
      </c>
      <c r="D181" s="103" t="inlineStr">
        <is>
          <t>Loyers &amp; réversion</t>
        </is>
      </c>
      <c r="E181" s="91" t="n"/>
      <c r="F181" s="91" t="n"/>
      <c r="G181" s="91" t="n"/>
      <c r="H181" s="91" t="n"/>
      <c r="I181" s="91" t="n"/>
      <c r="J181" s="91" t="n"/>
      <c r="K181" s="91" t="n"/>
      <c r="L181" s="91" t="n"/>
    </row>
    <row r="182">
      <c r="A182" s="91" t="n"/>
      <c r="B182" s="125" t="inlineStr">
        <is>
          <t>h2.lease.4</t>
        </is>
      </c>
      <c r="C182" s="103" t="inlineStr">
        <is>
          <t>Vacance &amp; rétention</t>
        </is>
      </c>
      <c r="D182" s="103" t="inlineStr">
        <is>
          <t>Vacance &amp; rétention</t>
        </is>
      </c>
      <c r="E182" s="91" t="n"/>
      <c r="F182" s="91" t="n"/>
      <c r="G182" s="91" t="n"/>
      <c r="H182" s="91" t="n"/>
      <c r="I182" s="91" t="n"/>
      <c r="J182" s="91" t="n"/>
      <c r="K182" s="91" t="n"/>
      <c r="L182" s="91" t="n"/>
    </row>
    <row r="183">
      <c r="A183" s="91" t="n"/>
      <c r="B183" s="125" t="inlineStr">
        <is>
          <t>h2.lease.5</t>
        </is>
      </c>
      <c r="C183" s="103" t="inlineStr">
        <is>
          <t>Incentives &amp; WALT</t>
        </is>
      </c>
      <c r="D183" s="103" t="inlineStr">
        <is>
          <t>Incentives &amp; WALT</t>
        </is>
      </c>
      <c r="E183" s="91" t="n"/>
      <c r="F183" s="91" t="n"/>
      <c r="G183" s="91" t="n"/>
      <c r="H183" s="91" t="n"/>
      <c r="I183" s="91" t="n"/>
      <c r="J183" s="91" t="n"/>
      <c r="K183" s="91" t="n"/>
      <c r="L183" s="91" t="n"/>
    </row>
    <row r="184">
      <c r="A184" s="91" t="n"/>
      <c r="B184" s="125" t="inlineStr">
        <is>
          <t>h2.rec.1</t>
        </is>
      </c>
      <c r="C184" s="103" t="inlineStr">
        <is>
          <t>Encours &amp; balance âgée</t>
        </is>
      </c>
      <c r="D184" s="103" t="inlineStr">
        <is>
          <t>Encours &amp; balance âgée</t>
        </is>
      </c>
      <c r="E184" s="91" t="n"/>
      <c r="F184" s="91" t="n"/>
      <c r="G184" s="91" t="n"/>
      <c r="H184" s="91" t="n"/>
      <c r="I184" s="91" t="n"/>
      <c r="J184" s="91" t="n"/>
      <c r="K184" s="91" t="n"/>
      <c r="L184" s="91" t="n"/>
    </row>
    <row r="185">
      <c r="A185" s="91" t="n"/>
      <c r="B185" s="125" t="inlineStr">
        <is>
          <t>h2.rec.2</t>
        </is>
      </c>
      <c r="C185" s="103" t="inlineStr">
        <is>
          <t>DSO &amp; recouvrement</t>
        </is>
      </c>
      <c r="D185" s="103" t="inlineStr">
        <is>
          <t>DSO &amp; recouvrement</t>
        </is>
      </c>
      <c r="E185" s="91" t="n"/>
      <c r="F185" s="91" t="n"/>
      <c r="G185" s="91" t="n"/>
      <c r="H185" s="91" t="n"/>
      <c r="I185" s="91" t="n"/>
      <c r="J185" s="91" t="n"/>
      <c r="K185" s="91" t="n"/>
      <c r="L185" s="91" t="n"/>
    </row>
    <row r="186">
      <c r="A186" s="91" t="n"/>
      <c r="B186" s="125" t="inlineStr">
        <is>
          <t>h2.rec.3</t>
        </is>
      </c>
      <c r="C186" s="103" t="inlineStr">
        <is>
          <t>Suivi de recouvrement</t>
        </is>
      </c>
      <c r="D186" s="103" t="inlineStr">
        <is>
          <t>Suivi de recouvrement</t>
        </is>
      </c>
      <c r="E186" s="91" t="n"/>
      <c r="F186" s="91" t="n"/>
      <c r="G186" s="91" t="n"/>
      <c r="H186" s="91" t="n"/>
      <c r="I186" s="91" t="n"/>
      <c r="J186" s="91" t="n"/>
      <c r="K186" s="91" t="n"/>
      <c r="L186" s="91" t="n"/>
    </row>
    <row r="187">
      <c r="A187" s="91" t="n"/>
      <c r="B187" s="125" t="inlineStr">
        <is>
          <t>h2.rec.4</t>
        </is>
      </c>
      <c r="C187" s="103" t="inlineStr">
        <is>
          <t>Provisions</t>
        </is>
      </c>
      <c r="D187" s="103" t="inlineStr">
        <is>
          <t>Provisions</t>
        </is>
      </c>
      <c r="E187" s="91" t="n"/>
      <c r="F187" s="91" t="n"/>
      <c r="G187" s="91" t="n"/>
      <c r="H187" s="91" t="n"/>
      <c r="I187" s="91" t="n"/>
      <c r="J187" s="91" t="n"/>
      <c r="K187" s="91" t="n"/>
      <c r="L187" s="91" t="n"/>
    </row>
    <row r="188">
      <c r="A188" s="91" t="n"/>
      <c r="B188" s="125" t="inlineStr">
        <is>
          <t>h2.rec.5</t>
        </is>
      </c>
      <c r="C188" s="103" t="inlineStr">
        <is>
          <t>Litiges &amp; contentieux</t>
        </is>
      </c>
      <c r="D188" s="103" t="inlineStr">
        <is>
          <t>Litiges &amp; contentieux</t>
        </is>
      </c>
      <c r="E188" s="91" t="n"/>
      <c r="F188" s="91" t="n"/>
      <c r="G188" s="91" t="n"/>
      <c r="H188" s="91" t="n"/>
      <c r="I188" s="91" t="n"/>
      <c r="J188" s="91" t="n"/>
      <c r="K188" s="91" t="n"/>
      <c r="L188" s="91" t="n"/>
    </row>
    <row r="189">
      <c r="A189" s="91" t="n"/>
      <c r="B189" s="125" t="inlineStr">
        <is>
          <t>h2.foot.1</t>
        </is>
      </c>
      <c r="C189" s="103" t="inlineStr">
        <is>
          <t>Fréquentation vs budget</t>
        </is>
      </c>
      <c r="D189" s="103" t="inlineStr">
        <is>
          <t>Fréquentation vs budget</t>
        </is>
      </c>
      <c r="E189" s="91" t="n"/>
      <c r="F189" s="91" t="n"/>
      <c r="G189" s="91" t="n"/>
      <c r="H189" s="91" t="n"/>
      <c r="I189" s="91" t="n"/>
      <c r="J189" s="91" t="n"/>
      <c r="K189" s="91" t="n"/>
      <c r="L189" s="91" t="n"/>
    </row>
    <row r="190">
      <c r="A190" s="91" t="n"/>
      <c r="B190" s="125" t="inlineStr">
        <is>
          <t>h2.foot.2</t>
        </is>
      </c>
      <c r="C190" s="103" t="inlineStr">
        <is>
          <t>Densité &amp; conversion</t>
        </is>
      </c>
      <c r="D190" s="103" t="inlineStr">
        <is>
          <t>Densité &amp; conversion</t>
        </is>
      </c>
      <c r="E190" s="91" t="n"/>
      <c r="F190" s="91" t="n"/>
      <c r="G190" s="91" t="n"/>
      <c r="H190" s="91" t="n"/>
      <c r="I190" s="91" t="n"/>
      <c r="J190" s="91" t="n"/>
      <c r="K190" s="91" t="n"/>
      <c r="L190" s="91" t="n"/>
    </row>
    <row r="191">
      <c r="A191" s="91" t="n"/>
      <c r="B191" s="125" t="inlineStr">
        <is>
          <t>h2.foot.3</t>
        </is>
      </c>
      <c r="C191" s="103" t="inlineStr">
        <is>
          <t>Dwell time</t>
        </is>
      </c>
      <c r="D191" s="103" t="inlineStr">
        <is>
          <t>Dwell time</t>
        </is>
      </c>
      <c r="E191" s="91" t="n"/>
      <c r="F191" s="91" t="n"/>
      <c r="G191" s="91" t="n"/>
      <c r="H191" s="91" t="n"/>
      <c r="I191" s="91" t="n"/>
      <c r="J191" s="91" t="n"/>
      <c r="K191" s="91" t="n"/>
      <c r="L191" s="91" t="n"/>
    </row>
    <row r="192">
      <c r="A192" s="91" t="n"/>
      <c r="B192" s="125" t="inlineStr">
        <is>
          <t>h2.foot.4</t>
        </is>
      </c>
      <c r="C192" s="103" t="inlineStr">
        <is>
          <t>Répartition par zone</t>
        </is>
      </c>
      <c r="D192" s="103" t="inlineStr">
        <is>
          <t>Répartition par zone</t>
        </is>
      </c>
      <c r="E192" s="91" t="n"/>
      <c r="F192" s="91" t="n"/>
      <c r="G192" s="91" t="n"/>
      <c r="H192" s="91" t="n"/>
      <c r="I192" s="91" t="n"/>
      <c r="J192" s="91" t="n"/>
      <c r="K192" s="91" t="n"/>
      <c r="L192" s="91" t="n"/>
    </row>
    <row r="193">
      <c r="A193" s="91" t="n"/>
      <c r="B193" s="125" t="inlineStr">
        <is>
          <t>h2.mkt.1</t>
        </is>
      </c>
      <c r="C193" s="103" t="inlineStr">
        <is>
          <t>Événements</t>
        </is>
      </c>
      <c r="D193" s="103" t="inlineStr">
        <is>
          <t>Événements</t>
        </is>
      </c>
      <c r="E193" s="91" t="n"/>
      <c r="F193" s="91" t="n"/>
      <c r="G193" s="91" t="n"/>
      <c r="H193" s="91" t="n"/>
      <c r="I193" s="91" t="n"/>
      <c r="J193" s="91" t="n"/>
      <c r="K193" s="91" t="n"/>
      <c r="L193" s="91" t="n"/>
    </row>
    <row r="194">
      <c r="A194" s="91" t="n"/>
      <c r="B194" s="125" t="inlineStr">
        <is>
          <t>h2.mkt.2</t>
        </is>
      </c>
      <c r="C194" s="103" t="inlineStr">
        <is>
          <t>Marketing digital</t>
        </is>
      </c>
      <c r="D194" s="103" t="inlineStr">
        <is>
          <t>Marketing digital</t>
        </is>
      </c>
      <c r="E194" s="91" t="n"/>
      <c r="F194" s="91" t="n"/>
      <c r="G194" s="91" t="n"/>
      <c r="H194" s="91" t="n"/>
      <c r="I194" s="91" t="n"/>
      <c r="J194" s="91" t="n"/>
      <c r="K194" s="91" t="n"/>
      <c r="L194" s="91" t="n"/>
    </row>
    <row r="195">
      <c r="A195" s="91" t="n"/>
      <c r="B195" s="125" t="inlineStr">
        <is>
          <t>h2.mkt.3</t>
        </is>
      </c>
      <c r="C195" s="103" t="inlineStr">
        <is>
          <t>Publicité &amp; communication</t>
        </is>
      </c>
      <c r="D195" s="103" t="inlineStr">
        <is>
          <t>Publicité &amp; communication</t>
        </is>
      </c>
      <c r="E195" s="91" t="n"/>
      <c r="F195" s="91" t="n"/>
      <c r="G195" s="91" t="n"/>
      <c r="H195" s="91" t="n"/>
      <c r="I195" s="91" t="n"/>
      <c r="J195" s="91" t="n"/>
      <c r="K195" s="91" t="n"/>
      <c r="L195" s="91" t="n"/>
    </row>
    <row r="196">
      <c r="A196" s="91" t="n"/>
      <c r="B196" s="125" t="inlineStr">
        <is>
          <t>h2.mkt.4</t>
        </is>
      </c>
      <c r="C196" s="103" t="inlineStr">
        <is>
          <t>Analyse données (CRM/fidélité)</t>
        </is>
      </c>
      <c r="D196" s="103" t="inlineStr">
        <is>
          <t>Analyse données (CRM/fidélité)</t>
        </is>
      </c>
      <c r="E196" s="91" t="n"/>
      <c r="F196" s="91" t="n"/>
      <c r="G196" s="91" t="n"/>
      <c r="H196" s="91" t="n"/>
      <c r="I196" s="91" t="n"/>
      <c r="J196" s="91" t="n"/>
      <c r="K196" s="91" t="n"/>
      <c r="L196" s="91" t="n"/>
    </row>
    <row r="197">
      <c r="A197" s="91" t="n"/>
      <c r="B197" s="125" t="inlineStr">
        <is>
          <t>h2.com.1</t>
        </is>
      </c>
      <c r="C197" s="103" t="inlineStr">
        <is>
          <t>Ventes &amp; CA/m²</t>
        </is>
      </c>
      <c r="D197" s="103" t="inlineStr">
        <is>
          <t>Ventes &amp; CA/m²</t>
        </is>
      </c>
      <c r="E197" s="91" t="n"/>
      <c r="F197" s="91" t="n"/>
      <c r="G197" s="91" t="n"/>
      <c r="H197" s="91" t="n"/>
      <c r="I197" s="91" t="n"/>
      <c r="J197" s="91" t="n"/>
      <c r="K197" s="91" t="n"/>
      <c r="L197" s="91" t="n"/>
    </row>
    <row r="198">
      <c r="A198" s="91" t="n"/>
      <c r="B198" s="125" t="inlineStr">
        <is>
          <t>h2.com.2</t>
        </is>
      </c>
      <c r="C198" s="103" t="inlineStr">
        <is>
          <t>Location à bail</t>
        </is>
      </c>
      <c r="D198" s="103" t="inlineStr">
        <is>
          <t>Location à bail</t>
        </is>
      </c>
      <c r="E198" s="91" t="n"/>
      <c r="F198" s="91" t="n"/>
      <c r="G198" s="91" t="n"/>
      <c r="H198" s="91" t="n"/>
      <c r="I198" s="91" t="n"/>
      <c r="J198" s="91" t="n"/>
      <c r="K198" s="91" t="n"/>
      <c r="L198" s="91" t="n"/>
    </row>
    <row r="199">
      <c r="A199" s="91" t="n"/>
      <c r="B199" s="125" t="inlineStr">
        <is>
          <t>h2.com.3</t>
        </is>
      </c>
      <c r="C199" s="103" t="inlineStr">
        <is>
          <t>Pop-store / specialty</t>
        </is>
      </c>
      <c r="D199" s="103" t="inlineStr">
        <is>
          <t>Pop-store / specialty</t>
        </is>
      </c>
      <c r="E199" s="91" t="n"/>
      <c r="F199" s="91" t="n"/>
      <c r="G199" s="91" t="n"/>
      <c r="H199" s="91" t="n"/>
      <c r="I199" s="91" t="n"/>
      <c r="J199" s="91" t="n"/>
      <c r="K199" s="91" t="n"/>
      <c r="L199" s="91" t="n"/>
    </row>
    <row r="200">
      <c r="A200" s="91" t="n"/>
      <c r="B200" s="125" t="inlineStr">
        <is>
          <t>h2.com.4</t>
        </is>
      </c>
      <c r="C200" s="103" t="inlineStr">
        <is>
          <t>Le Market</t>
        </is>
      </c>
      <c r="D200" s="103" t="inlineStr">
        <is>
          <t>Le Market</t>
        </is>
      </c>
      <c r="E200" s="91" t="n"/>
      <c r="F200" s="91" t="n"/>
      <c r="G200" s="91" t="n"/>
      <c r="H200" s="91" t="n"/>
      <c r="I200" s="91" t="n"/>
      <c r="J200" s="91" t="n"/>
      <c r="K200" s="91" t="n"/>
      <c r="L200" s="91" t="n"/>
    </row>
    <row r="201">
      <c r="A201" s="91" t="n"/>
      <c r="B201" s="125" t="inlineStr">
        <is>
          <t>h2.com.5</t>
        </is>
      </c>
      <c r="C201" s="103" t="inlineStr">
        <is>
          <t>Partenariats &amp; activations</t>
        </is>
      </c>
      <c r="D201" s="103" t="inlineStr">
        <is>
          <t>Partenariats &amp; activations</t>
        </is>
      </c>
      <c r="E201" s="91" t="n"/>
      <c r="F201" s="91" t="n"/>
      <c r="G201" s="91" t="n"/>
      <c r="H201" s="91" t="n"/>
      <c r="I201" s="91" t="n"/>
      <c r="J201" s="91" t="n"/>
      <c r="K201" s="91" t="n"/>
      <c r="L201" s="91" t="n"/>
    </row>
    <row r="202">
      <c r="A202" s="91" t="n"/>
      <c r="B202" s="125" t="inlineStr">
        <is>
          <t>h2.com.6</t>
        </is>
      </c>
      <c r="C202" s="103" t="inlineStr">
        <is>
          <t>Remises</t>
        </is>
      </c>
      <c r="D202" s="103" t="inlineStr">
        <is>
          <t>Remises</t>
        </is>
      </c>
      <c r="E202" s="91" t="n"/>
      <c r="F202" s="91" t="n"/>
      <c r="G202" s="91" t="n"/>
      <c r="H202" s="91" t="n"/>
      <c r="I202" s="91" t="n"/>
      <c r="J202" s="91" t="n"/>
      <c r="K202" s="91" t="n"/>
      <c r="L202" s="91" t="n"/>
    </row>
    <row r="203">
      <c r="A203" s="91" t="n"/>
      <c r="B203" s="125" t="inlineStr">
        <is>
          <t>h2.hsse.1</t>
        </is>
      </c>
      <c r="C203" s="103" t="inlineStr">
        <is>
          <t>Incidents</t>
        </is>
      </c>
      <c r="D203" s="103" t="inlineStr">
        <is>
          <t>Incidents</t>
        </is>
      </c>
      <c r="E203" s="91" t="n"/>
      <c r="F203" s="91" t="n"/>
      <c r="G203" s="91" t="n"/>
      <c r="H203" s="91" t="n"/>
      <c r="I203" s="91" t="n"/>
      <c r="J203" s="91" t="n"/>
      <c r="K203" s="91" t="n"/>
      <c r="L203" s="91" t="n"/>
    </row>
    <row r="204">
      <c r="A204" s="91" t="n"/>
      <c r="B204" s="125" t="inlineStr">
        <is>
          <t>h2.hsse.2</t>
        </is>
      </c>
      <c r="C204" s="103" t="inlineStr">
        <is>
          <t>Accidentologie</t>
        </is>
      </c>
      <c r="D204" s="103" t="inlineStr">
        <is>
          <t>Accidentologie</t>
        </is>
      </c>
      <c r="E204" s="91" t="n"/>
      <c r="F204" s="91" t="n"/>
      <c r="G204" s="91" t="n"/>
      <c r="H204" s="91" t="n"/>
      <c r="I204" s="91" t="n"/>
      <c r="J204" s="91" t="n"/>
      <c r="K204" s="91" t="n"/>
      <c r="L204" s="91" t="n"/>
    </row>
    <row r="205">
      <c r="A205" s="91" t="n"/>
      <c r="B205" s="125" t="inlineStr">
        <is>
          <t>h2.hsse.3</t>
        </is>
      </c>
      <c r="C205" s="103" t="inlineStr">
        <is>
          <t>Sécurité incendie</t>
        </is>
      </c>
      <c r="D205" s="103" t="inlineStr">
        <is>
          <t>Sécurité incendie</t>
        </is>
      </c>
      <c r="E205" s="91" t="n"/>
      <c r="F205" s="91" t="n"/>
      <c r="G205" s="91" t="n"/>
      <c r="H205" s="91" t="n"/>
      <c r="I205" s="91" t="n"/>
      <c r="J205" s="91" t="n"/>
      <c r="K205" s="91" t="n"/>
      <c r="L205" s="91" t="n"/>
    </row>
    <row r="206">
      <c r="A206" s="91" t="n"/>
      <c r="B206" s="125" t="inlineStr">
        <is>
          <t>h2.hsse.4</t>
        </is>
      </c>
      <c r="C206" s="103" t="inlineStr">
        <is>
          <t>Sûreté</t>
        </is>
      </c>
      <c r="D206" s="103" t="inlineStr">
        <is>
          <t>Sûreté</t>
        </is>
      </c>
      <c r="E206" s="91" t="n"/>
      <c r="F206" s="91" t="n"/>
      <c r="G206" s="91" t="n"/>
      <c r="H206" s="91" t="n"/>
      <c r="I206" s="91" t="n"/>
      <c r="J206" s="91" t="n"/>
      <c r="K206" s="91" t="n"/>
      <c r="L206" s="91" t="n"/>
    </row>
    <row r="207">
      <c r="A207" s="91" t="n"/>
      <c r="B207" s="125" t="inlineStr">
        <is>
          <t>h2.hsse.5</t>
        </is>
      </c>
      <c r="C207" s="103" t="inlineStr">
        <is>
          <t>Gestion des risques</t>
        </is>
      </c>
      <c r="D207" s="103" t="inlineStr">
        <is>
          <t>Gestion des risques</t>
        </is>
      </c>
      <c r="E207" s="91" t="n"/>
      <c r="F207" s="91" t="n"/>
      <c r="G207" s="91" t="n"/>
      <c r="H207" s="91" t="n"/>
      <c r="I207" s="91" t="n"/>
      <c r="J207" s="91" t="n"/>
      <c r="K207" s="91" t="n"/>
      <c r="L207" s="91" t="n"/>
    </row>
    <row r="208">
      <c r="A208" s="91" t="n"/>
      <c r="B208" s="125" t="inlineStr">
        <is>
          <t>h2.hsse.6</t>
        </is>
      </c>
      <c r="C208" s="103" t="inlineStr">
        <is>
          <t>Formation HSSE</t>
        </is>
      </c>
      <c r="D208" s="103" t="inlineStr">
        <is>
          <t>Formation HSSE</t>
        </is>
      </c>
      <c r="E208" s="91" t="n"/>
      <c r="F208" s="91" t="n"/>
      <c r="G208" s="91" t="n"/>
      <c r="H208" s="91" t="n"/>
      <c r="I208" s="91" t="n"/>
      <c r="J208" s="91" t="n"/>
      <c r="K208" s="91" t="n"/>
      <c r="L208" s="91" t="n"/>
    </row>
    <row r="209">
      <c r="A209" s="91" t="n"/>
      <c r="B209" s="125" t="inlineStr">
        <is>
          <t>h2.fac.1</t>
        </is>
      </c>
      <c r="C209" s="103" t="inlineStr">
        <is>
          <t>Maintenance prév./corr.</t>
        </is>
      </c>
      <c r="D209" s="103" t="inlineStr">
        <is>
          <t>Maintenance prév./corr.</t>
        </is>
      </c>
      <c r="E209" s="91" t="n"/>
      <c r="F209" s="91" t="n"/>
      <c r="G209" s="91" t="n"/>
      <c r="H209" s="91" t="n"/>
      <c r="I209" s="91" t="n"/>
      <c r="J209" s="91" t="n"/>
      <c r="K209" s="91" t="n"/>
      <c r="L209" s="91" t="n"/>
    </row>
    <row r="210">
      <c r="A210" s="91" t="n"/>
      <c r="B210" s="125" t="inlineStr">
        <is>
          <t>h2.fac.2</t>
        </is>
      </c>
      <c r="C210" s="103" t="inlineStr">
        <is>
          <t>Tickets OT</t>
        </is>
      </c>
      <c r="D210" s="103" t="inlineStr">
        <is>
          <t>Tickets OT</t>
        </is>
      </c>
      <c r="E210" s="91" t="n"/>
      <c r="F210" s="91" t="n"/>
      <c r="G210" s="91" t="n"/>
      <c r="H210" s="91" t="n"/>
      <c r="I210" s="91" t="n"/>
      <c r="J210" s="91" t="n"/>
      <c r="K210" s="91" t="n"/>
      <c r="L210" s="91" t="n"/>
    </row>
    <row r="211">
      <c r="A211" s="91" t="n"/>
      <c r="B211" s="125" t="inlineStr">
        <is>
          <t>h2.fac.3</t>
        </is>
      </c>
      <c r="C211" s="103" t="inlineStr">
        <is>
          <t>Énergie &amp; utilities</t>
        </is>
      </c>
      <c r="D211" s="103" t="inlineStr">
        <is>
          <t>Énergie &amp; utilities</t>
        </is>
      </c>
      <c r="E211" s="91" t="n"/>
      <c r="F211" s="91" t="n"/>
      <c r="G211" s="91" t="n"/>
      <c r="H211" s="91" t="n"/>
      <c r="I211" s="91" t="n"/>
      <c r="J211" s="91" t="n"/>
      <c r="K211" s="91" t="n"/>
      <c r="L211" s="91" t="n"/>
    </row>
    <row r="212">
      <c r="A212" s="91" t="n"/>
      <c r="B212" s="125" t="inlineStr">
        <is>
          <t>h2.fac.4</t>
        </is>
      </c>
      <c r="C212" s="103" t="inlineStr">
        <is>
          <t>CAPEX</t>
        </is>
      </c>
      <c r="D212" s="103" t="inlineStr">
        <is>
          <t>CAPEX</t>
        </is>
      </c>
      <c r="E212" s="91" t="n"/>
      <c r="F212" s="91" t="n"/>
      <c r="G212" s="91" t="n"/>
      <c r="H212" s="91" t="n"/>
      <c r="I212" s="91" t="n"/>
      <c r="J212" s="91" t="n"/>
      <c r="K212" s="91" t="n"/>
      <c r="L212" s="91" t="n"/>
    </row>
    <row r="213">
      <c r="A213" s="91" t="n"/>
      <c r="B213" s="125" t="inlineStr">
        <is>
          <t>h2.fac.5</t>
        </is>
      </c>
      <c r="C213" s="103" t="inlineStr">
        <is>
          <t>Inspections</t>
        </is>
      </c>
      <c r="D213" s="103" t="inlineStr">
        <is>
          <t>Inspections</t>
        </is>
      </c>
      <c r="E213" s="91" t="n"/>
      <c r="F213" s="91" t="n"/>
      <c r="G213" s="91" t="n"/>
      <c r="H213" s="91" t="n"/>
      <c r="I213" s="91" t="n"/>
      <c r="J213" s="91" t="n"/>
      <c r="K213" s="91" t="n"/>
      <c r="L213" s="91" t="n"/>
    </row>
    <row r="214">
      <c r="A214" s="91" t="n"/>
      <c r="B214" s="125" t="inlineStr">
        <is>
          <t>h2.fac.6</t>
        </is>
      </c>
      <c r="C214" s="103" t="inlineStr">
        <is>
          <t>Hygiène &amp; propreté</t>
        </is>
      </c>
      <c r="D214" s="103" t="inlineStr">
        <is>
          <t>Hygiène &amp; propreté</t>
        </is>
      </c>
      <c r="E214" s="91" t="n"/>
      <c r="F214" s="91" t="n"/>
      <c r="G214" s="91" t="n"/>
      <c r="H214" s="91" t="n"/>
      <c r="I214" s="91" t="n"/>
      <c r="J214" s="91" t="n"/>
      <c r="K214" s="91" t="n"/>
      <c r="L214" s="91" t="n"/>
    </row>
    <row r="215">
      <c r="A215" s="91" t="n"/>
      <c r="B215" s="125" t="inlineStr">
        <is>
          <t>h2.fac.7</t>
        </is>
      </c>
      <c r="C215" s="103" t="inlineStr">
        <is>
          <t>SLA prestataires</t>
        </is>
      </c>
      <c r="D215" s="103" t="inlineStr">
        <is>
          <t>SLA prestataires</t>
        </is>
      </c>
      <c r="E215" s="91" t="n"/>
      <c r="F215" s="91" t="n"/>
      <c r="G215" s="91" t="n"/>
      <c r="H215" s="91" t="n"/>
      <c r="I215" s="91" t="n"/>
      <c r="J215" s="91" t="n"/>
      <c r="K215" s="91" t="n"/>
      <c r="L215" s="91" t="n"/>
    </row>
    <row r="216">
      <c r="A216" s="91" t="n"/>
      <c r="B216" s="91" t="n"/>
      <c r="C216" s="91" t="n"/>
      <c r="D216" s="91" t="n"/>
      <c r="E216" s="91" t="n"/>
      <c r="F216" s="91" t="n"/>
      <c r="G216" s="91" t="n"/>
      <c r="H216" s="91" t="n"/>
      <c r="I216" s="91" t="n"/>
      <c r="J216" s="91" t="n"/>
      <c r="K216" s="91" t="n"/>
      <c r="L216" s="91" t="n"/>
    </row>
    <row r="217">
      <c r="A217" s="91" t="n"/>
      <c r="B217" s="91" t="n"/>
      <c r="C217" s="91" t="n"/>
      <c r="D217" s="91" t="n"/>
      <c r="E217" s="91" t="n"/>
      <c r="F217" s="91" t="n"/>
      <c r="G217" s="91" t="n"/>
      <c r="H217" s="91" t="n"/>
      <c r="I217" s="91" t="n"/>
      <c r="J217" s="91" t="n"/>
      <c r="K217" s="91" t="n"/>
      <c r="L217" s="91" t="n"/>
    </row>
    <row r="218">
      <c r="A218" s="91" t="n"/>
      <c r="B218" s="91" t="n"/>
      <c r="C218" s="91" t="n"/>
      <c r="D218" s="91" t="n"/>
      <c r="E218" s="91" t="n"/>
      <c r="F218" s="91" t="n"/>
      <c r="G218" s="91" t="n"/>
      <c r="H218" s="91" t="n"/>
      <c r="I218" s="91" t="n"/>
      <c r="J218" s="91" t="n"/>
      <c r="K218" s="91" t="n"/>
      <c r="L218" s="91" t="n"/>
    </row>
    <row r="219">
      <c r="A219" s="91" t="n"/>
      <c r="B219" s="91" t="n"/>
      <c r="C219" s="91" t="n"/>
      <c r="D219" s="91" t="n"/>
      <c r="E219" s="91" t="n"/>
      <c r="F219" s="91" t="n"/>
      <c r="G219" s="91" t="n"/>
      <c r="H219" s="91" t="n"/>
      <c r="I219" s="91" t="n"/>
      <c r="J219" s="91" t="n"/>
      <c r="K219" s="91" t="n"/>
      <c r="L219" s="91" t="n"/>
    </row>
    <row r="220">
      <c r="A220" s="91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91" t="n"/>
      <c r="L220" s="91" t="n"/>
    </row>
    <row r="221">
      <c r="A221" s="91" t="n"/>
      <c r="B221" s="91" t="n"/>
      <c r="C221" s="91" t="n"/>
      <c r="D221" s="91" t="n"/>
      <c r="E221" s="91" t="n"/>
      <c r="F221" s="91" t="n"/>
      <c r="G221" s="91" t="n"/>
      <c r="H221" s="91" t="n"/>
      <c r="I221" s="91" t="n"/>
      <c r="J221" s="91" t="n"/>
      <c r="K221" s="91" t="n"/>
      <c r="L221" s="91" t="n"/>
    </row>
    <row r="222">
      <c r="A222" s="91" t="n"/>
      <c r="B222" s="91" t="n"/>
      <c r="C222" s="91" t="n"/>
      <c r="D222" s="91" t="n"/>
      <c r="E222" s="91" t="n"/>
      <c r="F222" s="91" t="n"/>
      <c r="G222" s="91" t="n"/>
      <c r="H222" s="91" t="n"/>
      <c r="I222" s="91" t="n"/>
      <c r="J222" s="91" t="n"/>
      <c r="K222" s="91" t="n"/>
      <c r="L222" s="91" t="n"/>
    </row>
    <row r="223">
      <c r="A223" s="91" t="n"/>
      <c r="B223" s="91" t="n"/>
      <c r="C223" s="91" t="n"/>
      <c r="D223" s="91" t="n"/>
      <c r="E223" s="91" t="n"/>
      <c r="F223" s="91" t="n"/>
      <c r="G223" s="91" t="n"/>
      <c r="H223" s="91" t="n"/>
      <c r="I223" s="91" t="n"/>
      <c r="J223" s="91" t="n"/>
      <c r="K223" s="91" t="n"/>
      <c r="L223" s="91" t="n"/>
    </row>
    <row r="224">
      <c r="A224" s="91" t="n"/>
      <c r="B224" s="91" t="n"/>
      <c r="C224" s="91" t="n"/>
      <c r="D224" s="91" t="n"/>
      <c r="E224" s="91" t="n"/>
      <c r="F224" s="91" t="n"/>
      <c r="G224" s="91" t="n"/>
      <c r="H224" s="91" t="n"/>
      <c r="I224" s="91" t="n"/>
      <c r="J224" s="91" t="n"/>
      <c r="K224" s="91" t="n"/>
      <c r="L224" s="91" t="n"/>
    </row>
    <row r="225">
      <c r="A225" s="91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91" t="n"/>
      <c r="L225" s="91" t="n"/>
    </row>
    <row r="226">
      <c r="A226" s="91" t="n"/>
      <c r="B226" s="91" t="n"/>
      <c r="C226" s="91" t="n"/>
      <c r="D226" s="91" t="n"/>
      <c r="E226" s="91" t="n"/>
      <c r="F226" s="91" t="n"/>
      <c r="G226" s="91" t="n"/>
      <c r="H226" s="91" t="n"/>
      <c r="I226" s="91" t="n"/>
      <c r="J226" s="91" t="n"/>
      <c r="K226" s="91" t="n"/>
      <c r="L226" s="91" t="n"/>
    </row>
    <row r="227">
      <c r="A227" s="91" t="n"/>
      <c r="B227" s="91" t="n"/>
      <c r="C227" s="91" t="n"/>
      <c r="D227" s="91" t="n"/>
      <c r="E227" s="91" t="n"/>
      <c r="F227" s="91" t="n"/>
      <c r="G227" s="91" t="n"/>
      <c r="H227" s="91" t="n"/>
      <c r="I227" s="91" t="n"/>
      <c r="J227" s="91" t="n"/>
      <c r="K227" s="91" t="n"/>
      <c r="L227" s="91" t="n"/>
    </row>
    <row r="228">
      <c r="A228" s="91" t="n"/>
      <c r="B228" s="91" t="n"/>
      <c r="C228" s="91" t="n"/>
      <c r="D228" s="91" t="n"/>
      <c r="E228" s="91" t="n"/>
      <c r="F228" s="91" t="n"/>
      <c r="G228" s="91" t="n"/>
      <c r="H228" s="91" t="n"/>
      <c r="I228" s="91" t="n"/>
      <c r="J228" s="91" t="n"/>
      <c r="K228" s="91" t="n"/>
      <c r="L228" s="91" t="n"/>
    </row>
    <row r="229">
      <c r="A229" s="91" t="n"/>
      <c r="B229" s="91" t="n"/>
      <c r="C229" s="91" t="n"/>
      <c r="D229" s="91" t="n"/>
      <c r="E229" s="91" t="n"/>
      <c r="F229" s="91" t="n"/>
      <c r="G229" s="91" t="n"/>
      <c r="H229" s="91" t="n"/>
      <c r="I229" s="91" t="n"/>
      <c r="J229" s="91" t="n"/>
      <c r="K229" s="91" t="n"/>
      <c r="L229" s="91" t="n"/>
    </row>
    <row r="230">
      <c r="A230" s="91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91" t="n"/>
      <c r="L230" s="91" t="n"/>
    </row>
    <row r="231">
      <c r="A231" s="91" t="n"/>
      <c r="B231" s="91" t="n"/>
      <c r="C231" s="91" t="n"/>
      <c r="D231" s="91" t="n"/>
      <c r="E231" s="91" t="n"/>
      <c r="F231" s="91" t="n"/>
      <c r="G231" s="91" t="n"/>
      <c r="H231" s="91" t="n"/>
      <c r="I231" s="91" t="n"/>
      <c r="J231" s="91" t="n"/>
      <c r="K231" s="91" t="n"/>
      <c r="L231" s="91" t="n"/>
    </row>
    <row r="232">
      <c r="A232" s="91" t="n"/>
      <c r="B232" s="91" t="n"/>
      <c r="C232" s="91" t="n"/>
      <c r="D232" s="91" t="n"/>
      <c r="E232" s="91" t="n"/>
      <c r="F232" s="91" t="n"/>
      <c r="G232" s="91" t="n"/>
      <c r="H232" s="91" t="n"/>
      <c r="I232" s="91" t="n"/>
      <c r="J232" s="91" t="n"/>
      <c r="K232" s="91" t="n"/>
      <c r="L232" s="91" t="n"/>
    </row>
    <row r="233">
      <c r="A233" s="91" t="n"/>
      <c r="B233" s="91" t="n"/>
      <c r="C233" s="91" t="n"/>
      <c r="D233" s="91" t="n"/>
      <c r="E233" s="91" t="n"/>
      <c r="F233" s="91" t="n"/>
      <c r="G233" s="91" t="n"/>
      <c r="H233" s="91" t="n"/>
      <c r="I233" s="91" t="n"/>
      <c r="J233" s="91" t="n"/>
      <c r="K233" s="91" t="n"/>
      <c r="L233" s="91" t="n"/>
    </row>
    <row r="234">
      <c r="A234" s="91" t="n"/>
      <c r="B234" s="91" t="n"/>
      <c r="C234" s="91" t="n"/>
      <c r="D234" s="91" t="n"/>
      <c r="E234" s="91" t="n"/>
      <c r="F234" s="91" t="n"/>
      <c r="G234" s="91" t="n"/>
      <c r="H234" s="91" t="n"/>
      <c r="I234" s="91" t="n"/>
      <c r="J234" s="91" t="n"/>
      <c r="K234" s="91" t="n"/>
      <c r="L234" s="91" t="n"/>
    </row>
    <row r="235">
      <c r="A235" s="91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91" t="n"/>
      <c r="L235" s="91" t="n"/>
    </row>
    <row r="236">
      <c r="A236" s="91" t="n"/>
      <c r="B236" s="91" t="n"/>
      <c r="C236" s="91" t="n"/>
      <c r="D236" s="91" t="n"/>
      <c r="E236" s="91" t="n"/>
      <c r="F236" s="91" t="n"/>
      <c r="G236" s="91" t="n"/>
      <c r="H236" s="91" t="n"/>
      <c r="I236" s="91" t="n"/>
      <c r="J236" s="91" t="n"/>
      <c r="K236" s="91" t="n"/>
      <c r="L236" s="91" t="n"/>
    </row>
    <row r="237">
      <c r="A237" s="91" t="n"/>
      <c r="B237" s="91" t="n"/>
      <c r="C237" s="91" t="n"/>
      <c r="D237" s="91" t="n"/>
      <c r="E237" s="91" t="n"/>
      <c r="F237" s="91" t="n"/>
      <c r="G237" s="91" t="n"/>
      <c r="H237" s="91" t="n"/>
      <c r="I237" s="91" t="n"/>
      <c r="J237" s="91" t="n"/>
      <c r="K237" s="91" t="n"/>
      <c r="L237" s="91" t="n"/>
    </row>
    <row r="238">
      <c r="A238" s="91" t="n"/>
      <c r="B238" s="91" t="n"/>
      <c r="C238" s="91" t="n"/>
      <c r="D238" s="91" t="n"/>
      <c r="E238" s="91" t="n"/>
      <c r="F238" s="91" t="n"/>
      <c r="G238" s="91" t="n"/>
      <c r="H238" s="91" t="n"/>
      <c r="I238" s="91" t="n"/>
      <c r="J238" s="91" t="n"/>
      <c r="K238" s="91" t="n"/>
      <c r="L238" s="91" t="n"/>
    </row>
    <row r="239">
      <c r="A239" s="91" t="n"/>
      <c r="B239" s="91" t="n"/>
      <c r="C239" s="91" t="n"/>
      <c r="D239" s="91" t="n"/>
      <c r="E239" s="91" t="n"/>
      <c r="F239" s="91" t="n"/>
      <c r="G239" s="91" t="n"/>
      <c r="H239" s="91" t="n"/>
      <c r="I239" s="91" t="n"/>
      <c r="J239" s="91" t="n"/>
      <c r="K239" s="91" t="n"/>
      <c r="L239" s="91" t="n"/>
    </row>
    <row r="240">
      <c r="A240" s="91" t="n"/>
      <c r="B240" s="91" t="n"/>
      <c r="C240" s="91" t="n"/>
      <c r="D240" s="91" t="n"/>
      <c r="E240" s="91" t="n"/>
      <c r="F240" s="91" t="n"/>
      <c r="G240" s="91" t="n"/>
      <c r="H240" s="91" t="n"/>
      <c r="I240" s="91" t="n"/>
      <c r="J240" s="91" t="n"/>
      <c r="K240" s="91" t="n"/>
      <c r="L240" s="91" t="n"/>
    </row>
    <row r="241">
      <c r="A241" s="91" t="n"/>
      <c r="B241" s="91" t="n"/>
      <c r="C241" s="91" t="n"/>
      <c r="D241" s="91" t="n"/>
      <c r="E241" s="91" t="n"/>
      <c r="F241" s="91" t="n"/>
      <c r="G241" s="91" t="n"/>
      <c r="H241" s="91" t="n"/>
      <c r="I241" s="91" t="n"/>
      <c r="J241" s="91" t="n"/>
      <c r="K241" s="91" t="n"/>
      <c r="L241" s="91" t="n"/>
    </row>
    <row r="242">
      <c r="A242" s="91" t="n"/>
      <c r="B242" s="91" t="n"/>
      <c r="C242" s="91" t="n"/>
      <c r="D242" s="91" t="n"/>
      <c r="E242" s="91" t="n"/>
      <c r="F242" s="91" t="n"/>
      <c r="G242" s="91" t="n"/>
      <c r="H242" s="91" t="n"/>
      <c r="I242" s="91" t="n"/>
      <c r="J242" s="91" t="n"/>
      <c r="K242" s="91" t="n"/>
      <c r="L242" s="91" t="n"/>
    </row>
    <row r="243">
      <c r="A243" s="91" t="n"/>
      <c r="B243" s="91" t="n"/>
      <c r="C243" s="91" t="n"/>
      <c r="D243" s="91" t="n"/>
      <c r="E243" s="91" t="n"/>
      <c r="F243" s="91" t="n"/>
      <c r="G243" s="91" t="n"/>
      <c r="H243" s="91" t="n"/>
      <c r="I243" s="91" t="n"/>
      <c r="J243" s="91" t="n"/>
      <c r="K243" s="91" t="n"/>
      <c r="L243" s="91" t="n"/>
    </row>
    <row r="244">
      <c r="A244" s="91" t="n"/>
      <c r="B244" s="91" t="n"/>
      <c r="C244" s="91" t="n"/>
      <c r="D244" s="91" t="n"/>
      <c r="E244" s="91" t="n"/>
      <c r="F244" s="91" t="n"/>
      <c r="G244" s="91" t="n"/>
      <c r="H244" s="91" t="n"/>
      <c r="I244" s="91" t="n"/>
      <c r="J244" s="91" t="n"/>
      <c r="K244" s="91" t="n"/>
      <c r="L244" s="91" t="n"/>
    </row>
    <row r="245">
      <c r="A245" s="91" t="n"/>
      <c r="B245" s="91" t="n"/>
      <c r="C245" s="91" t="n"/>
      <c r="D245" s="91" t="n"/>
      <c r="E245" s="91" t="n"/>
      <c r="F245" s="91" t="n"/>
      <c r="G245" s="91" t="n"/>
      <c r="H245" s="91" t="n"/>
      <c r="I245" s="91" t="n"/>
      <c r="J245" s="91" t="n"/>
      <c r="K245" s="91" t="n"/>
      <c r="L245" s="91" t="n"/>
    </row>
    <row r="246">
      <c r="A246" s="91" t="n"/>
      <c r="B246" s="91" t="n"/>
      <c r="C246" s="91" t="n"/>
      <c r="D246" s="91" t="n"/>
      <c r="E246" s="91" t="n"/>
      <c r="F246" s="91" t="n"/>
      <c r="G246" s="91" t="n"/>
      <c r="H246" s="91" t="n"/>
      <c r="I246" s="91" t="n"/>
      <c r="J246" s="91" t="n"/>
      <c r="K246" s="91" t="n"/>
      <c r="L246" s="91" t="n"/>
    </row>
    <row r="247">
      <c r="A247" s="91" t="n"/>
      <c r="B247" s="91" t="n"/>
      <c r="C247" s="91" t="n"/>
      <c r="D247" s="91" t="n"/>
      <c r="E247" s="91" t="n"/>
      <c r="F247" s="91" t="n"/>
      <c r="G247" s="91" t="n"/>
      <c r="H247" s="91" t="n"/>
      <c r="I247" s="91" t="n"/>
      <c r="J247" s="91" t="n"/>
      <c r="K247" s="91" t="n"/>
      <c r="L247" s="91" t="n"/>
    </row>
    <row r="248">
      <c r="A248" s="91" t="n"/>
      <c r="B248" s="91" t="n"/>
      <c r="C248" s="91" t="n"/>
      <c r="D248" s="91" t="n"/>
      <c r="E248" s="91" t="n"/>
      <c r="F248" s="91" t="n"/>
      <c r="G248" s="91" t="n"/>
      <c r="H248" s="91" t="n"/>
      <c r="I248" s="91" t="n"/>
      <c r="J248" s="91" t="n"/>
      <c r="K248" s="91" t="n"/>
      <c r="L248" s="91" t="n"/>
    </row>
    <row r="249">
      <c r="A249" s="91" t="n"/>
      <c r="B249" s="91" t="n"/>
      <c r="C249" s="91" t="n"/>
      <c r="D249" s="91" t="n"/>
      <c r="E249" s="91" t="n"/>
      <c r="F249" s="91" t="n"/>
      <c r="G249" s="91" t="n"/>
      <c r="H249" s="91" t="n"/>
      <c r="I249" s="91" t="n"/>
      <c r="J249" s="91" t="n"/>
      <c r="K249" s="91" t="n"/>
      <c r="L249" s="91" t="n"/>
    </row>
    <row r="250">
      <c r="A250" s="91" t="n"/>
      <c r="B250" s="91" t="n"/>
      <c r="C250" s="91" t="n"/>
      <c r="D250" s="91" t="n"/>
      <c r="E250" s="91" t="n"/>
      <c r="F250" s="91" t="n"/>
      <c r="G250" s="91" t="n"/>
      <c r="H250" s="91" t="n"/>
      <c r="I250" s="91" t="n"/>
      <c r="J250" s="91" t="n"/>
      <c r="K250" s="91" t="n"/>
      <c r="L250" s="91" t="n"/>
    </row>
    <row r="251">
      <c r="A251" s="91" t="n"/>
      <c r="B251" s="91" t="n"/>
      <c r="C251" s="91" t="n"/>
      <c r="D251" s="91" t="n"/>
      <c r="E251" s="91" t="n"/>
      <c r="F251" s="91" t="n"/>
      <c r="G251" s="91" t="n"/>
      <c r="H251" s="91" t="n"/>
      <c r="I251" s="91" t="n"/>
      <c r="J251" s="91" t="n"/>
      <c r="K251" s="91" t="n"/>
      <c r="L251" s="91" t="n"/>
    </row>
    <row r="252">
      <c r="A252" s="91" t="n"/>
      <c r="B252" s="91" t="n"/>
      <c r="C252" s="91" t="n"/>
      <c r="D252" s="91" t="n"/>
      <c r="E252" s="91" t="n"/>
      <c r="F252" s="91" t="n"/>
      <c r="G252" s="91" t="n"/>
      <c r="H252" s="91" t="n"/>
      <c r="I252" s="91" t="n"/>
      <c r="J252" s="91" t="n"/>
      <c r="K252" s="91" t="n"/>
      <c r="L252" s="91" t="n"/>
    </row>
    <row r="253">
      <c r="A253" s="91" t="n"/>
      <c r="B253" s="91" t="n"/>
      <c r="C253" s="91" t="n"/>
      <c r="D253" s="91" t="n"/>
      <c r="E253" s="91" t="n"/>
      <c r="F253" s="91" t="n"/>
      <c r="G253" s="91" t="n"/>
      <c r="H253" s="91" t="n"/>
      <c r="I253" s="91" t="n"/>
      <c r="J253" s="91" t="n"/>
      <c r="K253" s="91" t="n"/>
      <c r="L253" s="91" t="n"/>
    </row>
    <row r="254">
      <c r="A254" s="91" t="n"/>
      <c r="B254" s="91" t="n"/>
      <c r="C254" s="91" t="n"/>
      <c r="D254" s="91" t="n"/>
      <c r="E254" s="91" t="n"/>
      <c r="F254" s="91" t="n"/>
      <c r="G254" s="91" t="n"/>
      <c r="H254" s="91" t="n"/>
      <c r="I254" s="91" t="n"/>
      <c r="J254" s="91" t="n"/>
      <c r="K254" s="91" t="n"/>
      <c r="L254" s="91" t="n"/>
    </row>
    <row r="255">
      <c r="A255" s="91" t="n"/>
      <c r="B255" s="91" t="n"/>
      <c r="C255" s="91" t="n"/>
      <c r="D255" s="91" t="n"/>
      <c r="E255" s="91" t="n"/>
      <c r="F255" s="91" t="n"/>
      <c r="G255" s="91" t="n"/>
      <c r="H255" s="91" t="n"/>
      <c r="I255" s="91" t="n"/>
      <c r="J255" s="91" t="n"/>
      <c r="K255" s="91" t="n"/>
      <c r="L255" s="91" t="n"/>
    </row>
    <row r="256">
      <c r="A256" s="91" t="n"/>
      <c r="B256" s="91" t="n"/>
      <c r="C256" s="91" t="n"/>
      <c r="D256" s="91" t="n"/>
      <c r="E256" s="91" t="n"/>
      <c r="F256" s="91" t="n"/>
      <c r="G256" s="91" t="n"/>
      <c r="H256" s="91" t="n"/>
      <c r="I256" s="91" t="n"/>
      <c r="J256" s="91" t="n"/>
      <c r="K256" s="91" t="n"/>
      <c r="L256" s="91" t="n"/>
    </row>
    <row r="257">
      <c r="A257" s="91" t="n"/>
      <c r="B257" s="91" t="n"/>
      <c r="C257" s="91" t="n"/>
      <c r="D257" s="91" t="n"/>
      <c r="E257" s="91" t="n"/>
      <c r="F257" s="91" t="n"/>
      <c r="G257" s="91" t="n"/>
      <c r="H257" s="91" t="n"/>
      <c r="I257" s="91" t="n"/>
      <c r="J257" s="91" t="n"/>
      <c r="K257" s="91" t="n"/>
      <c r="L257" s="91" t="n"/>
    </row>
    <row r="258">
      <c r="A258" s="91" t="n"/>
      <c r="B258" s="91" t="n"/>
      <c r="C258" s="91" t="n"/>
      <c r="D258" s="91" t="n"/>
      <c r="E258" s="91" t="n"/>
      <c r="F258" s="91" t="n"/>
      <c r="G258" s="91" t="n"/>
      <c r="H258" s="91" t="n"/>
      <c r="I258" s="91" t="n"/>
      <c r="J258" s="91" t="n"/>
      <c r="K258" s="91" t="n"/>
      <c r="L258" s="91" t="n"/>
    </row>
    <row r="259">
      <c r="A259" s="91" t="n"/>
      <c r="B259" s="91" t="n"/>
      <c r="C259" s="91" t="n"/>
      <c r="D259" s="91" t="n"/>
      <c r="E259" s="91" t="n"/>
      <c r="F259" s="91" t="n"/>
      <c r="G259" s="91" t="n"/>
      <c r="H259" s="91" t="n"/>
      <c r="I259" s="91" t="n"/>
      <c r="J259" s="91" t="n"/>
      <c r="K259" s="91" t="n"/>
      <c r="L259" s="91" t="n"/>
    </row>
  </sheetData>
  <conditionalFormatting sqref="C4:D215">
    <cfRule type="expression" priority="1" dxfId="7">
      <formula>C4=""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A742"/>
    <outlinePr summaryBelow="1" summaryRight="1"/>
    <pageSetUpPr/>
  </sheetPr>
  <dimension ref="B1:AM125"/>
  <sheetViews>
    <sheetView showGridLines="0" workbookViewId="0">
      <selection activeCell="A1" sqref="A1"/>
    </sheetView>
  </sheetViews>
  <sheetFormatPr baseColWidth="8" defaultRowHeight="15"/>
  <cols>
    <col width="24" customWidth="1" min="2" max="2"/>
  </cols>
  <sheetData>
    <row r="1">
      <c r="B1" s="131" t="inlineStr">
        <is>
          <t>M3 · BASE MENSUELLE — consolidation (réf. collectes : saisie unique)</t>
        </is>
      </c>
    </row>
    <row r="3">
      <c r="B3" s="102" t="inlineStr">
        <is>
          <t>Clé KPI</t>
        </is>
      </c>
      <c r="C3" s="102" t="inlineStr">
        <is>
          <t>Agg</t>
        </is>
      </c>
      <c r="D3" s="132">
        <f>DATE(2024,1,1)</f>
        <v/>
      </c>
      <c r="E3" s="132">
        <f>DATE(2024,2,1)</f>
        <v/>
      </c>
      <c r="F3" s="132">
        <f>DATE(2024,3,1)</f>
        <v/>
      </c>
      <c r="G3" s="132">
        <f>DATE(2024,4,1)</f>
        <v/>
      </c>
      <c r="H3" s="132">
        <f>DATE(2024,5,1)</f>
        <v/>
      </c>
      <c r="I3" s="132">
        <f>DATE(2024,6,1)</f>
        <v/>
      </c>
      <c r="J3" s="132">
        <f>DATE(2024,7,1)</f>
        <v/>
      </c>
      <c r="K3" s="132">
        <f>DATE(2024,8,1)</f>
        <v/>
      </c>
      <c r="L3" s="132">
        <f>DATE(2024,9,1)</f>
        <v/>
      </c>
      <c r="M3" s="132">
        <f>DATE(2024,10,1)</f>
        <v/>
      </c>
      <c r="N3" s="132">
        <f>DATE(2024,11,1)</f>
        <v/>
      </c>
      <c r="O3" s="132">
        <f>DATE(2024,12,1)</f>
        <v/>
      </c>
      <c r="P3" s="132">
        <f>DATE(2025,1,1)</f>
        <v/>
      </c>
      <c r="Q3" s="132">
        <f>DATE(2025,2,1)</f>
        <v/>
      </c>
      <c r="R3" s="132">
        <f>DATE(2025,3,1)</f>
        <v/>
      </c>
      <c r="S3" s="132">
        <f>DATE(2025,4,1)</f>
        <v/>
      </c>
      <c r="T3" s="132">
        <f>DATE(2025,5,1)</f>
        <v/>
      </c>
      <c r="U3" s="132">
        <f>DATE(2025,6,1)</f>
        <v/>
      </c>
      <c r="V3" s="132">
        <f>DATE(2025,7,1)</f>
        <v/>
      </c>
      <c r="W3" s="132">
        <f>DATE(2025,8,1)</f>
        <v/>
      </c>
      <c r="X3" s="132">
        <f>DATE(2025,9,1)</f>
        <v/>
      </c>
      <c r="Y3" s="132">
        <f>DATE(2025,10,1)</f>
        <v/>
      </c>
      <c r="Z3" s="132">
        <f>DATE(2025,11,1)</f>
        <v/>
      </c>
      <c r="AA3" s="132">
        <f>DATE(2025,12,1)</f>
        <v/>
      </c>
      <c r="AB3" s="132">
        <f>DATE(2026,1,1)</f>
        <v/>
      </c>
      <c r="AC3" s="132">
        <f>DATE(2026,2,1)</f>
        <v/>
      </c>
      <c r="AD3" s="132">
        <f>DATE(2026,3,1)</f>
        <v/>
      </c>
      <c r="AE3" s="132">
        <f>DATE(2026,4,1)</f>
        <v/>
      </c>
      <c r="AF3" s="132">
        <f>DATE(2026,5,1)</f>
        <v/>
      </c>
      <c r="AG3" s="132">
        <f>DATE(2026,6,1)</f>
        <v/>
      </c>
      <c r="AH3" s="132">
        <f>DATE(2026,7,1)</f>
        <v/>
      </c>
      <c r="AI3" s="132">
        <f>DATE(2026,8,1)</f>
        <v/>
      </c>
      <c r="AJ3" s="132">
        <f>DATE(2026,9,1)</f>
        <v/>
      </c>
      <c r="AK3" s="132">
        <f>DATE(2026,10,1)</f>
        <v/>
      </c>
      <c r="AL3" s="132">
        <f>DATE(2026,11,1)</f>
        <v/>
      </c>
      <c r="AM3" s="132">
        <f>DATE(2026,12,1)</f>
        <v/>
      </c>
    </row>
    <row r="4">
      <c r="B4" s="133" t="inlineStr">
        <is>
          <t>kpi.rh.headcount</t>
        </is>
      </c>
      <c r="C4" s="133" t="inlineStr">
        <is>
          <t>LAST</t>
        </is>
      </c>
      <c r="D4" s="134">
        <f>'C1 · Capital Humain'!D8</f>
        <v/>
      </c>
      <c r="E4" s="134">
        <f>'C1 · Capital Humain'!E8</f>
        <v/>
      </c>
      <c r="F4" s="134">
        <f>'C1 · Capital Humain'!F8</f>
        <v/>
      </c>
      <c r="G4" s="134">
        <f>'C1 · Capital Humain'!G8</f>
        <v/>
      </c>
      <c r="H4" s="134">
        <f>'C1 · Capital Humain'!H8</f>
        <v/>
      </c>
      <c r="I4" s="134">
        <f>'C1 · Capital Humain'!I8</f>
        <v/>
      </c>
      <c r="J4" s="134">
        <f>'C1 · Capital Humain'!J8</f>
        <v/>
      </c>
      <c r="K4" s="134">
        <f>'C1 · Capital Humain'!K8</f>
        <v/>
      </c>
      <c r="L4" s="134">
        <f>'C1 · Capital Humain'!L8</f>
        <v/>
      </c>
      <c r="M4" s="134">
        <f>'C1 · Capital Humain'!M8</f>
        <v/>
      </c>
      <c r="N4" s="134">
        <f>'C1 · Capital Humain'!N8</f>
        <v/>
      </c>
      <c r="O4" s="134">
        <f>'C1 · Capital Humain'!O8</f>
        <v/>
      </c>
      <c r="P4" s="134">
        <f>'C1 · Capital Humain'!P8</f>
        <v/>
      </c>
      <c r="Q4" s="134">
        <f>'C1 · Capital Humain'!Q8</f>
        <v/>
      </c>
      <c r="R4" s="134">
        <f>'C1 · Capital Humain'!R8</f>
        <v/>
      </c>
      <c r="S4" s="134">
        <f>'C1 · Capital Humain'!S8</f>
        <v/>
      </c>
      <c r="T4" s="134">
        <f>'C1 · Capital Humain'!T8</f>
        <v/>
      </c>
      <c r="U4" s="134">
        <f>'C1 · Capital Humain'!U8</f>
        <v/>
      </c>
      <c r="V4" s="134">
        <f>'C1 · Capital Humain'!V8</f>
        <v/>
      </c>
      <c r="W4" s="134">
        <f>'C1 · Capital Humain'!W8</f>
        <v/>
      </c>
      <c r="X4" s="134">
        <f>'C1 · Capital Humain'!X8</f>
        <v/>
      </c>
      <c r="Y4" s="134">
        <f>'C1 · Capital Humain'!Y8</f>
        <v/>
      </c>
      <c r="Z4" s="134">
        <f>'C1 · Capital Humain'!Z8</f>
        <v/>
      </c>
      <c r="AA4" s="134">
        <f>'C1 · Capital Humain'!AA8</f>
        <v/>
      </c>
      <c r="AB4" s="134">
        <f>'C1 · Capital Humain'!AB8</f>
        <v/>
      </c>
      <c r="AC4" s="134">
        <f>'C1 · Capital Humain'!AC8</f>
        <v/>
      </c>
      <c r="AD4" s="134">
        <f>'C1 · Capital Humain'!AD8</f>
        <v/>
      </c>
      <c r="AE4" s="134">
        <f>'C1 · Capital Humain'!AE8</f>
        <v/>
      </c>
      <c r="AF4" s="134">
        <f>'C1 · Capital Humain'!AF8</f>
        <v/>
      </c>
      <c r="AG4" s="134">
        <f>'C1 · Capital Humain'!AG8</f>
        <v/>
      </c>
      <c r="AH4" s="134">
        <f>'C1 · Capital Humain'!AH8</f>
        <v/>
      </c>
      <c r="AI4" s="134">
        <f>'C1 · Capital Humain'!AI8</f>
        <v/>
      </c>
      <c r="AJ4" s="134">
        <f>'C1 · Capital Humain'!AJ8</f>
        <v/>
      </c>
      <c r="AK4" s="134">
        <f>'C1 · Capital Humain'!AK8</f>
        <v/>
      </c>
      <c r="AL4" s="134">
        <f>'C1 · Capital Humain'!AL8</f>
        <v/>
      </c>
      <c r="AM4" s="134">
        <f>'C1 · Capital Humain'!AM8</f>
        <v/>
      </c>
    </row>
    <row r="5">
      <c r="B5" s="133" t="inlineStr">
        <is>
          <t>kpi.rh.fte_gap</t>
        </is>
      </c>
      <c r="C5" s="133" t="inlineStr">
        <is>
          <t>LAST</t>
        </is>
      </c>
      <c r="D5" s="134">
        <f>'C1 · Capital Humain'!D9</f>
        <v/>
      </c>
      <c r="E5" s="134">
        <f>'C1 · Capital Humain'!E9</f>
        <v/>
      </c>
      <c r="F5" s="134">
        <f>'C1 · Capital Humain'!F9</f>
        <v/>
      </c>
      <c r="G5" s="134">
        <f>'C1 · Capital Humain'!G9</f>
        <v/>
      </c>
      <c r="H5" s="134">
        <f>'C1 · Capital Humain'!H9</f>
        <v/>
      </c>
      <c r="I5" s="134">
        <f>'C1 · Capital Humain'!I9</f>
        <v/>
      </c>
      <c r="J5" s="134">
        <f>'C1 · Capital Humain'!J9</f>
        <v/>
      </c>
      <c r="K5" s="134">
        <f>'C1 · Capital Humain'!K9</f>
        <v/>
      </c>
      <c r="L5" s="134">
        <f>'C1 · Capital Humain'!L9</f>
        <v/>
      </c>
      <c r="M5" s="134">
        <f>'C1 · Capital Humain'!M9</f>
        <v/>
      </c>
      <c r="N5" s="134">
        <f>'C1 · Capital Humain'!N9</f>
        <v/>
      </c>
      <c r="O5" s="134">
        <f>'C1 · Capital Humain'!O9</f>
        <v/>
      </c>
      <c r="P5" s="134">
        <f>'C1 · Capital Humain'!P9</f>
        <v/>
      </c>
      <c r="Q5" s="134">
        <f>'C1 · Capital Humain'!Q9</f>
        <v/>
      </c>
      <c r="R5" s="134">
        <f>'C1 · Capital Humain'!R9</f>
        <v/>
      </c>
      <c r="S5" s="134">
        <f>'C1 · Capital Humain'!S9</f>
        <v/>
      </c>
      <c r="T5" s="134">
        <f>'C1 · Capital Humain'!T9</f>
        <v/>
      </c>
      <c r="U5" s="134">
        <f>'C1 · Capital Humain'!U9</f>
        <v/>
      </c>
      <c r="V5" s="134">
        <f>'C1 · Capital Humain'!V9</f>
        <v/>
      </c>
      <c r="W5" s="134">
        <f>'C1 · Capital Humain'!W9</f>
        <v/>
      </c>
      <c r="X5" s="134">
        <f>'C1 · Capital Humain'!X9</f>
        <v/>
      </c>
      <c r="Y5" s="134">
        <f>'C1 · Capital Humain'!Y9</f>
        <v/>
      </c>
      <c r="Z5" s="134">
        <f>'C1 · Capital Humain'!Z9</f>
        <v/>
      </c>
      <c r="AA5" s="134">
        <f>'C1 · Capital Humain'!AA9</f>
        <v/>
      </c>
      <c r="AB5" s="134">
        <f>'C1 · Capital Humain'!AB9</f>
        <v/>
      </c>
      <c r="AC5" s="134">
        <f>'C1 · Capital Humain'!AC9</f>
        <v/>
      </c>
      <c r="AD5" s="134">
        <f>'C1 · Capital Humain'!AD9</f>
        <v/>
      </c>
      <c r="AE5" s="134">
        <f>'C1 · Capital Humain'!AE9</f>
        <v/>
      </c>
      <c r="AF5" s="134">
        <f>'C1 · Capital Humain'!AF9</f>
        <v/>
      </c>
      <c r="AG5" s="134">
        <f>'C1 · Capital Humain'!AG9</f>
        <v/>
      </c>
      <c r="AH5" s="134">
        <f>'C1 · Capital Humain'!AH9</f>
        <v/>
      </c>
      <c r="AI5" s="134">
        <f>'C1 · Capital Humain'!AI9</f>
        <v/>
      </c>
      <c r="AJ5" s="134">
        <f>'C1 · Capital Humain'!AJ9</f>
        <v/>
      </c>
      <c r="AK5" s="134">
        <f>'C1 · Capital Humain'!AK9</f>
        <v/>
      </c>
      <c r="AL5" s="134">
        <f>'C1 · Capital Humain'!AL9</f>
        <v/>
      </c>
      <c r="AM5" s="134">
        <f>'C1 · Capital Humain'!AM9</f>
        <v/>
      </c>
    </row>
    <row r="6">
      <c r="B6" s="133" t="inlineStr">
        <is>
          <t>kpi.rh.open_pos</t>
        </is>
      </c>
      <c r="C6" s="133" t="inlineStr">
        <is>
          <t>LAST</t>
        </is>
      </c>
      <c r="D6" s="134">
        <f>'C1 · Capital Humain'!D10</f>
        <v/>
      </c>
      <c r="E6" s="134">
        <f>'C1 · Capital Humain'!E10</f>
        <v/>
      </c>
      <c r="F6" s="134">
        <f>'C1 · Capital Humain'!F10</f>
        <v/>
      </c>
      <c r="G6" s="134">
        <f>'C1 · Capital Humain'!G10</f>
        <v/>
      </c>
      <c r="H6" s="134">
        <f>'C1 · Capital Humain'!H10</f>
        <v/>
      </c>
      <c r="I6" s="134">
        <f>'C1 · Capital Humain'!I10</f>
        <v/>
      </c>
      <c r="J6" s="134">
        <f>'C1 · Capital Humain'!J10</f>
        <v/>
      </c>
      <c r="K6" s="134">
        <f>'C1 · Capital Humain'!K10</f>
        <v/>
      </c>
      <c r="L6" s="134">
        <f>'C1 · Capital Humain'!L10</f>
        <v/>
      </c>
      <c r="M6" s="134">
        <f>'C1 · Capital Humain'!M10</f>
        <v/>
      </c>
      <c r="N6" s="134">
        <f>'C1 · Capital Humain'!N10</f>
        <v/>
      </c>
      <c r="O6" s="134">
        <f>'C1 · Capital Humain'!O10</f>
        <v/>
      </c>
      <c r="P6" s="134">
        <f>'C1 · Capital Humain'!P10</f>
        <v/>
      </c>
      <c r="Q6" s="134">
        <f>'C1 · Capital Humain'!Q10</f>
        <v/>
      </c>
      <c r="R6" s="134">
        <f>'C1 · Capital Humain'!R10</f>
        <v/>
      </c>
      <c r="S6" s="134">
        <f>'C1 · Capital Humain'!S10</f>
        <v/>
      </c>
      <c r="T6" s="134">
        <f>'C1 · Capital Humain'!T10</f>
        <v/>
      </c>
      <c r="U6" s="134">
        <f>'C1 · Capital Humain'!U10</f>
        <v/>
      </c>
      <c r="V6" s="134">
        <f>'C1 · Capital Humain'!V10</f>
        <v/>
      </c>
      <c r="W6" s="134">
        <f>'C1 · Capital Humain'!W10</f>
        <v/>
      </c>
      <c r="X6" s="134">
        <f>'C1 · Capital Humain'!X10</f>
        <v/>
      </c>
      <c r="Y6" s="134">
        <f>'C1 · Capital Humain'!Y10</f>
        <v/>
      </c>
      <c r="Z6" s="134">
        <f>'C1 · Capital Humain'!Z10</f>
        <v/>
      </c>
      <c r="AA6" s="134">
        <f>'C1 · Capital Humain'!AA10</f>
        <v/>
      </c>
      <c r="AB6" s="134">
        <f>'C1 · Capital Humain'!AB10</f>
        <v/>
      </c>
      <c r="AC6" s="134">
        <f>'C1 · Capital Humain'!AC10</f>
        <v/>
      </c>
      <c r="AD6" s="134">
        <f>'C1 · Capital Humain'!AD10</f>
        <v/>
      </c>
      <c r="AE6" s="134">
        <f>'C1 · Capital Humain'!AE10</f>
        <v/>
      </c>
      <c r="AF6" s="134">
        <f>'C1 · Capital Humain'!AF10</f>
        <v/>
      </c>
      <c r="AG6" s="134">
        <f>'C1 · Capital Humain'!AG10</f>
        <v/>
      </c>
      <c r="AH6" s="134">
        <f>'C1 · Capital Humain'!AH10</f>
        <v/>
      </c>
      <c r="AI6" s="134">
        <f>'C1 · Capital Humain'!AI10</f>
        <v/>
      </c>
      <c r="AJ6" s="134">
        <f>'C1 · Capital Humain'!AJ10</f>
        <v/>
      </c>
      <c r="AK6" s="134">
        <f>'C1 · Capital Humain'!AK10</f>
        <v/>
      </c>
      <c r="AL6" s="134">
        <f>'C1 · Capital Humain'!AL10</f>
        <v/>
      </c>
      <c r="AM6" s="134">
        <f>'C1 · Capital Humain'!AM10</f>
        <v/>
      </c>
    </row>
    <row r="7">
      <c r="B7" s="133" t="inlineStr">
        <is>
          <t>kpi.rh.ttf</t>
        </is>
      </c>
      <c r="C7" s="133" t="inlineStr">
        <is>
          <t>AVG</t>
        </is>
      </c>
      <c r="D7" s="134">
        <f>'C1 · Capital Humain'!D11</f>
        <v/>
      </c>
      <c r="E7" s="134">
        <f>'C1 · Capital Humain'!E11</f>
        <v/>
      </c>
      <c r="F7" s="134">
        <f>'C1 · Capital Humain'!F11</f>
        <v/>
      </c>
      <c r="G7" s="134">
        <f>'C1 · Capital Humain'!G11</f>
        <v/>
      </c>
      <c r="H7" s="134">
        <f>'C1 · Capital Humain'!H11</f>
        <v/>
      </c>
      <c r="I7" s="134">
        <f>'C1 · Capital Humain'!I11</f>
        <v/>
      </c>
      <c r="J7" s="134">
        <f>'C1 · Capital Humain'!J11</f>
        <v/>
      </c>
      <c r="K7" s="134">
        <f>'C1 · Capital Humain'!K11</f>
        <v/>
      </c>
      <c r="L7" s="134">
        <f>'C1 · Capital Humain'!L11</f>
        <v/>
      </c>
      <c r="M7" s="134">
        <f>'C1 · Capital Humain'!M11</f>
        <v/>
      </c>
      <c r="N7" s="134">
        <f>'C1 · Capital Humain'!N11</f>
        <v/>
      </c>
      <c r="O7" s="134">
        <f>'C1 · Capital Humain'!O11</f>
        <v/>
      </c>
      <c r="P7" s="134">
        <f>'C1 · Capital Humain'!P11</f>
        <v/>
      </c>
      <c r="Q7" s="134">
        <f>'C1 · Capital Humain'!Q11</f>
        <v/>
      </c>
      <c r="R7" s="134">
        <f>'C1 · Capital Humain'!R11</f>
        <v/>
      </c>
      <c r="S7" s="134">
        <f>'C1 · Capital Humain'!S11</f>
        <v/>
      </c>
      <c r="T7" s="134">
        <f>'C1 · Capital Humain'!T11</f>
        <v/>
      </c>
      <c r="U7" s="134">
        <f>'C1 · Capital Humain'!U11</f>
        <v/>
      </c>
      <c r="V7" s="134">
        <f>'C1 · Capital Humain'!V11</f>
        <v/>
      </c>
      <c r="W7" s="134">
        <f>'C1 · Capital Humain'!W11</f>
        <v/>
      </c>
      <c r="X7" s="134">
        <f>'C1 · Capital Humain'!X11</f>
        <v/>
      </c>
      <c r="Y7" s="134">
        <f>'C1 · Capital Humain'!Y11</f>
        <v/>
      </c>
      <c r="Z7" s="134">
        <f>'C1 · Capital Humain'!Z11</f>
        <v/>
      </c>
      <c r="AA7" s="134">
        <f>'C1 · Capital Humain'!AA11</f>
        <v/>
      </c>
      <c r="AB7" s="134">
        <f>'C1 · Capital Humain'!AB11</f>
        <v/>
      </c>
      <c r="AC7" s="134">
        <f>'C1 · Capital Humain'!AC11</f>
        <v/>
      </c>
      <c r="AD7" s="134">
        <f>'C1 · Capital Humain'!AD11</f>
        <v/>
      </c>
      <c r="AE7" s="134">
        <f>'C1 · Capital Humain'!AE11</f>
        <v/>
      </c>
      <c r="AF7" s="134">
        <f>'C1 · Capital Humain'!AF11</f>
        <v/>
      </c>
      <c r="AG7" s="134">
        <f>'C1 · Capital Humain'!AG11</f>
        <v/>
      </c>
      <c r="AH7" s="134">
        <f>'C1 · Capital Humain'!AH11</f>
        <v/>
      </c>
      <c r="AI7" s="134">
        <f>'C1 · Capital Humain'!AI11</f>
        <v/>
      </c>
      <c r="AJ7" s="134">
        <f>'C1 · Capital Humain'!AJ11</f>
        <v/>
      </c>
      <c r="AK7" s="134">
        <f>'C1 · Capital Humain'!AK11</f>
        <v/>
      </c>
      <c r="AL7" s="134">
        <f>'C1 · Capital Humain'!AL11</f>
        <v/>
      </c>
      <c r="AM7" s="134">
        <f>'C1 · Capital Humain'!AM11</f>
        <v/>
      </c>
    </row>
    <row r="8">
      <c r="B8" s="133" t="inlineStr">
        <is>
          <t>kpi.rh.payroll</t>
        </is>
      </c>
      <c r="C8" s="133" t="inlineStr">
        <is>
          <t>SUM</t>
        </is>
      </c>
      <c r="D8" s="134">
        <f>'C1 · Capital Humain'!D12</f>
        <v/>
      </c>
      <c r="E8" s="134">
        <f>'C1 · Capital Humain'!E12</f>
        <v/>
      </c>
      <c r="F8" s="134">
        <f>'C1 · Capital Humain'!F12</f>
        <v/>
      </c>
      <c r="G8" s="134">
        <f>'C1 · Capital Humain'!G12</f>
        <v/>
      </c>
      <c r="H8" s="134">
        <f>'C1 · Capital Humain'!H12</f>
        <v/>
      </c>
      <c r="I8" s="134">
        <f>'C1 · Capital Humain'!I12</f>
        <v/>
      </c>
      <c r="J8" s="134">
        <f>'C1 · Capital Humain'!J12</f>
        <v/>
      </c>
      <c r="K8" s="134">
        <f>'C1 · Capital Humain'!K12</f>
        <v/>
      </c>
      <c r="L8" s="134">
        <f>'C1 · Capital Humain'!L12</f>
        <v/>
      </c>
      <c r="M8" s="134">
        <f>'C1 · Capital Humain'!M12</f>
        <v/>
      </c>
      <c r="N8" s="134">
        <f>'C1 · Capital Humain'!N12</f>
        <v/>
      </c>
      <c r="O8" s="134">
        <f>'C1 · Capital Humain'!O12</f>
        <v/>
      </c>
      <c r="P8" s="134">
        <f>'C1 · Capital Humain'!P12</f>
        <v/>
      </c>
      <c r="Q8" s="134">
        <f>'C1 · Capital Humain'!Q12</f>
        <v/>
      </c>
      <c r="R8" s="134">
        <f>'C1 · Capital Humain'!R12</f>
        <v/>
      </c>
      <c r="S8" s="134">
        <f>'C1 · Capital Humain'!S12</f>
        <v/>
      </c>
      <c r="T8" s="134">
        <f>'C1 · Capital Humain'!T12</f>
        <v/>
      </c>
      <c r="U8" s="134">
        <f>'C1 · Capital Humain'!U12</f>
        <v/>
      </c>
      <c r="V8" s="134">
        <f>'C1 · Capital Humain'!V12</f>
        <v/>
      </c>
      <c r="W8" s="134">
        <f>'C1 · Capital Humain'!W12</f>
        <v/>
      </c>
      <c r="X8" s="134">
        <f>'C1 · Capital Humain'!X12</f>
        <v/>
      </c>
      <c r="Y8" s="134">
        <f>'C1 · Capital Humain'!Y12</f>
        <v/>
      </c>
      <c r="Z8" s="134">
        <f>'C1 · Capital Humain'!Z12</f>
        <v/>
      </c>
      <c r="AA8" s="134">
        <f>'C1 · Capital Humain'!AA12</f>
        <v/>
      </c>
      <c r="AB8" s="134">
        <f>'C1 · Capital Humain'!AB12</f>
        <v/>
      </c>
      <c r="AC8" s="134">
        <f>'C1 · Capital Humain'!AC12</f>
        <v/>
      </c>
      <c r="AD8" s="134">
        <f>'C1 · Capital Humain'!AD12</f>
        <v/>
      </c>
      <c r="AE8" s="134">
        <f>'C1 · Capital Humain'!AE12</f>
        <v/>
      </c>
      <c r="AF8" s="134">
        <f>'C1 · Capital Humain'!AF12</f>
        <v/>
      </c>
      <c r="AG8" s="134">
        <f>'C1 · Capital Humain'!AG12</f>
        <v/>
      </c>
      <c r="AH8" s="134">
        <f>'C1 · Capital Humain'!AH12</f>
        <v/>
      </c>
      <c r="AI8" s="134">
        <f>'C1 · Capital Humain'!AI12</f>
        <v/>
      </c>
      <c r="AJ8" s="134">
        <f>'C1 · Capital Humain'!AJ12</f>
        <v/>
      </c>
      <c r="AK8" s="134">
        <f>'C1 · Capital Humain'!AK12</f>
        <v/>
      </c>
      <c r="AL8" s="134">
        <f>'C1 · Capital Humain'!AL12</f>
        <v/>
      </c>
      <c r="AM8" s="134">
        <f>'C1 · Capital Humain'!AM12</f>
        <v/>
      </c>
    </row>
    <row r="9">
      <c r="B9" s="133" t="inlineStr">
        <is>
          <t>kpi.rh.payroll_var</t>
        </is>
      </c>
      <c r="C9" s="133" t="inlineStr">
        <is>
          <t>RATIO</t>
        </is>
      </c>
      <c r="D9" s="135">
        <f>'C1 · Capital Humain'!D13</f>
        <v/>
      </c>
      <c r="E9" s="135">
        <f>'C1 · Capital Humain'!E13</f>
        <v/>
      </c>
      <c r="F9" s="135">
        <f>'C1 · Capital Humain'!F13</f>
        <v/>
      </c>
      <c r="G9" s="135">
        <f>'C1 · Capital Humain'!G13</f>
        <v/>
      </c>
      <c r="H9" s="135">
        <f>'C1 · Capital Humain'!H13</f>
        <v/>
      </c>
      <c r="I9" s="135">
        <f>'C1 · Capital Humain'!I13</f>
        <v/>
      </c>
      <c r="J9" s="135">
        <f>'C1 · Capital Humain'!J13</f>
        <v/>
      </c>
      <c r="K9" s="135">
        <f>'C1 · Capital Humain'!K13</f>
        <v/>
      </c>
      <c r="L9" s="135">
        <f>'C1 · Capital Humain'!L13</f>
        <v/>
      </c>
      <c r="M9" s="135">
        <f>'C1 · Capital Humain'!M13</f>
        <v/>
      </c>
      <c r="N9" s="135">
        <f>'C1 · Capital Humain'!N13</f>
        <v/>
      </c>
      <c r="O9" s="135">
        <f>'C1 · Capital Humain'!O13</f>
        <v/>
      </c>
      <c r="P9" s="135">
        <f>'C1 · Capital Humain'!P13</f>
        <v/>
      </c>
      <c r="Q9" s="135">
        <f>'C1 · Capital Humain'!Q13</f>
        <v/>
      </c>
      <c r="R9" s="135">
        <f>'C1 · Capital Humain'!R13</f>
        <v/>
      </c>
      <c r="S9" s="135">
        <f>'C1 · Capital Humain'!S13</f>
        <v/>
      </c>
      <c r="T9" s="135">
        <f>'C1 · Capital Humain'!T13</f>
        <v/>
      </c>
      <c r="U9" s="135">
        <f>'C1 · Capital Humain'!U13</f>
        <v/>
      </c>
      <c r="V9" s="135">
        <f>'C1 · Capital Humain'!V13</f>
        <v/>
      </c>
      <c r="W9" s="135">
        <f>'C1 · Capital Humain'!W13</f>
        <v/>
      </c>
      <c r="X9" s="135">
        <f>'C1 · Capital Humain'!X13</f>
        <v/>
      </c>
      <c r="Y9" s="135">
        <f>'C1 · Capital Humain'!Y13</f>
        <v/>
      </c>
      <c r="Z9" s="135">
        <f>'C1 · Capital Humain'!Z13</f>
        <v/>
      </c>
      <c r="AA9" s="135">
        <f>'C1 · Capital Humain'!AA13</f>
        <v/>
      </c>
      <c r="AB9" s="135">
        <f>'C1 · Capital Humain'!AB13</f>
        <v/>
      </c>
      <c r="AC9" s="135">
        <f>'C1 · Capital Humain'!AC13</f>
        <v/>
      </c>
      <c r="AD9" s="135">
        <f>'C1 · Capital Humain'!AD13</f>
        <v/>
      </c>
      <c r="AE9" s="135">
        <f>'C1 · Capital Humain'!AE13</f>
        <v/>
      </c>
      <c r="AF9" s="135">
        <f>'C1 · Capital Humain'!AF13</f>
        <v/>
      </c>
      <c r="AG9" s="135">
        <f>'C1 · Capital Humain'!AG13</f>
        <v/>
      </c>
      <c r="AH9" s="135">
        <f>'C1 · Capital Humain'!AH13</f>
        <v/>
      </c>
      <c r="AI9" s="135">
        <f>'C1 · Capital Humain'!AI13</f>
        <v/>
      </c>
      <c r="AJ9" s="135">
        <f>'C1 · Capital Humain'!AJ13</f>
        <v/>
      </c>
      <c r="AK9" s="135">
        <f>'C1 · Capital Humain'!AK13</f>
        <v/>
      </c>
      <c r="AL9" s="135">
        <f>'C1 · Capital Humain'!AL13</f>
        <v/>
      </c>
      <c r="AM9" s="135">
        <f>'C1 · Capital Humain'!AM13</f>
        <v/>
      </c>
    </row>
    <row r="10">
      <c r="B10" s="133" t="inlineStr">
        <is>
          <t>kpi.rh.turnover</t>
        </is>
      </c>
      <c r="C10" s="133" t="inlineStr">
        <is>
          <t>AVG</t>
        </is>
      </c>
      <c r="D10" s="135">
        <f>'C1 · Capital Humain'!D14</f>
        <v/>
      </c>
      <c r="E10" s="135">
        <f>'C1 · Capital Humain'!E14</f>
        <v/>
      </c>
      <c r="F10" s="135">
        <f>'C1 · Capital Humain'!F14</f>
        <v/>
      </c>
      <c r="G10" s="135">
        <f>'C1 · Capital Humain'!G14</f>
        <v/>
      </c>
      <c r="H10" s="135">
        <f>'C1 · Capital Humain'!H14</f>
        <v/>
      </c>
      <c r="I10" s="135">
        <f>'C1 · Capital Humain'!I14</f>
        <v/>
      </c>
      <c r="J10" s="135">
        <f>'C1 · Capital Humain'!J14</f>
        <v/>
      </c>
      <c r="K10" s="135">
        <f>'C1 · Capital Humain'!K14</f>
        <v/>
      </c>
      <c r="L10" s="135">
        <f>'C1 · Capital Humain'!L14</f>
        <v/>
      </c>
      <c r="M10" s="135">
        <f>'C1 · Capital Humain'!M14</f>
        <v/>
      </c>
      <c r="N10" s="135">
        <f>'C1 · Capital Humain'!N14</f>
        <v/>
      </c>
      <c r="O10" s="135">
        <f>'C1 · Capital Humain'!O14</f>
        <v/>
      </c>
      <c r="P10" s="135">
        <f>'C1 · Capital Humain'!P14</f>
        <v/>
      </c>
      <c r="Q10" s="135">
        <f>'C1 · Capital Humain'!Q14</f>
        <v/>
      </c>
      <c r="R10" s="135">
        <f>'C1 · Capital Humain'!R14</f>
        <v/>
      </c>
      <c r="S10" s="135">
        <f>'C1 · Capital Humain'!S14</f>
        <v/>
      </c>
      <c r="T10" s="135">
        <f>'C1 · Capital Humain'!T14</f>
        <v/>
      </c>
      <c r="U10" s="135">
        <f>'C1 · Capital Humain'!U14</f>
        <v/>
      </c>
      <c r="V10" s="135">
        <f>'C1 · Capital Humain'!V14</f>
        <v/>
      </c>
      <c r="W10" s="135">
        <f>'C1 · Capital Humain'!W14</f>
        <v/>
      </c>
      <c r="X10" s="135">
        <f>'C1 · Capital Humain'!X14</f>
        <v/>
      </c>
      <c r="Y10" s="135">
        <f>'C1 · Capital Humain'!Y14</f>
        <v/>
      </c>
      <c r="Z10" s="135">
        <f>'C1 · Capital Humain'!Z14</f>
        <v/>
      </c>
      <c r="AA10" s="135">
        <f>'C1 · Capital Humain'!AA14</f>
        <v/>
      </c>
      <c r="AB10" s="135">
        <f>'C1 · Capital Humain'!AB14</f>
        <v/>
      </c>
      <c r="AC10" s="135">
        <f>'C1 · Capital Humain'!AC14</f>
        <v/>
      </c>
      <c r="AD10" s="135">
        <f>'C1 · Capital Humain'!AD14</f>
        <v/>
      </c>
      <c r="AE10" s="135">
        <f>'C1 · Capital Humain'!AE14</f>
        <v/>
      </c>
      <c r="AF10" s="135">
        <f>'C1 · Capital Humain'!AF14</f>
        <v/>
      </c>
      <c r="AG10" s="135">
        <f>'C1 · Capital Humain'!AG14</f>
        <v/>
      </c>
      <c r="AH10" s="135">
        <f>'C1 · Capital Humain'!AH14</f>
        <v/>
      </c>
      <c r="AI10" s="135">
        <f>'C1 · Capital Humain'!AI14</f>
        <v/>
      </c>
      <c r="AJ10" s="135">
        <f>'C1 · Capital Humain'!AJ14</f>
        <v/>
      </c>
      <c r="AK10" s="135">
        <f>'C1 · Capital Humain'!AK14</f>
        <v/>
      </c>
      <c r="AL10" s="135">
        <f>'C1 · Capital Humain'!AL14</f>
        <v/>
      </c>
      <c r="AM10" s="135">
        <f>'C1 · Capital Humain'!AM14</f>
        <v/>
      </c>
    </row>
    <row r="11">
      <c r="B11" s="133" t="inlineStr">
        <is>
          <t>kpi.rh.absence</t>
        </is>
      </c>
      <c r="C11" s="133" t="inlineStr">
        <is>
          <t>AVG</t>
        </is>
      </c>
      <c r="D11" s="135">
        <f>'C1 · Capital Humain'!D15</f>
        <v/>
      </c>
      <c r="E11" s="135">
        <f>'C1 · Capital Humain'!E15</f>
        <v/>
      </c>
      <c r="F11" s="135">
        <f>'C1 · Capital Humain'!F15</f>
        <v/>
      </c>
      <c r="G11" s="135">
        <f>'C1 · Capital Humain'!G15</f>
        <v/>
      </c>
      <c r="H11" s="135">
        <f>'C1 · Capital Humain'!H15</f>
        <v/>
      </c>
      <c r="I11" s="135">
        <f>'C1 · Capital Humain'!I15</f>
        <v/>
      </c>
      <c r="J11" s="135">
        <f>'C1 · Capital Humain'!J15</f>
        <v/>
      </c>
      <c r="K11" s="135">
        <f>'C1 · Capital Humain'!K15</f>
        <v/>
      </c>
      <c r="L11" s="135">
        <f>'C1 · Capital Humain'!L15</f>
        <v/>
      </c>
      <c r="M11" s="135">
        <f>'C1 · Capital Humain'!M15</f>
        <v/>
      </c>
      <c r="N11" s="135">
        <f>'C1 · Capital Humain'!N15</f>
        <v/>
      </c>
      <c r="O11" s="135">
        <f>'C1 · Capital Humain'!O15</f>
        <v/>
      </c>
      <c r="P11" s="135">
        <f>'C1 · Capital Humain'!P15</f>
        <v/>
      </c>
      <c r="Q11" s="135">
        <f>'C1 · Capital Humain'!Q15</f>
        <v/>
      </c>
      <c r="R11" s="135">
        <f>'C1 · Capital Humain'!R15</f>
        <v/>
      </c>
      <c r="S11" s="135">
        <f>'C1 · Capital Humain'!S15</f>
        <v/>
      </c>
      <c r="T11" s="135">
        <f>'C1 · Capital Humain'!T15</f>
        <v/>
      </c>
      <c r="U11" s="135">
        <f>'C1 · Capital Humain'!U15</f>
        <v/>
      </c>
      <c r="V11" s="135">
        <f>'C1 · Capital Humain'!V15</f>
        <v/>
      </c>
      <c r="W11" s="135">
        <f>'C1 · Capital Humain'!W15</f>
        <v/>
      </c>
      <c r="X11" s="135">
        <f>'C1 · Capital Humain'!X15</f>
        <v/>
      </c>
      <c r="Y11" s="135">
        <f>'C1 · Capital Humain'!Y15</f>
        <v/>
      </c>
      <c r="Z11" s="135">
        <f>'C1 · Capital Humain'!Z15</f>
        <v/>
      </c>
      <c r="AA11" s="135">
        <f>'C1 · Capital Humain'!AA15</f>
        <v/>
      </c>
      <c r="AB11" s="135">
        <f>'C1 · Capital Humain'!AB15</f>
        <v/>
      </c>
      <c r="AC11" s="135">
        <f>'C1 · Capital Humain'!AC15</f>
        <v/>
      </c>
      <c r="AD11" s="135">
        <f>'C1 · Capital Humain'!AD15</f>
        <v/>
      </c>
      <c r="AE11" s="135">
        <f>'C1 · Capital Humain'!AE15</f>
        <v/>
      </c>
      <c r="AF11" s="135">
        <f>'C1 · Capital Humain'!AF15</f>
        <v/>
      </c>
      <c r="AG11" s="135">
        <f>'C1 · Capital Humain'!AG15</f>
        <v/>
      </c>
      <c r="AH11" s="135">
        <f>'C1 · Capital Humain'!AH15</f>
        <v/>
      </c>
      <c r="AI11" s="135">
        <f>'C1 · Capital Humain'!AI15</f>
        <v/>
      </c>
      <c r="AJ11" s="135">
        <f>'C1 · Capital Humain'!AJ15</f>
        <v/>
      </c>
      <c r="AK11" s="135">
        <f>'C1 · Capital Humain'!AK15</f>
        <v/>
      </c>
      <c r="AL11" s="135">
        <f>'C1 · Capital Humain'!AL15</f>
        <v/>
      </c>
      <c r="AM11" s="135">
        <f>'C1 · Capital Humain'!AM15</f>
        <v/>
      </c>
    </row>
    <row r="12">
      <c r="B12" s="133" t="inlineStr">
        <is>
          <t>kpi.rh.train_hours</t>
        </is>
      </c>
      <c r="C12" s="133" t="inlineStr">
        <is>
          <t>AVG</t>
        </is>
      </c>
      <c r="D12" s="134">
        <f>'C1 · Capital Humain'!D16</f>
        <v/>
      </c>
      <c r="E12" s="134">
        <f>'C1 · Capital Humain'!E16</f>
        <v/>
      </c>
      <c r="F12" s="134">
        <f>'C1 · Capital Humain'!F16</f>
        <v/>
      </c>
      <c r="G12" s="134">
        <f>'C1 · Capital Humain'!G16</f>
        <v/>
      </c>
      <c r="H12" s="134">
        <f>'C1 · Capital Humain'!H16</f>
        <v/>
      </c>
      <c r="I12" s="134">
        <f>'C1 · Capital Humain'!I16</f>
        <v/>
      </c>
      <c r="J12" s="134">
        <f>'C1 · Capital Humain'!J16</f>
        <v/>
      </c>
      <c r="K12" s="134">
        <f>'C1 · Capital Humain'!K16</f>
        <v/>
      </c>
      <c r="L12" s="134">
        <f>'C1 · Capital Humain'!L16</f>
        <v/>
      </c>
      <c r="M12" s="134">
        <f>'C1 · Capital Humain'!M16</f>
        <v/>
      </c>
      <c r="N12" s="134">
        <f>'C1 · Capital Humain'!N16</f>
        <v/>
      </c>
      <c r="O12" s="134">
        <f>'C1 · Capital Humain'!O16</f>
        <v/>
      </c>
      <c r="P12" s="134">
        <f>'C1 · Capital Humain'!P16</f>
        <v/>
      </c>
      <c r="Q12" s="134">
        <f>'C1 · Capital Humain'!Q16</f>
        <v/>
      </c>
      <c r="R12" s="134">
        <f>'C1 · Capital Humain'!R16</f>
        <v/>
      </c>
      <c r="S12" s="134">
        <f>'C1 · Capital Humain'!S16</f>
        <v/>
      </c>
      <c r="T12" s="134">
        <f>'C1 · Capital Humain'!T16</f>
        <v/>
      </c>
      <c r="U12" s="134">
        <f>'C1 · Capital Humain'!U16</f>
        <v/>
      </c>
      <c r="V12" s="134">
        <f>'C1 · Capital Humain'!V16</f>
        <v/>
      </c>
      <c r="W12" s="134">
        <f>'C1 · Capital Humain'!W16</f>
        <v/>
      </c>
      <c r="X12" s="134">
        <f>'C1 · Capital Humain'!X16</f>
        <v/>
      </c>
      <c r="Y12" s="134">
        <f>'C1 · Capital Humain'!Y16</f>
        <v/>
      </c>
      <c r="Z12" s="134">
        <f>'C1 · Capital Humain'!Z16</f>
        <v/>
      </c>
      <c r="AA12" s="134">
        <f>'C1 · Capital Humain'!AA16</f>
        <v/>
      </c>
      <c r="AB12" s="134">
        <f>'C1 · Capital Humain'!AB16</f>
        <v/>
      </c>
      <c r="AC12" s="134">
        <f>'C1 · Capital Humain'!AC16</f>
        <v/>
      </c>
      <c r="AD12" s="134">
        <f>'C1 · Capital Humain'!AD16</f>
        <v/>
      </c>
      <c r="AE12" s="134">
        <f>'C1 · Capital Humain'!AE16</f>
        <v/>
      </c>
      <c r="AF12" s="134">
        <f>'C1 · Capital Humain'!AF16</f>
        <v/>
      </c>
      <c r="AG12" s="134">
        <f>'C1 · Capital Humain'!AG16</f>
        <v/>
      </c>
      <c r="AH12" s="134">
        <f>'C1 · Capital Humain'!AH16</f>
        <v/>
      </c>
      <c r="AI12" s="134">
        <f>'C1 · Capital Humain'!AI16</f>
        <v/>
      </c>
      <c r="AJ12" s="134">
        <f>'C1 · Capital Humain'!AJ16</f>
        <v/>
      </c>
      <c r="AK12" s="134">
        <f>'C1 · Capital Humain'!AK16</f>
        <v/>
      </c>
      <c r="AL12" s="134">
        <f>'C1 · Capital Humain'!AL16</f>
        <v/>
      </c>
      <c r="AM12" s="134">
        <f>'C1 · Capital Humain'!AM16</f>
        <v/>
      </c>
    </row>
    <row r="13">
      <c r="B13" s="133" t="inlineStr">
        <is>
          <t>kpi.rh.train_cover</t>
        </is>
      </c>
      <c r="C13" s="133" t="inlineStr">
        <is>
          <t>AVG</t>
        </is>
      </c>
      <c r="D13" s="135">
        <f>'C1 · Capital Humain'!D17</f>
        <v/>
      </c>
      <c r="E13" s="135">
        <f>'C1 · Capital Humain'!E17</f>
        <v/>
      </c>
      <c r="F13" s="135">
        <f>'C1 · Capital Humain'!F17</f>
        <v/>
      </c>
      <c r="G13" s="135">
        <f>'C1 · Capital Humain'!G17</f>
        <v/>
      </c>
      <c r="H13" s="135">
        <f>'C1 · Capital Humain'!H17</f>
        <v/>
      </c>
      <c r="I13" s="135">
        <f>'C1 · Capital Humain'!I17</f>
        <v/>
      </c>
      <c r="J13" s="135">
        <f>'C1 · Capital Humain'!J17</f>
        <v/>
      </c>
      <c r="K13" s="135">
        <f>'C1 · Capital Humain'!K17</f>
        <v/>
      </c>
      <c r="L13" s="135">
        <f>'C1 · Capital Humain'!L17</f>
        <v/>
      </c>
      <c r="M13" s="135">
        <f>'C1 · Capital Humain'!M17</f>
        <v/>
      </c>
      <c r="N13" s="135">
        <f>'C1 · Capital Humain'!N17</f>
        <v/>
      </c>
      <c r="O13" s="135">
        <f>'C1 · Capital Humain'!O17</f>
        <v/>
      </c>
      <c r="P13" s="135">
        <f>'C1 · Capital Humain'!P17</f>
        <v/>
      </c>
      <c r="Q13" s="135">
        <f>'C1 · Capital Humain'!Q17</f>
        <v/>
      </c>
      <c r="R13" s="135">
        <f>'C1 · Capital Humain'!R17</f>
        <v/>
      </c>
      <c r="S13" s="135">
        <f>'C1 · Capital Humain'!S17</f>
        <v/>
      </c>
      <c r="T13" s="135">
        <f>'C1 · Capital Humain'!T17</f>
        <v/>
      </c>
      <c r="U13" s="135">
        <f>'C1 · Capital Humain'!U17</f>
        <v/>
      </c>
      <c r="V13" s="135">
        <f>'C1 · Capital Humain'!V17</f>
        <v/>
      </c>
      <c r="W13" s="135">
        <f>'C1 · Capital Humain'!W17</f>
        <v/>
      </c>
      <c r="X13" s="135">
        <f>'C1 · Capital Humain'!X17</f>
        <v/>
      </c>
      <c r="Y13" s="135">
        <f>'C1 · Capital Humain'!Y17</f>
        <v/>
      </c>
      <c r="Z13" s="135">
        <f>'C1 · Capital Humain'!Z17</f>
        <v/>
      </c>
      <c r="AA13" s="135">
        <f>'C1 · Capital Humain'!AA17</f>
        <v/>
      </c>
      <c r="AB13" s="135">
        <f>'C1 · Capital Humain'!AB17</f>
        <v/>
      </c>
      <c r="AC13" s="135">
        <f>'C1 · Capital Humain'!AC17</f>
        <v/>
      </c>
      <c r="AD13" s="135">
        <f>'C1 · Capital Humain'!AD17</f>
        <v/>
      </c>
      <c r="AE13" s="135">
        <f>'C1 · Capital Humain'!AE17</f>
        <v/>
      </c>
      <c r="AF13" s="135">
        <f>'C1 · Capital Humain'!AF17</f>
        <v/>
      </c>
      <c r="AG13" s="135">
        <f>'C1 · Capital Humain'!AG17</f>
        <v/>
      </c>
      <c r="AH13" s="135">
        <f>'C1 · Capital Humain'!AH17</f>
        <v/>
      </c>
      <c r="AI13" s="135">
        <f>'C1 · Capital Humain'!AI17</f>
        <v/>
      </c>
      <c r="AJ13" s="135">
        <f>'C1 · Capital Humain'!AJ17</f>
        <v/>
      </c>
      <c r="AK13" s="135">
        <f>'C1 · Capital Humain'!AK17</f>
        <v/>
      </c>
      <c r="AL13" s="135">
        <f>'C1 · Capital Humain'!AL17</f>
        <v/>
      </c>
      <c r="AM13" s="135">
        <f>'C1 · Capital Humain'!AM17</f>
        <v/>
      </c>
    </row>
    <row r="14">
      <c r="B14" s="133" t="inlineStr">
        <is>
          <t>kpi.lease.occ_gla</t>
        </is>
      </c>
      <c r="C14" s="133" t="inlineStr">
        <is>
          <t>AVG</t>
        </is>
      </c>
      <c r="D14" s="135">
        <f>'C2 · Lease'!D8</f>
        <v/>
      </c>
      <c r="E14" s="135">
        <f>'C2 · Lease'!E8</f>
        <v/>
      </c>
      <c r="F14" s="135">
        <f>'C2 · Lease'!F8</f>
        <v/>
      </c>
      <c r="G14" s="135">
        <f>'C2 · Lease'!G8</f>
        <v/>
      </c>
      <c r="H14" s="135">
        <f>'C2 · Lease'!H8</f>
        <v/>
      </c>
      <c r="I14" s="135">
        <f>'C2 · Lease'!I8</f>
        <v/>
      </c>
      <c r="J14" s="135">
        <f>'C2 · Lease'!J8</f>
        <v/>
      </c>
      <c r="K14" s="135">
        <f>'C2 · Lease'!K8</f>
        <v/>
      </c>
      <c r="L14" s="135">
        <f>'C2 · Lease'!L8</f>
        <v/>
      </c>
      <c r="M14" s="135">
        <f>'C2 · Lease'!M8</f>
        <v/>
      </c>
      <c r="N14" s="135">
        <f>'C2 · Lease'!N8</f>
        <v/>
      </c>
      <c r="O14" s="135">
        <f>'C2 · Lease'!O8</f>
        <v/>
      </c>
      <c r="P14" s="135">
        <f>'C2 · Lease'!P8</f>
        <v/>
      </c>
      <c r="Q14" s="135">
        <f>'C2 · Lease'!Q8</f>
        <v/>
      </c>
      <c r="R14" s="135">
        <f>'C2 · Lease'!R8</f>
        <v/>
      </c>
      <c r="S14" s="135">
        <f>'C2 · Lease'!S8</f>
        <v/>
      </c>
      <c r="T14" s="135">
        <f>'C2 · Lease'!T8</f>
        <v/>
      </c>
      <c r="U14" s="135">
        <f>'C2 · Lease'!U8</f>
        <v/>
      </c>
      <c r="V14" s="135">
        <f>'C2 · Lease'!V8</f>
        <v/>
      </c>
      <c r="W14" s="135">
        <f>'C2 · Lease'!W8</f>
        <v/>
      </c>
      <c r="X14" s="135">
        <f>'C2 · Lease'!X8</f>
        <v/>
      </c>
      <c r="Y14" s="135">
        <f>'C2 · Lease'!Y8</f>
        <v/>
      </c>
      <c r="Z14" s="135">
        <f>'C2 · Lease'!Z8</f>
        <v/>
      </c>
      <c r="AA14" s="135">
        <f>'C2 · Lease'!AA8</f>
        <v/>
      </c>
      <c r="AB14" s="135">
        <f>'C2 · Lease'!AB8</f>
        <v/>
      </c>
      <c r="AC14" s="135">
        <f>'C2 · Lease'!AC8</f>
        <v/>
      </c>
      <c r="AD14" s="135">
        <f>'C2 · Lease'!AD8</f>
        <v/>
      </c>
      <c r="AE14" s="135">
        <f>'C2 · Lease'!AE8</f>
        <v/>
      </c>
      <c r="AF14" s="135">
        <f>'C2 · Lease'!AF8</f>
        <v/>
      </c>
      <c r="AG14" s="135">
        <f>'C2 · Lease'!AG8</f>
        <v/>
      </c>
      <c r="AH14" s="135">
        <f>'C2 · Lease'!AH8</f>
        <v/>
      </c>
      <c r="AI14" s="135">
        <f>'C2 · Lease'!AI8</f>
        <v/>
      </c>
      <c r="AJ14" s="135">
        <f>'C2 · Lease'!AJ8</f>
        <v/>
      </c>
      <c r="AK14" s="135">
        <f>'C2 · Lease'!AK8</f>
        <v/>
      </c>
      <c r="AL14" s="135">
        <f>'C2 · Lease'!AL8</f>
        <v/>
      </c>
      <c r="AM14" s="135">
        <f>'C2 · Lease'!AM8</f>
        <v/>
      </c>
    </row>
    <row r="15">
      <c r="B15" s="133" t="inlineStr">
        <is>
          <t>kpi.lease.occ_unit</t>
        </is>
      </c>
      <c r="C15" s="133" t="inlineStr">
        <is>
          <t>AVG</t>
        </is>
      </c>
      <c r="D15" s="135">
        <f>'C2 · Lease'!D9</f>
        <v/>
      </c>
      <c r="E15" s="135">
        <f>'C2 · Lease'!E9</f>
        <v/>
      </c>
      <c r="F15" s="135">
        <f>'C2 · Lease'!F9</f>
        <v/>
      </c>
      <c r="G15" s="135">
        <f>'C2 · Lease'!G9</f>
        <v/>
      </c>
      <c r="H15" s="135">
        <f>'C2 · Lease'!H9</f>
        <v/>
      </c>
      <c r="I15" s="135">
        <f>'C2 · Lease'!I9</f>
        <v/>
      </c>
      <c r="J15" s="135">
        <f>'C2 · Lease'!J9</f>
        <v/>
      </c>
      <c r="K15" s="135">
        <f>'C2 · Lease'!K9</f>
        <v/>
      </c>
      <c r="L15" s="135">
        <f>'C2 · Lease'!L9</f>
        <v/>
      </c>
      <c r="M15" s="135">
        <f>'C2 · Lease'!M9</f>
        <v/>
      </c>
      <c r="N15" s="135">
        <f>'C2 · Lease'!N9</f>
        <v/>
      </c>
      <c r="O15" s="135">
        <f>'C2 · Lease'!O9</f>
        <v/>
      </c>
      <c r="P15" s="135">
        <f>'C2 · Lease'!P9</f>
        <v/>
      </c>
      <c r="Q15" s="135">
        <f>'C2 · Lease'!Q9</f>
        <v/>
      </c>
      <c r="R15" s="135">
        <f>'C2 · Lease'!R9</f>
        <v/>
      </c>
      <c r="S15" s="135">
        <f>'C2 · Lease'!S9</f>
        <v/>
      </c>
      <c r="T15" s="135">
        <f>'C2 · Lease'!T9</f>
        <v/>
      </c>
      <c r="U15" s="135">
        <f>'C2 · Lease'!U9</f>
        <v/>
      </c>
      <c r="V15" s="135">
        <f>'C2 · Lease'!V9</f>
        <v/>
      </c>
      <c r="W15" s="135">
        <f>'C2 · Lease'!W9</f>
        <v/>
      </c>
      <c r="X15" s="135">
        <f>'C2 · Lease'!X9</f>
        <v/>
      </c>
      <c r="Y15" s="135">
        <f>'C2 · Lease'!Y9</f>
        <v/>
      </c>
      <c r="Z15" s="135">
        <f>'C2 · Lease'!Z9</f>
        <v/>
      </c>
      <c r="AA15" s="135">
        <f>'C2 · Lease'!AA9</f>
        <v/>
      </c>
      <c r="AB15" s="135">
        <f>'C2 · Lease'!AB9</f>
        <v/>
      </c>
      <c r="AC15" s="135">
        <f>'C2 · Lease'!AC9</f>
        <v/>
      </c>
      <c r="AD15" s="135">
        <f>'C2 · Lease'!AD9</f>
        <v/>
      </c>
      <c r="AE15" s="135">
        <f>'C2 · Lease'!AE9</f>
        <v/>
      </c>
      <c r="AF15" s="135">
        <f>'C2 · Lease'!AF9</f>
        <v/>
      </c>
      <c r="AG15" s="135">
        <f>'C2 · Lease'!AG9</f>
        <v/>
      </c>
      <c r="AH15" s="135">
        <f>'C2 · Lease'!AH9</f>
        <v/>
      </c>
      <c r="AI15" s="135">
        <f>'C2 · Lease'!AI9</f>
        <v/>
      </c>
      <c r="AJ15" s="135">
        <f>'C2 · Lease'!AJ9</f>
        <v/>
      </c>
      <c r="AK15" s="135">
        <f>'C2 · Lease'!AK9</f>
        <v/>
      </c>
      <c r="AL15" s="135">
        <f>'C2 · Lease'!AL9</f>
        <v/>
      </c>
      <c r="AM15" s="135">
        <f>'C2 · Lease'!AM9</f>
        <v/>
      </c>
    </row>
    <row r="16">
      <c r="B16" s="133" t="inlineStr">
        <is>
          <t>kpi.lease.gla_vacant</t>
        </is>
      </c>
      <c r="C16" s="133" t="inlineStr">
        <is>
          <t>LAST</t>
        </is>
      </c>
      <c r="D16" s="134">
        <f>'C2 · Lease'!D10</f>
        <v/>
      </c>
      <c r="E16" s="134">
        <f>'C2 · Lease'!E10</f>
        <v/>
      </c>
      <c r="F16" s="134">
        <f>'C2 · Lease'!F10</f>
        <v/>
      </c>
      <c r="G16" s="134">
        <f>'C2 · Lease'!G10</f>
        <v/>
      </c>
      <c r="H16" s="134">
        <f>'C2 · Lease'!H10</f>
        <v/>
      </c>
      <c r="I16" s="134">
        <f>'C2 · Lease'!I10</f>
        <v/>
      </c>
      <c r="J16" s="134">
        <f>'C2 · Lease'!J10</f>
        <v/>
      </c>
      <c r="K16" s="134">
        <f>'C2 · Lease'!K10</f>
        <v/>
      </c>
      <c r="L16" s="134">
        <f>'C2 · Lease'!L10</f>
        <v/>
      </c>
      <c r="M16" s="134">
        <f>'C2 · Lease'!M10</f>
        <v/>
      </c>
      <c r="N16" s="134">
        <f>'C2 · Lease'!N10</f>
        <v/>
      </c>
      <c r="O16" s="134">
        <f>'C2 · Lease'!O10</f>
        <v/>
      </c>
      <c r="P16" s="134">
        <f>'C2 · Lease'!P10</f>
        <v/>
      </c>
      <c r="Q16" s="134">
        <f>'C2 · Lease'!Q10</f>
        <v/>
      </c>
      <c r="R16" s="134">
        <f>'C2 · Lease'!R10</f>
        <v/>
      </c>
      <c r="S16" s="134">
        <f>'C2 · Lease'!S10</f>
        <v/>
      </c>
      <c r="T16" s="134">
        <f>'C2 · Lease'!T10</f>
        <v/>
      </c>
      <c r="U16" s="134">
        <f>'C2 · Lease'!U10</f>
        <v/>
      </c>
      <c r="V16" s="134">
        <f>'C2 · Lease'!V10</f>
        <v/>
      </c>
      <c r="W16" s="134">
        <f>'C2 · Lease'!W10</f>
        <v/>
      </c>
      <c r="X16" s="134">
        <f>'C2 · Lease'!X10</f>
        <v/>
      </c>
      <c r="Y16" s="134">
        <f>'C2 · Lease'!Y10</f>
        <v/>
      </c>
      <c r="Z16" s="134">
        <f>'C2 · Lease'!Z10</f>
        <v/>
      </c>
      <c r="AA16" s="134">
        <f>'C2 · Lease'!AA10</f>
        <v/>
      </c>
      <c r="AB16" s="134">
        <f>'C2 · Lease'!AB10</f>
        <v/>
      </c>
      <c r="AC16" s="134">
        <f>'C2 · Lease'!AC10</f>
        <v/>
      </c>
      <c r="AD16" s="134">
        <f>'C2 · Lease'!AD10</f>
        <v/>
      </c>
      <c r="AE16" s="134">
        <f>'C2 · Lease'!AE10</f>
        <v/>
      </c>
      <c r="AF16" s="134">
        <f>'C2 · Lease'!AF10</f>
        <v/>
      </c>
      <c r="AG16" s="134">
        <f>'C2 · Lease'!AG10</f>
        <v/>
      </c>
      <c r="AH16" s="134">
        <f>'C2 · Lease'!AH10</f>
        <v/>
      </c>
      <c r="AI16" s="134">
        <f>'C2 · Lease'!AI10</f>
        <v/>
      </c>
      <c r="AJ16" s="134">
        <f>'C2 · Lease'!AJ10</f>
        <v/>
      </c>
      <c r="AK16" s="134">
        <f>'C2 · Lease'!AK10</f>
        <v/>
      </c>
      <c r="AL16" s="134">
        <f>'C2 · Lease'!AL10</f>
        <v/>
      </c>
      <c r="AM16" s="134">
        <f>'C2 · Lease'!AM10</f>
        <v/>
      </c>
    </row>
    <row r="17">
      <c r="B17" s="133" t="inlineStr">
        <is>
          <t>kpi.lease.ocr</t>
        </is>
      </c>
      <c r="C17" s="133" t="inlineStr">
        <is>
          <t>RATIO</t>
        </is>
      </c>
      <c r="D17" s="135">
        <f>'C2 · Lease'!D11</f>
        <v/>
      </c>
      <c r="E17" s="135">
        <f>'C2 · Lease'!E11</f>
        <v/>
      </c>
      <c r="F17" s="135">
        <f>'C2 · Lease'!F11</f>
        <v/>
      </c>
      <c r="G17" s="135">
        <f>'C2 · Lease'!G11</f>
        <v/>
      </c>
      <c r="H17" s="135">
        <f>'C2 · Lease'!H11</f>
        <v/>
      </c>
      <c r="I17" s="135">
        <f>'C2 · Lease'!I11</f>
        <v/>
      </c>
      <c r="J17" s="135">
        <f>'C2 · Lease'!J11</f>
        <v/>
      </c>
      <c r="K17" s="135">
        <f>'C2 · Lease'!K11</f>
        <v/>
      </c>
      <c r="L17" s="135">
        <f>'C2 · Lease'!L11</f>
        <v/>
      </c>
      <c r="M17" s="135">
        <f>'C2 · Lease'!M11</f>
        <v/>
      </c>
      <c r="N17" s="135">
        <f>'C2 · Lease'!N11</f>
        <v/>
      </c>
      <c r="O17" s="135">
        <f>'C2 · Lease'!O11</f>
        <v/>
      </c>
      <c r="P17" s="135">
        <f>'C2 · Lease'!P11</f>
        <v/>
      </c>
      <c r="Q17" s="135">
        <f>'C2 · Lease'!Q11</f>
        <v/>
      </c>
      <c r="R17" s="135">
        <f>'C2 · Lease'!R11</f>
        <v/>
      </c>
      <c r="S17" s="135">
        <f>'C2 · Lease'!S11</f>
        <v/>
      </c>
      <c r="T17" s="135">
        <f>'C2 · Lease'!T11</f>
        <v/>
      </c>
      <c r="U17" s="135">
        <f>'C2 · Lease'!U11</f>
        <v/>
      </c>
      <c r="V17" s="135">
        <f>'C2 · Lease'!V11</f>
        <v/>
      </c>
      <c r="W17" s="135">
        <f>'C2 · Lease'!W11</f>
        <v/>
      </c>
      <c r="X17" s="135">
        <f>'C2 · Lease'!X11</f>
        <v/>
      </c>
      <c r="Y17" s="135">
        <f>'C2 · Lease'!Y11</f>
        <v/>
      </c>
      <c r="Z17" s="135">
        <f>'C2 · Lease'!Z11</f>
        <v/>
      </c>
      <c r="AA17" s="135">
        <f>'C2 · Lease'!AA11</f>
        <v/>
      </c>
      <c r="AB17" s="135">
        <f>'C2 · Lease'!AB11</f>
        <v/>
      </c>
      <c r="AC17" s="135">
        <f>'C2 · Lease'!AC11</f>
        <v/>
      </c>
      <c r="AD17" s="135">
        <f>'C2 · Lease'!AD11</f>
        <v/>
      </c>
      <c r="AE17" s="135">
        <f>'C2 · Lease'!AE11</f>
        <v/>
      </c>
      <c r="AF17" s="135">
        <f>'C2 · Lease'!AF11</f>
        <v/>
      </c>
      <c r="AG17" s="135">
        <f>'C2 · Lease'!AG11</f>
        <v/>
      </c>
      <c r="AH17" s="135">
        <f>'C2 · Lease'!AH11</f>
        <v/>
      </c>
      <c r="AI17" s="135">
        <f>'C2 · Lease'!AI11</f>
        <v/>
      </c>
      <c r="AJ17" s="135">
        <f>'C2 · Lease'!AJ11</f>
        <v/>
      </c>
      <c r="AK17" s="135">
        <f>'C2 · Lease'!AK11</f>
        <v/>
      </c>
      <c r="AL17" s="135">
        <f>'C2 · Lease'!AL11</f>
        <v/>
      </c>
      <c r="AM17" s="135">
        <f>'C2 · Lease'!AM11</f>
        <v/>
      </c>
    </row>
    <row r="18">
      <c r="B18" s="133" t="inlineStr">
        <is>
          <t>kpi.lease.passing</t>
        </is>
      </c>
      <c r="C18" s="133" t="inlineStr">
        <is>
          <t>LAST</t>
        </is>
      </c>
      <c r="D18" s="134">
        <f>'C2 · Lease'!D12</f>
        <v/>
      </c>
      <c r="E18" s="134">
        <f>'C2 · Lease'!E12</f>
        <v/>
      </c>
      <c r="F18" s="134">
        <f>'C2 · Lease'!F12</f>
        <v/>
      </c>
      <c r="G18" s="134">
        <f>'C2 · Lease'!G12</f>
        <v/>
      </c>
      <c r="H18" s="134">
        <f>'C2 · Lease'!H12</f>
        <v/>
      </c>
      <c r="I18" s="134">
        <f>'C2 · Lease'!I12</f>
        <v/>
      </c>
      <c r="J18" s="134">
        <f>'C2 · Lease'!J12</f>
        <v/>
      </c>
      <c r="K18" s="134">
        <f>'C2 · Lease'!K12</f>
        <v/>
      </c>
      <c r="L18" s="134">
        <f>'C2 · Lease'!L12</f>
        <v/>
      </c>
      <c r="M18" s="134">
        <f>'C2 · Lease'!M12</f>
        <v/>
      </c>
      <c r="N18" s="134">
        <f>'C2 · Lease'!N12</f>
        <v/>
      </c>
      <c r="O18" s="134">
        <f>'C2 · Lease'!O12</f>
        <v/>
      </c>
      <c r="P18" s="134">
        <f>'C2 · Lease'!P12</f>
        <v/>
      </c>
      <c r="Q18" s="134">
        <f>'C2 · Lease'!Q12</f>
        <v/>
      </c>
      <c r="R18" s="134">
        <f>'C2 · Lease'!R12</f>
        <v/>
      </c>
      <c r="S18" s="134">
        <f>'C2 · Lease'!S12</f>
        <v/>
      </c>
      <c r="T18" s="134">
        <f>'C2 · Lease'!T12</f>
        <v/>
      </c>
      <c r="U18" s="134">
        <f>'C2 · Lease'!U12</f>
        <v/>
      </c>
      <c r="V18" s="134">
        <f>'C2 · Lease'!V12</f>
        <v/>
      </c>
      <c r="W18" s="134">
        <f>'C2 · Lease'!W12</f>
        <v/>
      </c>
      <c r="X18" s="134">
        <f>'C2 · Lease'!X12</f>
        <v/>
      </c>
      <c r="Y18" s="134">
        <f>'C2 · Lease'!Y12</f>
        <v/>
      </c>
      <c r="Z18" s="134">
        <f>'C2 · Lease'!Z12</f>
        <v/>
      </c>
      <c r="AA18" s="134">
        <f>'C2 · Lease'!AA12</f>
        <v/>
      </c>
      <c r="AB18" s="134">
        <f>'C2 · Lease'!AB12</f>
        <v/>
      </c>
      <c r="AC18" s="134">
        <f>'C2 · Lease'!AC12</f>
        <v/>
      </c>
      <c r="AD18" s="134">
        <f>'C2 · Lease'!AD12</f>
        <v/>
      </c>
      <c r="AE18" s="134">
        <f>'C2 · Lease'!AE12</f>
        <v/>
      </c>
      <c r="AF18" s="134">
        <f>'C2 · Lease'!AF12</f>
        <v/>
      </c>
      <c r="AG18" s="134">
        <f>'C2 · Lease'!AG12</f>
        <v/>
      </c>
      <c r="AH18" s="134">
        <f>'C2 · Lease'!AH12</f>
        <v/>
      </c>
      <c r="AI18" s="134">
        <f>'C2 · Lease'!AI12</f>
        <v/>
      </c>
      <c r="AJ18" s="134">
        <f>'C2 · Lease'!AJ12</f>
        <v/>
      </c>
      <c r="AK18" s="134">
        <f>'C2 · Lease'!AK12</f>
        <v/>
      </c>
      <c r="AL18" s="134">
        <f>'C2 · Lease'!AL12</f>
        <v/>
      </c>
      <c r="AM18" s="134">
        <f>'C2 · Lease'!AM12</f>
        <v/>
      </c>
    </row>
    <row r="19">
      <c r="B19" s="133" t="inlineStr">
        <is>
          <t>kpi.lease.erv</t>
        </is>
      </c>
      <c r="C19" s="133" t="inlineStr">
        <is>
          <t>LAST</t>
        </is>
      </c>
      <c r="D19" s="134">
        <f>'C2 · Lease'!D13</f>
        <v/>
      </c>
      <c r="E19" s="134">
        <f>'C2 · Lease'!E13</f>
        <v/>
      </c>
      <c r="F19" s="134">
        <f>'C2 · Lease'!F13</f>
        <v/>
      </c>
      <c r="G19" s="134">
        <f>'C2 · Lease'!G13</f>
        <v/>
      </c>
      <c r="H19" s="134">
        <f>'C2 · Lease'!H13</f>
        <v/>
      </c>
      <c r="I19" s="134">
        <f>'C2 · Lease'!I13</f>
        <v/>
      </c>
      <c r="J19" s="134">
        <f>'C2 · Lease'!J13</f>
        <v/>
      </c>
      <c r="K19" s="134">
        <f>'C2 · Lease'!K13</f>
        <v/>
      </c>
      <c r="L19" s="134">
        <f>'C2 · Lease'!L13</f>
        <v/>
      </c>
      <c r="M19" s="134">
        <f>'C2 · Lease'!M13</f>
        <v/>
      </c>
      <c r="N19" s="134">
        <f>'C2 · Lease'!N13</f>
        <v/>
      </c>
      <c r="O19" s="134">
        <f>'C2 · Lease'!O13</f>
        <v/>
      </c>
      <c r="P19" s="134">
        <f>'C2 · Lease'!P13</f>
        <v/>
      </c>
      <c r="Q19" s="134">
        <f>'C2 · Lease'!Q13</f>
        <v/>
      </c>
      <c r="R19" s="134">
        <f>'C2 · Lease'!R13</f>
        <v/>
      </c>
      <c r="S19" s="134">
        <f>'C2 · Lease'!S13</f>
        <v/>
      </c>
      <c r="T19" s="134">
        <f>'C2 · Lease'!T13</f>
        <v/>
      </c>
      <c r="U19" s="134">
        <f>'C2 · Lease'!U13</f>
        <v/>
      </c>
      <c r="V19" s="134">
        <f>'C2 · Lease'!V13</f>
        <v/>
      </c>
      <c r="W19" s="134">
        <f>'C2 · Lease'!W13</f>
        <v/>
      </c>
      <c r="X19" s="134">
        <f>'C2 · Lease'!X13</f>
        <v/>
      </c>
      <c r="Y19" s="134">
        <f>'C2 · Lease'!Y13</f>
        <v/>
      </c>
      <c r="Z19" s="134">
        <f>'C2 · Lease'!Z13</f>
        <v/>
      </c>
      <c r="AA19" s="134">
        <f>'C2 · Lease'!AA13</f>
        <v/>
      </c>
      <c r="AB19" s="134">
        <f>'C2 · Lease'!AB13</f>
        <v/>
      </c>
      <c r="AC19" s="134">
        <f>'C2 · Lease'!AC13</f>
        <v/>
      </c>
      <c r="AD19" s="134">
        <f>'C2 · Lease'!AD13</f>
        <v/>
      </c>
      <c r="AE19" s="134">
        <f>'C2 · Lease'!AE13</f>
        <v/>
      </c>
      <c r="AF19" s="134">
        <f>'C2 · Lease'!AF13</f>
        <v/>
      </c>
      <c r="AG19" s="134">
        <f>'C2 · Lease'!AG13</f>
        <v/>
      </c>
      <c r="AH19" s="134">
        <f>'C2 · Lease'!AH13</f>
        <v/>
      </c>
      <c r="AI19" s="134">
        <f>'C2 · Lease'!AI13</f>
        <v/>
      </c>
      <c r="AJ19" s="134">
        <f>'C2 · Lease'!AJ13</f>
        <v/>
      </c>
      <c r="AK19" s="134">
        <f>'C2 · Lease'!AK13</f>
        <v/>
      </c>
      <c r="AL19" s="134">
        <f>'C2 · Lease'!AL13</f>
        <v/>
      </c>
      <c r="AM19" s="134">
        <f>'C2 · Lease'!AM13</f>
        <v/>
      </c>
    </row>
    <row r="20">
      <c r="B20" s="133" t="inlineStr">
        <is>
          <t>kpi.lease.reversion</t>
        </is>
      </c>
      <c r="C20" s="133" t="inlineStr">
        <is>
          <t>RATIO</t>
        </is>
      </c>
      <c r="D20" s="135">
        <f>'C2 · Lease'!D14</f>
        <v/>
      </c>
      <c r="E20" s="135">
        <f>'C2 · Lease'!E14</f>
        <v/>
      </c>
      <c r="F20" s="135">
        <f>'C2 · Lease'!F14</f>
        <v/>
      </c>
      <c r="G20" s="135">
        <f>'C2 · Lease'!G14</f>
        <v/>
      </c>
      <c r="H20" s="135">
        <f>'C2 · Lease'!H14</f>
        <v/>
      </c>
      <c r="I20" s="135">
        <f>'C2 · Lease'!I14</f>
        <v/>
      </c>
      <c r="J20" s="135">
        <f>'C2 · Lease'!J14</f>
        <v/>
      </c>
      <c r="K20" s="135">
        <f>'C2 · Lease'!K14</f>
        <v/>
      </c>
      <c r="L20" s="135">
        <f>'C2 · Lease'!L14</f>
        <v/>
      </c>
      <c r="M20" s="135">
        <f>'C2 · Lease'!M14</f>
        <v/>
      </c>
      <c r="N20" s="135">
        <f>'C2 · Lease'!N14</f>
        <v/>
      </c>
      <c r="O20" s="135">
        <f>'C2 · Lease'!O14</f>
        <v/>
      </c>
      <c r="P20" s="135">
        <f>'C2 · Lease'!P14</f>
        <v/>
      </c>
      <c r="Q20" s="135">
        <f>'C2 · Lease'!Q14</f>
        <v/>
      </c>
      <c r="R20" s="135">
        <f>'C2 · Lease'!R14</f>
        <v/>
      </c>
      <c r="S20" s="135">
        <f>'C2 · Lease'!S14</f>
        <v/>
      </c>
      <c r="T20" s="135">
        <f>'C2 · Lease'!T14</f>
        <v/>
      </c>
      <c r="U20" s="135">
        <f>'C2 · Lease'!U14</f>
        <v/>
      </c>
      <c r="V20" s="135">
        <f>'C2 · Lease'!V14</f>
        <v/>
      </c>
      <c r="W20" s="135">
        <f>'C2 · Lease'!W14</f>
        <v/>
      </c>
      <c r="X20" s="135">
        <f>'C2 · Lease'!X14</f>
        <v/>
      </c>
      <c r="Y20" s="135">
        <f>'C2 · Lease'!Y14</f>
        <v/>
      </c>
      <c r="Z20" s="135">
        <f>'C2 · Lease'!Z14</f>
        <v/>
      </c>
      <c r="AA20" s="135">
        <f>'C2 · Lease'!AA14</f>
        <v/>
      </c>
      <c r="AB20" s="135">
        <f>'C2 · Lease'!AB14</f>
        <v/>
      </c>
      <c r="AC20" s="135">
        <f>'C2 · Lease'!AC14</f>
        <v/>
      </c>
      <c r="AD20" s="135">
        <f>'C2 · Lease'!AD14</f>
        <v/>
      </c>
      <c r="AE20" s="135">
        <f>'C2 · Lease'!AE14</f>
        <v/>
      </c>
      <c r="AF20" s="135">
        <f>'C2 · Lease'!AF14</f>
        <v/>
      </c>
      <c r="AG20" s="135">
        <f>'C2 · Lease'!AG14</f>
        <v/>
      </c>
      <c r="AH20" s="135">
        <f>'C2 · Lease'!AH14</f>
        <v/>
      </c>
      <c r="AI20" s="135">
        <f>'C2 · Lease'!AI14</f>
        <v/>
      </c>
      <c r="AJ20" s="135">
        <f>'C2 · Lease'!AJ14</f>
        <v/>
      </c>
      <c r="AK20" s="135">
        <f>'C2 · Lease'!AK14</f>
        <v/>
      </c>
      <c r="AL20" s="135">
        <f>'C2 · Lease'!AL14</f>
        <v/>
      </c>
      <c r="AM20" s="135">
        <f>'C2 · Lease'!AM14</f>
        <v/>
      </c>
    </row>
    <row r="21">
      <c r="B21" s="133" t="inlineStr">
        <is>
          <t>kpi.lease.vac_age</t>
        </is>
      </c>
      <c r="C21" s="133" t="inlineStr">
        <is>
          <t>AVG</t>
        </is>
      </c>
      <c r="D21" s="134">
        <f>'C2 · Lease'!D15</f>
        <v/>
      </c>
      <c r="E21" s="134">
        <f>'C2 · Lease'!E15</f>
        <v/>
      </c>
      <c r="F21" s="134">
        <f>'C2 · Lease'!F15</f>
        <v/>
      </c>
      <c r="G21" s="134">
        <f>'C2 · Lease'!G15</f>
        <v/>
      </c>
      <c r="H21" s="134">
        <f>'C2 · Lease'!H15</f>
        <v/>
      </c>
      <c r="I21" s="134">
        <f>'C2 · Lease'!I15</f>
        <v/>
      </c>
      <c r="J21" s="134">
        <f>'C2 · Lease'!J15</f>
        <v/>
      </c>
      <c r="K21" s="134">
        <f>'C2 · Lease'!K15</f>
        <v/>
      </c>
      <c r="L21" s="134">
        <f>'C2 · Lease'!L15</f>
        <v/>
      </c>
      <c r="M21" s="134">
        <f>'C2 · Lease'!M15</f>
        <v/>
      </c>
      <c r="N21" s="134">
        <f>'C2 · Lease'!N15</f>
        <v/>
      </c>
      <c r="O21" s="134">
        <f>'C2 · Lease'!O15</f>
        <v/>
      </c>
      <c r="P21" s="134">
        <f>'C2 · Lease'!P15</f>
        <v/>
      </c>
      <c r="Q21" s="134">
        <f>'C2 · Lease'!Q15</f>
        <v/>
      </c>
      <c r="R21" s="134">
        <f>'C2 · Lease'!R15</f>
        <v/>
      </c>
      <c r="S21" s="134">
        <f>'C2 · Lease'!S15</f>
        <v/>
      </c>
      <c r="T21" s="134">
        <f>'C2 · Lease'!T15</f>
        <v/>
      </c>
      <c r="U21" s="134">
        <f>'C2 · Lease'!U15</f>
        <v/>
      </c>
      <c r="V21" s="134">
        <f>'C2 · Lease'!V15</f>
        <v/>
      </c>
      <c r="W21" s="134">
        <f>'C2 · Lease'!W15</f>
        <v/>
      </c>
      <c r="X21" s="134">
        <f>'C2 · Lease'!X15</f>
        <v/>
      </c>
      <c r="Y21" s="134">
        <f>'C2 · Lease'!Y15</f>
        <v/>
      </c>
      <c r="Z21" s="134">
        <f>'C2 · Lease'!Z15</f>
        <v/>
      </c>
      <c r="AA21" s="134">
        <f>'C2 · Lease'!AA15</f>
        <v/>
      </c>
      <c r="AB21" s="134">
        <f>'C2 · Lease'!AB15</f>
        <v/>
      </c>
      <c r="AC21" s="134">
        <f>'C2 · Lease'!AC15</f>
        <v/>
      </c>
      <c r="AD21" s="134">
        <f>'C2 · Lease'!AD15</f>
        <v/>
      </c>
      <c r="AE21" s="134">
        <f>'C2 · Lease'!AE15</f>
        <v/>
      </c>
      <c r="AF21" s="134">
        <f>'C2 · Lease'!AF15</f>
        <v/>
      </c>
      <c r="AG21" s="134">
        <f>'C2 · Lease'!AG15</f>
        <v/>
      </c>
      <c r="AH21" s="134">
        <f>'C2 · Lease'!AH15</f>
        <v/>
      </c>
      <c r="AI21" s="134">
        <f>'C2 · Lease'!AI15</f>
        <v/>
      </c>
      <c r="AJ21" s="134">
        <f>'C2 · Lease'!AJ15</f>
        <v/>
      </c>
      <c r="AK21" s="134">
        <f>'C2 · Lease'!AK15</f>
        <v/>
      </c>
      <c r="AL21" s="134">
        <f>'C2 · Lease'!AL15</f>
        <v/>
      </c>
      <c r="AM21" s="134">
        <f>'C2 · Lease'!AM15</f>
        <v/>
      </c>
    </row>
    <row r="22">
      <c r="B22" s="133" t="inlineStr">
        <is>
          <t>kpi.lease.retention</t>
        </is>
      </c>
      <c r="C22" s="133" t="inlineStr">
        <is>
          <t>AVG</t>
        </is>
      </c>
      <c r="D22" s="135">
        <f>'C2 · Lease'!D16</f>
        <v/>
      </c>
      <c r="E22" s="135">
        <f>'C2 · Lease'!E16</f>
        <v/>
      </c>
      <c r="F22" s="135">
        <f>'C2 · Lease'!F16</f>
        <v/>
      </c>
      <c r="G22" s="135">
        <f>'C2 · Lease'!G16</f>
        <v/>
      </c>
      <c r="H22" s="135">
        <f>'C2 · Lease'!H16</f>
        <v/>
      </c>
      <c r="I22" s="135">
        <f>'C2 · Lease'!I16</f>
        <v/>
      </c>
      <c r="J22" s="135">
        <f>'C2 · Lease'!J16</f>
        <v/>
      </c>
      <c r="K22" s="135">
        <f>'C2 · Lease'!K16</f>
        <v/>
      </c>
      <c r="L22" s="135">
        <f>'C2 · Lease'!L16</f>
        <v/>
      </c>
      <c r="M22" s="135">
        <f>'C2 · Lease'!M16</f>
        <v/>
      </c>
      <c r="N22" s="135">
        <f>'C2 · Lease'!N16</f>
        <v/>
      </c>
      <c r="O22" s="135">
        <f>'C2 · Lease'!O16</f>
        <v/>
      </c>
      <c r="P22" s="135">
        <f>'C2 · Lease'!P16</f>
        <v/>
      </c>
      <c r="Q22" s="135">
        <f>'C2 · Lease'!Q16</f>
        <v/>
      </c>
      <c r="R22" s="135">
        <f>'C2 · Lease'!R16</f>
        <v/>
      </c>
      <c r="S22" s="135">
        <f>'C2 · Lease'!S16</f>
        <v/>
      </c>
      <c r="T22" s="135">
        <f>'C2 · Lease'!T16</f>
        <v/>
      </c>
      <c r="U22" s="135">
        <f>'C2 · Lease'!U16</f>
        <v/>
      </c>
      <c r="V22" s="135">
        <f>'C2 · Lease'!V16</f>
        <v/>
      </c>
      <c r="W22" s="135">
        <f>'C2 · Lease'!W16</f>
        <v/>
      </c>
      <c r="X22" s="135">
        <f>'C2 · Lease'!X16</f>
        <v/>
      </c>
      <c r="Y22" s="135">
        <f>'C2 · Lease'!Y16</f>
        <v/>
      </c>
      <c r="Z22" s="135">
        <f>'C2 · Lease'!Z16</f>
        <v/>
      </c>
      <c r="AA22" s="135">
        <f>'C2 · Lease'!AA16</f>
        <v/>
      </c>
      <c r="AB22" s="135">
        <f>'C2 · Lease'!AB16</f>
        <v/>
      </c>
      <c r="AC22" s="135">
        <f>'C2 · Lease'!AC16</f>
        <v/>
      </c>
      <c r="AD22" s="135">
        <f>'C2 · Lease'!AD16</f>
        <v/>
      </c>
      <c r="AE22" s="135">
        <f>'C2 · Lease'!AE16</f>
        <v/>
      </c>
      <c r="AF22" s="135">
        <f>'C2 · Lease'!AF16</f>
        <v/>
      </c>
      <c r="AG22" s="135">
        <f>'C2 · Lease'!AG16</f>
        <v/>
      </c>
      <c r="AH22" s="135">
        <f>'C2 · Lease'!AH16</f>
        <v/>
      </c>
      <c r="AI22" s="135">
        <f>'C2 · Lease'!AI16</f>
        <v/>
      </c>
      <c r="AJ22" s="135">
        <f>'C2 · Lease'!AJ16</f>
        <v/>
      </c>
      <c r="AK22" s="135">
        <f>'C2 · Lease'!AK16</f>
        <v/>
      </c>
      <c r="AL22" s="135">
        <f>'C2 · Lease'!AL16</f>
        <v/>
      </c>
      <c r="AM22" s="135">
        <f>'C2 · Lease'!AM16</f>
        <v/>
      </c>
    </row>
    <row r="23">
      <c r="B23" s="133" t="inlineStr">
        <is>
          <t>kpi.lease.incentives</t>
        </is>
      </c>
      <c r="C23" s="133" t="inlineStr">
        <is>
          <t>SUM</t>
        </is>
      </c>
      <c r="D23" s="134">
        <f>'C2 · Lease'!D17</f>
        <v/>
      </c>
      <c r="E23" s="134">
        <f>'C2 · Lease'!E17</f>
        <v/>
      </c>
      <c r="F23" s="134">
        <f>'C2 · Lease'!F17</f>
        <v/>
      </c>
      <c r="G23" s="134">
        <f>'C2 · Lease'!G17</f>
        <v/>
      </c>
      <c r="H23" s="134">
        <f>'C2 · Lease'!H17</f>
        <v/>
      </c>
      <c r="I23" s="134">
        <f>'C2 · Lease'!I17</f>
        <v/>
      </c>
      <c r="J23" s="134">
        <f>'C2 · Lease'!J17</f>
        <v/>
      </c>
      <c r="K23" s="134">
        <f>'C2 · Lease'!K17</f>
        <v/>
      </c>
      <c r="L23" s="134">
        <f>'C2 · Lease'!L17</f>
        <v/>
      </c>
      <c r="M23" s="134">
        <f>'C2 · Lease'!M17</f>
        <v/>
      </c>
      <c r="N23" s="134">
        <f>'C2 · Lease'!N17</f>
        <v/>
      </c>
      <c r="O23" s="134">
        <f>'C2 · Lease'!O17</f>
        <v/>
      </c>
      <c r="P23" s="134">
        <f>'C2 · Lease'!P17</f>
        <v/>
      </c>
      <c r="Q23" s="134">
        <f>'C2 · Lease'!Q17</f>
        <v/>
      </c>
      <c r="R23" s="134">
        <f>'C2 · Lease'!R17</f>
        <v/>
      </c>
      <c r="S23" s="134">
        <f>'C2 · Lease'!S17</f>
        <v/>
      </c>
      <c r="T23" s="134">
        <f>'C2 · Lease'!T17</f>
        <v/>
      </c>
      <c r="U23" s="134">
        <f>'C2 · Lease'!U17</f>
        <v/>
      </c>
      <c r="V23" s="134">
        <f>'C2 · Lease'!V17</f>
        <v/>
      </c>
      <c r="W23" s="134">
        <f>'C2 · Lease'!W17</f>
        <v/>
      </c>
      <c r="X23" s="134">
        <f>'C2 · Lease'!X17</f>
        <v/>
      </c>
      <c r="Y23" s="134">
        <f>'C2 · Lease'!Y17</f>
        <v/>
      </c>
      <c r="Z23" s="134">
        <f>'C2 · Lease'!Z17</f>
        <v/>
      </c>
      <c r="AA23" s="134">
        <f>'C2 · Lease'!AA17</f>
        <v/>
      </c>
      <c r="AB23" s="134">
        <f>'C2 · Lease'!AB17</f>
        <v/>
      </c>
      <c r="AC23" s="134">
        <f>'C2 · Lease'!AC17</f>
        <v/>
      </c>
      <c r="AD23" s="134">
        <f>'C2 · Lease'!AD17</f>
        <v/>
      </c>
      <c r="AE23" s="134">
        <f>'C2 · Lease'!AE17</f>
        <v/>
      </c>
      <c r="AF23" s="134">
        <f>'C2 · Lease'!AF17</f>
        <v/>
      </c>
      <c r="AG23" s="134">
        <f>'C2 · Lease'!AG17</f>
        <v/>
      </c>
      <c r="AH23" s="134">
        <f>'C2 · Lease'!AH17</f>
        <v/>
      </c>
      <c r="AI23" s="134">
        <f>'C2 · Lease'!AI17</f>
        <v/>
      </c>
      <c r="AJ23" s="134">
        <f>'C2 · Lease'!AJ17</f>
        <v/>
      </c>
      <c r="AK23" s="134">
        <f>'C2 · Lease'!AK17</f>
        <v/>
      </c>
      <c r="AL23" s="134">
        <f>'C2 · Lease'!AL17</f>
        <v/>
      </c>
      <c r="AM23" s="134">
        <f>'C2 · Lease'!AM17</f>
        <v/>
      </c>
    </row>
    <row r="24">
      <c r="B24" s="133" t="inlineStr">
        <is>
          <t>kpi.lease.rent_sqm</t>
        </is>
      </c>
      <c r="C24" s="133" t="inlineStr">
        <is>
          <t>RATIO</t>
        </is>
      </c>
      <c r="D24" s="134">
        <f>'C2 · Lease'!D18</f>
        <v/>
      </c>
      <c r="E24" s="134">
        <f>'C2 · Lease'!E18</f>
        <v/>
      </c>
      <c r="F24" s="134">
        <f>'C2 · Lease'!F18</f>
        <v/>
      </c>
      <c r="G24" s="134">
        <f>'C2 · Lease'!G18</f>
        <v/>
      </c>
      <c r="H24" s="134">
        <f>'C2 · Lease'!H18</f>
        <v/>
      </c>
      <c r="I24" s="134">
        <f>'C2 · Lease'!I18</f>
        <v/>
      </c>
      <c r="J24" s="134">
        <f>'C2 · Lease'!J18</f>
        <v/>
      </c>
      <c r="K24" s="134">
        <f>'C2 · Lease'!K18</f>
        <v/>
      </c>
      <c r="L24" s="134">
        <f>'C2 · Lease'!L18</f>
        <v/>
      </c>
      <c r="M24" s="134">
        <f>'C2 · Lease'!M18</f>
        <v/>
      </c>
      <c r="N24" s="134">
        <f>'C2 · Lease'!N18</f>
        <v/>
      </c>
      <c r="O24" s="134">
        <f>'C2 · Lease'!O18</f>
        <v/>
      </c>
      <c r="P24" s="134">
        <f>'C2 · Lease'!P18</f>
        <v/>
      </c>
      <c r="Q24" s="134">
        <f>'C2 · Lease'!Q18</f>
        <v/>
      </c>
      <c r="R24" s="134">
        <f>'C2 · Lease'!R18</f>
        <v/>
      </c>
      <c r="S24" s="134">
        <f>'C2 · Lease'!S18</f>
        <v/>
      </c>
      <c r="T24" s="134">
        <f>'C2 · Lease'!T18</f>
        <v/>
      </c>
      <c r="U24" s="134">
        <f>'C2 · Lease'!U18</f>
        <v/>
      </c>
      <c r="V24" s="134">
        <f>'C2 · Lease'!V18</f>
        <v/>
      </c>
      <c r="W24" s="134">
        <f>'C2 · Lease'!W18</f>
        <v/>
      </c>
      <c r="X24" s="134">
        <f>'C2 · Lease'!X18</f>
        <v/>
      </c>
      <c r="Y24" s="134">
        <f>'C2 · Lease'!Y18</f>
        <v/>
      </c>
      <c r="Z24" s="134">
        <f>'C2 · Lease'!Z18</f>
        <v/>
      </c>
      <c r="AA24" s="134">
        <f>'C2 · Lease'!AA18</f>
        <v/>
      </c>
      <c r="AB24" s="134">
        <f>'C2 · Lease'!AB18</f>
        <v/>
      </c>
      <c r="AC24" s="134">
        <f>'C2 · Lease'!AC18</f>
        <v/>
      </c>
      <c r="AD24" s="134">
        <f>'C2 · Lease'!AD18</f>
        <v/>
      </c>
      <c r="AE24" s="134">
        <f>'C2 · Lease'!AE18</f>
        <v/>
      </c>
      <c r="AF24" s="134">
        <f>'C2 · Lease'!AF18</f>
        <v/>
      </c>
      <c r="AG24" s="134">
        <f>'C2 · Lease'!AG18</f>
        <v/>
      </c>
      <c r="AH24" s="134">
        <f>'C2 · Lease'!AH18</f>
        <v/>
      </c>
      <c r="AI24" s="134">
        <f>'C2 · Lease'!AI18</f>
        <v/>
      </c>
      <c r="AJ24" s="134">
        <f>'C2 · Lease'!AJ18</f>
        <v/>
      </c>
      <c r="AK24" s="134">
        <f>'C2 · Lease'!AK18</f>
        <v/>
      </c>
      <c r="AL24" s="134">
        <f>'C2 · Lease'!AL18</f>
        <v/>
      </c>
      <c r="AM24" s="134">
        <f>'C2 · Lease'!AM18</f>
        <v/>
      </c>
    </row>
    <row r="25">
      <c r="B25" s="133" t="inlineStr">
        <is>
          <t>kpi.lease.walt</t>
        </is>
      </c>
      <c r="C25" s="133" t="inlineStr">
        <is>
          <t>AVG</t>
        </is>
      </c>
      <c r="D25" s="134">
        <f>'C2 · Lease'!D19</f>
        <v/>
      </c>
      <c r="E25" s="134">
        <f>'C2 · Lease'!E19</f>
        <v/>
      </c>
      <c r="F25" s="134">
        <f>'C2 · Lease'!F19</f>
        <v/>
      </c>
      <c r="G25" s="134">
        <f>'C2 · Lease'!G19</f>
        <v/>
      </c>
      <c r="H25" s="134">
        <f>'C2 · Lease'!H19</f>
        <v/>
      </c>
      <c r="I25" s="134">
        <f>'C2 · Lease'!I19</f>
        <v/>
      </c>
      <c r="J25" s="134">
        <f>'C2 · Lease'!J19</f>
        <v/>
      </c>
      <c r="K25" s="134">
        <f>'C2 · Lease'!K19</f>
        <v/>
      </c>
      <c r="L25" s="134">
        <f>'C2 · Lease'!L19</f>
        <v/>
      </c>
      <c r="M25" s="134">
        <f>'C2 · Lease'!M19</f>
        <v/>
      </c>
      <c r="N25" s="134">
        <f>'C2 · Lease'!N19</f>
        <v/>
      </c>
      <c r="O25" s="134">
        <f>'C2 · Lease'!O19</f>
        <v/>
      </c>
      <c r="P25" s="134">
        <f>'C2 · Lease'!P19</f>
        <v/>
      </c>
      <c r="Q25" s="134">
        <f>'C2 · Lease'!Q19</f>
        <v/>
      </c>
      <c r="R25" s="134">
        <f>'C2 · Lease'!R19</f>
        <v/>
      </c>
      <c r="S25" s="134">
        <f>'C2 · Lease'!S19</f>
        <v/>
      </c>
      <c r="T25" s="134">
        <f>'C2 · Lease'!T19</f>
        <v/>
      </c>
      <c r="U25" s="134">
        <f>'C2 · Lease'!U19</f>
        <v/>
      </c>
      <c r="V25" s="134">
        <f>'C2 · Lease'!V19</f>
        <v/>
      </c>
      <c r="W25" s="134">
        <f>'C2 · Lease'!W19</f>
        <v/>
      </c>
      <c r="X25" s="134">
        <f>'C2 · Lease'!X19</f>
        <v/>
      </c>
      <c r="Y25" s="134">
        <f>'C2 · Lease'!Y19</f>
        <v/>
      </c>
      <c r="Z25" s="134">
        <f>'C2 · Lease'!Z19</f>
        <v/>
      </c>
      <c r="AA25" s="134">
        <f>'C2 · Lease'!AA19</f>
        <v/>
      </c>
      <c r="AB25" s="134">
        <f>'C2 · Lease'!AB19</f>
        <v/>
      </c>
      <c r="AC25" s="134">
        <f>'C2 · Lease'!AC19</f>
        <v/>
      </c>
      <c r="AD25" s="134">
        <f>'C2 · Lease'!AD19</f>
        <v/>
      </c>
      <c r="AE25" s="134">
        <f>'C2 · Lease'!AE19</f>
        <v/>
      </c>
      <c r="AF25" s="134">
        <f>'C2 · Lease'!AF19</f>
        <v/>
      </c>
      <c r="AG25" s="134">
        <f>'C2 · Lease'!AG19</f>
        <v/>
      </c>
      <c r="AH25" s="134">
        <f>'C2 · Lease'!AH19</f>
        <v/>
      </c>
      <c r="AI25" s="134">
        <f>'C2 · Lease'!AI19</f>
        <v/>
      </c>
      <c r="AJ25" s="134">
        <f>'C2 · Lease'!AJ19</f>
        <v/>
      </c>
      <c r="AK25" s="134">
        <f>'C2 · Lease'!AK19</f>
        <v/>
      </c>
      <c r="AL25" s="134">
        <f>'C2 · Lease'!AL19</f>
        <v/>
      </c>
      <c r="AM25" s="134">
        <f>'C2 · Lease'!AM19</f>
        <v/>
      </c>
    </row>
    <row r="26">
      <c r="B26" s="133" t="inlineStr">
        <is>
          <t>kpi.rec.ar</t>
        </is>
      </c>
      <c r="C26" s="133" t="inlineStr">
        <is>
          <t>LAST</t>
        </is>
      </c>
      <c r="D26" s="134">
        <f>'C3 · Recouvrement'!D8</f>
        <v/>
      </c>
      <c r="E26" s="134">
        <f>'C3 · Recouvrement'!E8</f>
        <v/>
      </c>
      <c r="F26" s="134">
        <f>'C3 · Recouvrement'!F8</f>
        <v/>
      </c>
      <c r="G26" s="134">
        <f>'C3 · Recouvrement'!G8</f>
        <v/>
      </c>
      <c r="H26" s="134">
        <f>'C3 · Recouvrement'!H8</f>
        <v/>
      </c>
      <c r="I26" s="134">
        <f>'C3 · Recouvrement'!I8</f>
        <v/>
      </c>
      <c r="J26" s="134">
        <f>'C3 · Recouvrement'!J8</f>
        <v/>
      </c>
      <c r="K26" s="134">
        <f>'C3 · Recouvrement'!K8</f>
        <v/>
      </c>
      <c r="L26" s="134">
        <f>'C3 · Recouvrement'!L8</f>
        <v/>
      </c>
      <c r="M26" s="134">
        <f>'C3 · Recouvrement'!M8</f>
        <v/>
      </c>
      <c r="N26" s="134">
        <f>'C3 · Recouvrement'!N8</f>
        <v/>
      </c>
      <c r="O26" s="134">
        <f>'C3 · Recouvrement'!O8</f>
        <v/>
      </c>
      <c r="P26" s="134">
        <f>'C3 · Recouvrement'!P8</f>
        <v/>
      </c>
      <c r="Q26" s="134">
        <f>'C3 · Recouvrement'!Q8</f>
        <v/>
      </c>
      <c r="R26" s="134">
        <f>'C3 · Recouvrement'!R8</f>
        <v/>
      </c>
      <c r="S26" s="134">
        <f>'C3 · Recouvrement'!S8</f>
        <v/>
      </c>
      <c r="T26" s="134">
        <f>'C3 · Recouvrement'!T8</f>
        <v/>
      </c>
      <c r="U26" s="134">
        <f>'C3 · Recouvrement'!U8</f>
        <v/>
      </c>
      <c r="V26" s="134">
        <f>'C3 · Recouvrement'!V8</f>
        <v/>
      </c>
      <c r="W26" s="134">
        <f>'C3 · Recouvrement'!W8</f>
        <v/>
      </c>
      <c r="X26" s="134">
        <f>'C3 · Recouvrement'!X8</f>
        <v/>
      </c>
      <c r="Y26" s="134">
        <f>'C3 · Recouvrement'!Y8</f>
        <v/>
      </c>
      <c r="Z26" s="134">
        <f>'C3 · Recouvrement'!Z8</f>
        <v/>
      </c>
      <c r="AA26" s="134">
        <f>'C3 · Recouvrement'!AA8</f>
        <v/>
      </c>
      <c r="AB26" s="134">
        <f>'C3 · Recouvrement'!AB8</f>
        <v/>
      </c>
      <c r="AC26" s="134">
        <f>'C3 · Recouvrement'!AC8</f>
        <v/>
      </c>
      <c r="AD26" s="134">
        <f>'C3 · Recouvrement'!AD8</f>
        <v/>
      </c>
      <c r="AE26" s="134">
        <f>'C3 · Recouvrement'!AE8</f>
        <v/>
      </c>
      <c r="AF26" s="134">
        <f>'C3 · Recouvrement'!AF8</f>
        <v/>
      </c>
      <c r="AG26" s="134">
        <f>'C3 · Recouvrement'!AG8</f>
        <v/>
      </c>
      <c r="AH26" s="134">
        <f>'C3 · Recouvrement'!AH8</f>
        <v/>
      </c>
      <c r="AI26" s="134">
        <f>'C3 · Recouvrement'!AI8</f>
        <v/>
      </c>
      <c r="AJ26" s="134">
        <f>'C3 · Recouvrement'!AJ8</f>
        <v/>
      </c>
      <c r="AK26" s="134">
        <f>'C3 · Recouvrement'!AK8</f>
        <v/>
      </c>
      <c r="AL26" s="134">
        <f>'C3 · Recouvrement'!AL8</f>
        <v/>
      </c>
      <c r="AM26" s="134">
        <f>'C3 · Recouvrement'!AM8</f>
        <v/>
      </c>
    </row>
    <row r="27">
      <c r="B27" s="133" t="inlineStr">
        <is>
          <t>kpi.rec.aged_0_30</t>
        </is>
      </c>
      <c r="C27" s="133" t="inlineStr">
        <is>
          <t>LAST</t>
        </is>
      </c>
      <c r="D27" s="134">
        <f>'C3 · Recouvrement'!D9</f>
        <v/>
      </c>
      <c r="E27" s="134">
        <f>'C3 · Recouvrement'!E9</f>
        <v/>
      </c>
      <c r="F27" s="134">
        <f>'C3 · Recouvrement'!F9</f>
        <v/>
      </c>
      <c r="G27" s="134">
        <f>'C3 · Recouvrement'!G9</f>
        <v/>
      </c>
      <c r="H27" s="134">
        <f>'C3 · Recouvrement'!H9</f>
        <v/>
      </c>
      <c r="I27" s="134">
        <f>'C3 · Recouvrement'!I9</f>
        <v/>
      </c>
      <c r="J27" s="134">
        <f>'C3 · Recouvrement'!J9</f>
        <v/>
      </c>
      <c r="K27" s="134">
        <f>'C3 · Recouvrement'!K9</f>
        <v/>
      </c>
      <c r="L27" s="134">
        <f>'C3 · Recouvrement'!L9</f>
        <v/>
      </c>
      <c r="M27" s="134">
        <f>'C3 · Recouvrement'!M9</f>
        <v/>
      </c>
      <c r="N27" s="134">
        <f>'C3 · Recouvrement'!N9</f>
        <v/>
      </c>
      <c r="O27" s="134">
        <f>'C3 · Recouvrement'!O9</f>
        <v/>
      </c>
      <c r="P27" s="134">
        <f>'C3 · Recouvrement'!P9</f>
        <v/>
      </c>
      <c r="Q27" s="134">
        <f>'C3 · Recouvrement'!Q9</f>
        <v/>
      </c>
      <c r="R27" s="134">
        <f>'C3 · Recouvrement'!R9</f>
        <v/>
      </c>
      <c r="S27" s="134">
        <f>'C3 · Recouvrement'!S9</f>
        <v/>
      </c>
      <c r="T27" s="134">
        <f>'C3 · Recouvrement'!T9</f>
        <v/>
      </c>
      <c r="U27" s="134">
        <f>'C3 · Recouvrement'!U9</f>
        <v/>
      </c>
      <c r="V27" s="134">
        <f>'C3 · Recouvrement'!V9</f>
        <v/>
      </c>
      <c r="W27" s="134">
        <f>'C3 · Recouvrement'!W9</f>
        <v/>
      </c>
      <c r="X27" s="134">
        <f>'C3 · Recouvrement'!X9</f>
        <v/>
      </c>
      <c r="Y27" s="134">
        <f>'C3 · Recouvrement'!Y9</f>
        <v/>
      </c>
      <c r="Z27" s="134">
        <f>'C3 · Recouvrement'!Z9</f>
        <v/>
      </c>
      <c r="AA27" s="134">
        <f>'C3 · Recouvrement'!AA9</f>
        <v/>
      </c>
      <c r="AB27" s="134">
        <f>'C3 · Recouvrement'!AB9</f>
        <v/>
      </c>
      <c r="AC27" s="134">
        <f>'C3 · Recouvrement'!AC9</f>
        <v/>
      </c>
      <c r="AD27" s="134">
        <f>'C3 · Recouvrement'!AD9</f>
        <v/>
      </c>
      <c r="AE27" s="134">
        <f>'C3 · Recouvrement'!AE9</f>
        <v/>
      </c>
      <c r="AF27" s="134">
        <f>'C3 · Recouvrement'!AF9</f>
        <v/>
      </c>
      <c r="AG27" s="134">
        <f>'C3 · Recouvrement'!AG9</f>
        <v/>
      </c>
      <c r="AH27" s="134">
        <f>'C3 · Recouvrement'!AH9</f>
        <v/>
      </c>
      <c r="AI27" s="134">
        <f>'C3 · Recouvrement'!AI9</f>
        <v/>
      </c>
      <c r="AJ27" s="134">
        <f>'C3 · Recouvrement'!AJ9</f>
        <v/>
      </c>
      <c r="AK27" s="134">
        <f>'C3 · Recouvrement'!AK9</f>
        <v/>
      </c>
      <c r="AL27" s="134">
        <f>'C3 · Recouvrement'!AL9</f>
        <v/>
      </c>
      <c r="AM27" s="134">
        <f>'C3 · Recouvrement'!AM9</f>
        <v/>
      </c>
    </row>
    <row r="28">
      <c r="B28" s="133" t="inlineStr">
        <is>
          <t>kpi.rec.aged_30_60</t>
        </is>
      </c>
      <c r="C28" s="133" t="inlineStr">
        <is>
          <t>LAST</t>
        </is>
      </c>
      <c r="D28" s="134">
        <f>'C3 · Recouvrement'!D10</f>
        <v/>
      </c>
      <c r="E28" s="134">
        <f>'C3 · Recouvrement'!E10</f>
        <v/>
      </c>
      <c r="F28" s="134">
        <f>'C3 · Recouvrement'!F10</f>
        <v/>
      </c>
      <c r="G28" s="134">
        <f>'C3 · Recouvrement'!G10</f>
        <v/>
      </c>
      <c r="H28" s="134">
        <f>'C3 · Recouvrement'!H10</f>
        <v/>
      </c>
      <c r="I28" s="134">
        <f>'C3 · Recouvrement'!I10</f>
        <v/>
      </c>
      <c r="J28" s="134">
        <f>'C3 · Recouvrement'!J10</f>
        <v/>
      </c>
      <c r="K28" s="134">
        <f>'C3 · Recouvrement'!K10</f>
        <v/>
      </c>
      <c r="L28" s="134">
        <f>'C3 · Recouvrement'!L10</f>
        <v/>
      </c>
      <c r="M28" s="134">
        <f>'C3 · Recouvrement'!M10</f>
        <v/>
      </c>
      <c r="N28" s="134">
        <f>'C3 · Recouvrement'!N10</f>
        <v/>
      </c>
      <c r="O28" s="134">
        <f>'C3 · Recouvrement'!O10</f>
        <v/>
      </c>
      <c r="P28" s="134">
        <f>'C3 · Recouvrement'!P10</f>
        <v/>
      </c>
      <c r="Q28" s="134">
        <f>'C3 · Recouvrement'!Q10</f>
        <v/>
      </c>
      <c r="R28" s="134">
        <f>'C3 · Recouvrement'!R10</f>
        <v/>
      </c>
      <c r="S28" s="134">
        <f>'C3 · Recouvrement'!S10</f>
        <v/>
      </c>
      <c r="T28" s="134">
        <f>'C3 · Recouvrement'!T10</f>
        <v/>
      </c>
      <c r="U28" s="134">
        <f>'C3 · Recouvrement'!U10</f>
        <v/>
      </c>
      <c r="V28" s="134">
        <f>'C3 · Recouvrement'!V10</f>
        <v/>
      </c>
      <c r="W28" s="134">
        <f>'C3 · Recouvrement'!W10</f>
        <v/>
      </c>
      <c r="X28" s="134">
        <f>'C3 · Recouvrement'!X10</f>
        <v/>
      </c>
      <c r="Y28" s="134">
        <f>'C3 · Recouvrement'!Y10</f>
        <v/>
      </c>
      <c r="Z28" s="134">
        <f>'C3 · Recouvrement'!Z10</f>
        <v/>
      </c>
      <c r="AA28" s="134">
        <f>'C3 · Recouvrement'!AA10</f>
        <v/>
      </c>
      <c r="AB28" s="134">
        <f>'C3 · Recouvrement'!AB10</f>
        <v/>
      </c>
      <c r="AC28" s="134">
        <f>'C3 · Recouvrement'!AC10</f>
        <v/>
      </c>
      <c r="AD28" s="134">
        <f>'C3 · Recouvrement'!AD10</f>
        <v/>
      </c>
      <c r="AE28" s="134">
        <f>'C3 · Recouvrement'!AE10</f>
        <v/>
      </c>
      <c r="AF28" s="134">
        <f>'C3 · Recouvrement'!AF10</f>
        <v/>
      </c>
      <c r="AG28" s="134">
        <f>'C3 · Recouvrement'!AG10</f>
        <v/>
      </c>
      <c r="AH28" s="134">
        <f>'C3 · Recouvrement'!AH10</f>
        <v/>
      </c>
      <c r="AI28" s="134">
        <f>'C3 · Recouvrement'!AI10</f>
        <v/>
      </c>
      <c r="AJ28" s="134">
        <f>'C3 · Recouvrement'!AJ10</f>
        <v/>
      </c>
      <c r="AK28" s="134">
        <f>'C3 · Recouvrement'!AK10</f>
        <v/>
      </c>
      <c r="AL28" s="134">
        <f>'C3 · Recouvrement'!AL10</f>
        <v/>
      </c>
      <c r="AM28" s="134">
        <f>'C3 · Recouvrement'!AM10</f>
        <v/>
      </c>
    </row>
    <row r="29">
      <c r="B29" s="133" t="inlineStr">
        <is>
          <t>kpi.rec.aged_60_90</t>
        </is>
      </c>
      <c r="C29" s="133" t="inlineStr">
        <is>
          <t>LAST</t>
        </is>
      </c>
      <c r="D29" s="134">
        <f>'C3 · Recouvrement'!D11</f>
        <v/>
      </c>
      <c r="E29" s="134">
        <f>'C3 · Recouvrement'!E11</f>
        <v/>
      </c>
      <c r="F29" s="134">
        <f>'C3 · Recouvrement'!F11</f>
        <v/>
      </c>
      <c r="G29" s="134">
        <f>'C3 · Recouvrement'!G11</f>
        <v/>
      </c>
      <c r="H29" s="134">
        <f>'C3 · Recouvrement'!H11</f>
        <v/>
      </c>
      <c r="I29" s="134">
        <f>'C3 · Recouvrement'!I11</f>
        <v/>
      </c>
      <c r="J29" s="134">
        <f>'C3 · Recouvrement'!J11</f>
        <v/>
      </c>
      <c r="K29" s="134">
        <f>'C3 · Recouvrement'!K11</f>
        <v/>
      </c>
      <c r="L29" s="134">
        <f>'C3 · Recouvrement'!L11</f>
        <v/>
      </c>
      <c r="M29" s="134">
        <f>'C3 · Recouvrement'!M11</f>
        <v/>
      </c>
      <c r="N29" s="134">
        <f>'C3 · Recouvrement'!N11</f>
        <v/>
      </c>
      <c r="O29" s="134">
        <f>'C3 · Recouvrement'!O11</f>
        <v/>
      </c>
      <c r="P29" s="134">
        <f>'C3 · Recouvrement'!P11</f>
        <v/>
      </c>
      <c r="Q29" s="134">
        <f>'C3 · Recouvrement'!Q11</f>
        <v/>
      </c>
      <c r="R29" s="134">
        <f>'C3 · Recouvrement'!R11</f>
        <v/>
      </c>
      <c r="S29" s="134">
        <f>'C3 · Recouvrement'!S11</f>
        <v/>
      </c>
      <c r="T29" s="134">
        <f>'C3 · Recouvrement'!T11</f>
        <v/>
      </c>
      <c r="U29" s="134">
        <f>'C3 · Recouvrement'!U11</f>
        <v/>
      </c>
      <c r="V29" s="134">
        <f>'C3 · Recouvrement'!V11</f>
        <v/>
      </c>
      <c r="W29" s="134">
        <f>'C3 · Recouvrement'!W11</f>
        <v/>
      </c>
      <c r="X29" s="134">
        <f>'C3 · Recouvrement'!X11</f>
        <v/>
      </c>
      <c r="Y29" s="134">
        <f>'C3 · Recouvrement'!Y11</f>
        <v/>
      </c>
      <c r="Z29" s="134">
        <f>'C3 · Recouvrement'!Z11</f>
        <v/>
      </c>
      <c r="AA29" s="134">
        <f>'C3 · Recouvrement'!AA11</f>
        <v/>
      </c>
      <c r="AB29" s="134">
        <f>'C3 · Recouvrement'!AB11</f>
        <v/>
      </c>
      <c r="AC29" s="134">
        <f>'C3 · Recouvrement'!AC11</f>
        <v/>
      </c>
      <c r="AD29" s="134">
        <f>'C3 · Recouvrement'!AD11</f>
        <v/>
      </c>
      <c r="AE29" s="134">
        <f>'C3 · Recouvrement'!AE11</f>
        <v/>
      </c>
      <c r="AF29" s="134">
        <f>'C3 · Recouvrement'!AF11</f>
        <v/>
      </c>
      <c r="AG29" s="134">
        <f>'C3 · Recouvrement'!AG11</f>
        <v/>
      </c>
      <c r="AH29" s="134">
        <f>'C3 · Recouvrement'!AH11</f>
        <v/>
      </c>
      <c r="AI29" s="134">
        <f>'C3 · Recouvrement'!AI11</f>
        <v/>
      </c>
      <c r="AJ29" s="134">
        <f>'C3 · Recouvrement'!AJ11</f>
        <v/>
      </c>
      <c r="AK29" s="134">
        <f>'C3 · Recouvrement'!AK11</f>
        <v/>
      </c>
      <c r="AL29" s="134">
        <f>'C3 · Recouvrement'!AL11</f>
        <v/>
      </c>
      <c r="AM29" s="134">
        <f>'C3 · Recouvrement'!AM11</f>
        <v/>
      </c>
    </row>
    <row r="30">
      <c r="B30" s="133" t="inlineStr">
        <is>
          <t>kpi.rec.aged_90p</t>
        </is>
      </c>
      <c r="C30" s="133" t="inlineStr">
        <is>
          <t>LAST</t>
        </is>
      </c>
      <c r="D30" s="134">
        <f>'C3 · Recouvrement'!D12</f>
        <v/>
      </c>
      <c r="E30" s="134">
        <f>'C3 · Recouvrement'!E12</f>
        <v/>
      </c>
      <c r="F30" s="134">
        <f>'C3 · Recouvrement'!F12</f>
        <v/>
      </c>
      <c r="G30" s="134">
        <f>'C3 · Recouvrement'!G12</f>
        <v/>
      </c>
      <c r="H30" s="134">
        <f>'C3 · Recouvrement'!H12</f>
        <v/>
      </c>
      <c r="I30" s="134">
        <f>'C3 · Recouvrement'!I12</f>
        <v/>
      </c>
      <c r="J30" s="134">
        <f>'C3 · Recouvrement'!J12</f>
        <v/>
      </c>
      <c r="K30" s="134">
        <f>'C3 · Recouvrement'!K12</f>
        <v/>
      </c>
      <c r="L30" s="134">
        <f>'C3 · Recouvrement'!L12</f>
        <v/>
      </c>
      <c r="M30" s="134">
        <f>'C3 · Recouvrement'!M12</f>
        <v/>
      </c>
      <c r="N30" s="134">
        <f>'C3 · Recouvrement'!N12</f>
        <v/>
      </c>
      <c r="O30" s="134">
        <f>'C3 · Recouvrement'!O12</f>
        <v/>
      </c>
      <c r="P30" s="134">
        <f>'C3 · Recouvrement'!P12</f>
        <v/>
      </c>
      <c r="Q30" s="134">
        <f>'C3 · Recouvrement'!Q12</f>
        <v/>
      </c>
      <c r="R30" s="134">
        <f>'C3 · Recouvrement'!R12</f>
        <v/>
      </c>
      <c r="S30" s="134">
        <f>'C3 · Recouvrement'!S12</f>
        <v/>
      </c>
      <c r="T30" s="134">
        <f>'C3 · Recouvrement'!T12</f>
        <v/>
      </c>
      <c r="U30" s="134">
        <f>'C3 · Recouvrement'!U12</f>
        <v/>
      </c>
      <c r="V30" s="134">
        <f>'C3 · Recouvrement'!V12</f>
        <v/>
      </c>
      <c r="W30" s="134">
        <f>'C3 · Recouvrement'!W12</f>
        <v/>
      </c>
      <c r="X30" s="134">
        <f>'C3 · Recouvrement'!X12</f>
        <v/>
      </c>
      <c r="Y30" s="134">
        <f>'C3 · Recouvrement'!Y12</f>
        <v/>
      </c>
      <c r="Z30" s="134">
        <f>'C3 · Recouvrement'!Z12</f>
        <v/>
      </c>
      <c r="AA30" s="134">
        <f>'C3 · Recouvrement'!AA12</f>
        <v/>
      </c>
      <c r="AB30" s="134">
        <f>'C3 · Recouvrement'!AB12</f>
        <v/>
      </c>
      <c r="AC30" s="134">
        <f>'C3 · Recouvrement'!AC12</f>
        <v/>
      </c>
      <c r="AD30" s="134">
        <f>'C3 · Recouvrement'!AD12</f>
        <v/>
      </c>
      <c r="AE30" s="134">
        <f>'C3 · Recouvrement'!AE12</f>
        <v/>
      </c>
      <c r="AF30" s="134">
        <f>'C3 · Recouvrement'!AF12</f>
        <v/>
      </c>
      <c r="AG30" s="134">
        <f>'C3 · Recouvrement'!AG12</f>
        <v/>
      </c>
      <c r="AH30" s="134">
        <f>'C3 · Recouvrement'!AH12</f>
        <v/>
      </c>
      <c r="AI30" s="134">
        <f>'C3 · Recouvrement'!AI12</f>
        <v/>
      </c>
      <c r="AJ30" s="134">
        <f>'C3 · Recouvrement'!AJ12</f>
        <v/>
      </c>
      <c r="AK30" s="134">
        <f>'C3 · Recouvrement'!AK12</f>
        <v/>
      </c>
      <c r="AL30" s="134">
        <f>'C3 · Recouvrement'!AL12</f>
        <v/>
      </c>
      <c r="AM30" s="134">
        <f>'C3 · Recouvrement'!AM12</f>
        <v/>
      </c>
    </row>
    <row r="31">
      <c r="B31" s="133" t="inlineStr">
        <is>
          <t>kpi.rec.dso</t>
        </is>
      </c>
      <c r="C31" s="133" t="inlineStr">
        <is>
          <t>RATIO</t>
        </is>
      </c>
      <c r="D31" s="134">
        <f>'C3 · Recouvrement'!D13</f>
        <v/>
      </c>
      <c r="E31" s="134">
        <f>'C3 · Recouvrement'!E13</f>
        <v/>
      </c>
      <c r="F31" s="134">
        <f>'C3 · Recouvrement'!F13</f>
        <v/>
      </c>
      <c r="G31" s="134">
        <f>'C3 · Recouvrement'!G13</f>
        <v/>
      </c>
      <c r="H31" s="134">
        <f>'C3 · Recouvrement'!H13</f>
        <v/>
      </c>
      <c r="I31" s="134">
        <f>'C3 · Recouvrement'!I13</f>
        <v/>
      </c>
      <c r="J31" s="134">
        <f>'C3 · Recouvrement'!J13</f>
        <v/>
      </c>
      <c r="K31" s="134">
        <f>'C3 · Recouvrement'!K13</f>
        <v/>
      </c>
      <c r="L31" s="134">
        <f>'C3 · Recouvrement'!L13</f>
        <v/>
      </c>
      <c r="M31" s="134">
        <f>'C3 · Recouvrement'!M13</f>
        <v/>
      </c>
      <c r="N31" s="134">
        <f>'C3 · Recouvrement'!N13</f>
        <v/>
      </c>
      <c r="O31" s="134">
        <f>'C3 · Recouvrement'!O13</f>
        <v/>
      </c>
      <c r="P31" s="134">
        <f>'C3 · Recouvrement'!P13</f>
        <v/>
      </c>
      <c r="Q31" s="134">
        <f>'C3 · Recouvrement'!Q13</f>
        <v/>
      </c>
      <c r="R31" s="134">
        <f>'C3 · Recouvrement'!R13</f>
        <v/>
      </c>
      <c r="S31" s="134">
        <f>'C3 · Recouvrement'!S13</f>
        <v/>
      </c>
      <c r="T31" s="134">
        <f>'C3 · Recouvrement'!T13</f>
        <v/>
      </c>
      <c r="U31" s="134">
        <f>'C3 · Recouvrement'!U13</f>
        <v/>
      </c>
      <c r="V31" s="134">
        <f>'C3 · Recouvrement'!V13</f>
        <v/>
      </c>
      <c r="W31" s="134">
        <f>'C3 · Recouvrement'!W13</f>
        <v/>
      </c>
      <c r="X31" s="134">
        <f>'C3 · Recouvrement'!X13</f>
        <v/>
      </c>
      <c r="Y31" s="134">
        <f>'C3 · Recouvrement'!Y13</f>
        <v/>
      </c>
      <c r="Z31" s="134">
        <f>'C3 · Recouvrement'!Z13</f>
        <v/>
      </c>
      <c r="AA31" s="134">
        <f>'C3 · Recouvrement'!AA13</f>
        <v/>
      </c>
      <c r="AB31" s="134">
        <f>'C3 · Recouvrement'!AB13</f>
        <v/>
      </c>
      <c r="AC31" s="134">
        <f>'C3 · Recouvrement'!AC13</f>
        <v/>
      </c>
      <c r="AD31" s="134">
        <f>'C3 · Recouvrement'!AD13</f>
        <v/>
      </c>
      <c r="AE31" s="134">
        <f>'C3 · Recouvrement'!AE13</f>
        <v/>
      </c>
      <c r="AF31" s="134">
        <f>'C3 · Recouvrement'!AF13</f>
        <v/>
      </c>
      <c r="AG31" s="134">
        <f>'C3 · Recouvrement'!AG13</f>
        <v/>
      </c>
      <c r="AH31" s="134">
        <f>'C3 · Recouvrement'!AH13</f>
        <v/>
      </c>
      <c r="AI31" s="134">
        <f>'C3 · Recouvrement'!AI13</f>
        <v/>
      </c>
      <c r="AJ31" s="134">
        <f>'C3 · Recouvrement'!AJ13</f>
        <v/>
      </c>
      <c r="AK31" s="134">
        <f>'C3 · Recouvrement'!AK13</f>
        <v/>
      </c>
      <c r="AL31" s="134">
        <f>'C3 · Recouvrement'!AL13</f>
        <v/>
      </c>
      <c r="AM31" s="134">
        <f>'C3 · Recouvrement'!AM13</f>
        <v/>
      </c>
    </row>
    <row r="32">
      <c r="B32" s="133" t="inlineStr">
        <is>
          <t>kpi.rec.recovery</t>
        </is>
      </c>
      <c r="C32" s="133" t="inlineStr">
        <is>
          <t>RATIO</t>
        </is>
      </c>
      <c r="D32" s="135">
        <f>'C3 · Recouvrement'!D14</f>
        <v/>
      </c>
      <c r="E32" s="135">
        <f>'C3 · Recouvrement'!E14</f>
        <v/>
      </c>
      <c r="F32" s="135">
        <f>'C3 · Recouvrement'!F14</f>
        <v/>
      </c>
      <c r="G32" s="135">
        <f>'C3 · Recouvrement'!G14</f>
        <v/>
      </c>
      <c r="H32" s="135">
        <f>'C3 · Recouvrement'!H14</f>
        <v/>
      </c>
      <c r="I32" s="135">
        <f>'C3 · Recouvrement'!I14</f>
        <v/>
      </c>
      <c r="J32" s="135">
        <f>'C3 · Recouvrement'!J14</f>
        <v/>
      </c>
      <c r="K32" s="135">
        <f>'C3 · Recouvrement'!K14</f>
        <v/>
      </c>
      <c r="L32" s="135">
        <f>'C3 · Recouvrement'!L14</f>
        <v/>
      </c>
      <c r="M32" s="135">
        <f>'C3 · Recouvrement'!M14</f>
        <v/>
      </c>
      <c r="N32" s="135">
        <f>'C3 · Recouvrement'!N14</f>
        <v/>
      </c>
      <c r="O32" s="135">
        <f>'C3 · Recouvrement'!O14</f>
        <v/>
      </c>
      <c r="P32" s="135">
        <f>'C3 · Recouvrement'!P14</f>
        <v/>
      </c>
      <c r="Q32" s="135">
        <f>'C3 · Recouvrement'!Q14</f>
        <v/>
      </c>
      <c r="R32" s="135">
        <f>'C3 · Recouvrement'!R14</f>
        <v/>
      </c>
      <c r="S32" s="135">
        <f>'C3 · Recouvrement'!S14</f>
        <v/>
      </c>
      <c r="T32" s="135">
        <f>'C3 · Recouvrement'!T14</f>
        <v/>
      </c>
      <c r="U32" s="135">
        <f>'C3 · Recouvrement'!U14</f>
        <v/>
      </c>
      <c r="V32" s="135">
        <f>'C3 · Recouvrement'!V14</f>
        <v/>
      </c>
      <c r="W32" s="135">
        <f>'C3 · Recouvrement'!W14</f>
        <v/>
      </c>
      <c r="X32" s="135">
        <f>'C3 · Recouvrement'!X14</f>
        <v/>
      </c>
      <c r="Y32" s="135">
        <f>'C3 · Recouvrement'!Y14</f>
        <v/>
      </c>
      <c r="Z32" s="135">
        <f>'C3 · Recouvrement'!Z14</f>
        <v/>
      </c>
      <c r="AA32" s="135">
        <f>'C3 · Recouvrement'!AA14</f>
        <v/>
      </c>
      <c r="AB32" s="135">
        <f>'C3 · Recouvrement'!AB14</f>
        <v/>
      </c>
      <c r="AC32" s="135">
        <f>'C3 · Recouvrement'!AC14</f>
        <v/>
      </c>
      <c r="AD32" s="135">
        <f>'C3 · Recouvrement'!AD14</f>
        <v/>
      </c>
      <c r="AE32" s="135">
        <f>'C3 · Recouvrement'!AE14</f>
        <v/>
      </c>
      <c r="AF32" s="135">
        <f>'C3 · Recouvrement'!AF14</f>
        <v/>
      </c>
      <c r="AG32" s="135">
        <f>'C3 · Recouvrement'!AG14</f>
        <v/>
      </c>
      <c r="AH32" s="135">
        <f>'C3 · Recouvrement'!AH14</f>
        <v/>
      </c>
      <c r="AI32" s="135">
        <f>'C3 · Recouvrement'!AI14</f>
        <v/>
      </c>
      <c r="AJ32" s="135">
        <f>'C3 · Recouvrement'!AJ14</f>
        <v/>
      </c>
      <c r="AK32" s="135">
        <f>'C3 · Recouvrement'!AK14</f>
        <v/>
      </c>
      <c r="AL32" s="135">
        <f>'C3 · Recouvrement'!AL14</f>
        <v/>
      </c>
      <c r="AM32" s="135">
        <f>'C3 · Recouvrement'!AM14</f>
        <v/>
      </c>
    </row>
    <row r="33">
      <c r="B33" s="133" t="inlineStr">
        <is>
          <t>kpi.rec.collected</t>
        </is>
      </c>
      <c r="C33" s="133" t="inlineStr">
        <is>
          <t>SUM</t>
        </is>
      </c>
      <c r="D33" s="134">
        <f>'C3 · Recouvrement'!D15</f>
        <v/>
      </c>
      <c r="E33" s="134">
        <f>'C3 · Recouvrement'!E15</f>
        <v/>
      </c>
      <c r="F33" s="134">
        <f>'C3 · Recouvrement'!F15</f>
        <v/>
      </c>
      <c r="G33" s="134">
        <f>'C3 · Recouvrement'!G15</f>
        <v/>
      </c>
      <c r="H33" s="134">
        <f>'C3 · Recouvrement'!H15</f>
        <v/>
      </c>
      <c r="I33" s="134">
        <f>'C3 · Recouvrement'!I15</f>
        <v/>
      </c>
      <c r="J33" s="134">
        <f>'C3 · Recouvrement'!J15</f>
        <v/>
      </c>
      <c r="K33" s="134">
        <f>'C3 · Recouvrement'!K15</f>
        <v/>
      </c>
      <c r="L33" s="134">
        <f>'C3 · Recouvrement'!L15</f>
        <v/>
      </c>
      <c r="M33" s="134">
        <f>'C3 · Recouvrement'!M15</f>
        <v/>
      </c>
      <c r="N33" s="134">
        <f>'C3 · Recouvrement'!N15</f>
        <v/>
      </c>
      <c r="O33" s="134">
        <f>'C3 · Recouvrement'!O15</f>
        <v/>
      </c>
      <c r="P33" s="134">
        <f>'C3 · Recouvrement'!P15</f>
        <v/>
      </c>
      <c r="Q33" s="134">
        <f>'C3 · Recouvrement'!Q15</f>
        <v/>
      </c>
      <c r="R33" s="134">
        <f>'C3 · Recouvrement'!R15</f>
        <v/>
      </c>
      <c r="S33" s="134">
        <f>'C3 · Recouvrement'!S15</f>
        <v/>
      </c>
      <c r="T33" s="134">
        <f>'C3 · Recouvrement'!T15</f>
        <v/>
      </c>
      <c r="U33" s="134">
        <f>'C3 · Recouvrement'!U15</f>
        <v/>
      </c>
      <c r="V33" s="134">
        <f>'C3 · Recouvrement'!V15</f>
        <v/>
      </c>
      <c r="W33" s="134">
        <f>'C3 · Recouvrement'!W15</f>
        <v/>
      </c>
      <c r="X33" s="134">
        <f>'C3 · Recouvrement'!X15</f>
        <v/>
      </c>
      <c r="Y33" s="134">
        <f>'C3 · Recouvrement'!Y15</f>
        <v/>
      </c>
      <c r="Z33" s="134">
        <f>'C3 · Recouvrement'!Z15</f>
        <v/>
      </c>
      <c r="AA33" s="134">
        <f>'C3 · Recouvrement'!AA15</f>
        <v/>
      </c>
      <c r="AB33" s="134">
        <f>'C3 · Recouvrement'!AB15</f>
        <v/>
      </c>
      <c r="AC33" s="134">
        <f>'C3 · Recouvrement'!AC15</f>
        <v/>
      </c>
      <c r="AD33" s="134">
        <f>'C3 · Recouvrement'!AD15</f>
        <v/>
      </c>
      <c r="AE33" s="134">
        <f>'C3 · Recouvrement'!AE15</f>
        <v/>
      </c>
      <c r="AF33" s="134">
        <f>'C3 · Recouvrement'!AF15</f>
        <v/>
      </c>
      <c r="AG33" s="134">
        <f>'C3 · Recouvrement'!AG15</f>
        <v/>
      </c>
      <c r="AH33" s="134">
        <f>'C3 · Recouvrement'!AH15</f>
        <v/>
      </c>
      <c r="AI33" s="134">
        <f>'C3 · Recouvrement'!AI15</f>
        <v/>
      </c>
      <c r="AJ33" s="134">
        <f>'C3 · Recouvrement'!AJ15</f>
        <v/>
      </c>
      <c r="AK33" s="134">
        <f>'C3 · Recouvrement'!AK15</f>
        <v/>
      </c>
      <c r="AL33" s="134">
        <f>'C3 · Recouvrement'!AL15</f>
        <v/>
      </c>
      <c r="AM33" s="134">
        <f>'C3 · Recouvrement'!AM15</f>
        <v/>
      </c>
    </row>
    <row r="34">
      <c r="B34" s="133" t="inlineStr">
        <is>
          <t>kpi.rec.billed</t>
        </is>
      </c>
      <c r="C34" s="133" t="inlineStr">
        <is>
          <t>SUM</t>
        </is>
      </c>
      <c r="D34" s="134">
        <f>'C3 · Recouvrement'!D16</f>
        <v/>
      </c>
      <c r="E34" s="134">
        <f>'C3 · Recouvrement'!E16</f>
        <v/>
      </c>
      <c r="F34" s="134">
        <f>'C3 · Recouvrement'!F16</f>
        <v/>
      </c>
      <c r="G34" s="134">
        <f>'C3 · Recouvrement'!G16</f>
        <v/>
      </c>
      <c r="H34" s="134">
        <f>'C3 · Recouvrement'!H16</f>
        <v/>
      </c>
      <c r="I34" s="134">
        <f>'C3 · Recouvrement'!I16</f>
        <v/>
      </c>
      <c r="J34" s="134">
        <f>'C3 · Recouvrement'!J16</f>
        <v/>
      </c>
      <c r="K34" s="134">
        <f>'C3 · Recouvrement'!K16</f>
        <v/>
      </c>
      <c r="L34" s="134">
        <f>'C3 · Recouvrement'!L16</f>
        <v/>
      </c>
      <c r="M34" s="134">
        <f>'C3 · Recouvrement'!M16</f>
        <v/>
      </c>
      <c r="N34" s="134">
        <f>'C3 · Recouvrement'!N16</f>
        <v/>
      </c>
      <c r="O34" s="134">
        <f>'C3 · Recouvrement'!O16</f>
        <v/>
      </c>
      <c r="P34" s="134">
        <f>'C3 · Recouvrement'!P16</f>
        <v/>
      </c>
      <c r="Q34" s="134">
        <f>'C3 · Recouvrement'!Q16</f>
        <v/>
      </c>
      <c r="R34" s="134">
        <f>'C3 · Recouvrement'!R16</f>
        <v/>
      </c>
      <c r="S34" s="134">
        <f>'C3 · Recouvrement'!S16</f>
        <v/>
      </c>
      <c r="T34" s="134">
        <f>'C3 · Recouvrement'!T16</f>
        <v/>
      </c>
      <c r="U34" s="134">
        <f>'C3 · Recouvrement'!U16</f>
        <v/>
      </c>
      <c r="V34" s="134">
        <f>'C3 · Recouvrement'!V16</f>
        <v/>
      </c>
      <c r="W34" s="134">
        <f>'C3 · Recouvrement'!W16</f>
        <v/>
      </c>
      <c r="X34" s="134">
        <f>'C3 · Recouvrement'!X16</f>
        <v/>
      </c>
      <c r="Y34" s="134">
        <f>'C3 · Recouvrement'!Y16</f>
        <v/>
      </c>
      <c r="Z34" s="134">
        <f>'C3 · Recouvrement'!Z16</f>
        <v/>
      </c>
      <c r="AA34" s="134">
        <f>'C3 · Recouvrement'!AA16</f>
        <v/>
      </c>
      <c r="AB34" s="134">
        <f>'C3 · Recouvrement'!AB16</f>
        <v/>
      </c>
      <c r="AC34" s="134">
        <f>'C3 · Recouvrement'!AC16</f>
        <v/>
      </c>
      <c r="AD34" s="134">
        <f>'C3 · Recouvrement'!AD16</f>
        <v/>
      </c>
      <c r="AE34" s="134">
        <f>'C3 · Recouvrement'!AE16</f>
        <v/>
      </c>
      <c r="AF34" s="134">
        <f>'C3 · Recouvrement'!AF16</f>
        <v/>
      </c>
      <c r="AG34" s="134">
        <f>'C3 · Recouvrement'!AG16</f>
        <v/>
      </c>
      <c r="AH34" s="134">
        <f>'C3 · Recouvrement'!AH16</f>
        <v/>
      </c>
      <c r="AI34" s="134">
        <f>'C3 · Recouvrement'!AI16</f>
        <v/>
      </c>
      <c r="AJ34" s="134">
        <f>'C3 · Recouvrement'!AJ16</f>
        <v/>
      </c>
      <c r="AK34" s="134">
        <f>'C3 · Recouvrement'!AK16</f>
        <v/>
      </c>
      <c r="AL34" s="134">
        <f>'C3 · Recouvrement'!AL16</f>
        <v/>
      </c>
      <c r="AM34" s="134">
        <f>'C3 · Recouvrement'!AM16</f>
        <v/>
      </c>
    </row>
    <row r="35">
      <c r="B35" s="133" t="inlineStr">
        <is>
          <t>kpi.rec.dunning</t>
        </is>
      </c>
      <c r="C35" s="133" t="inlineStr">
        <is>
          <t>SUM</t>
        </is>
      </c>
      <c r="D35" s="134">
        <f>'C3 · Recouvrement'!D17</f>
        <v/>
      </c>
      <c r="E35" s="134">
        <f>'C3 · Recouvrement'!E17</f>
        <v/>
      </c>
      <c r="F35" s="134">
        <f>'C3 · Recouvrement'!F17</f>
        <v/>
      </c>
      <c r="G35" s="134">
        <f>'C3 · Recouvrement'!G17</f>
        <v/>
      </c>
      <c r="H35" s="134">
        <f>'C3 · Recouvrement'!H17</f>
        <v/>
      </c>
      <c r="I35" s="134">
        <f>'C3 · Recouvrement'!I17</f>
        <v/>
      </c>
      <c r="J35" s="134">
        <f>'C3 · Recouvrement'!J17</f>
        <v/>
      </c>
      <c r="K35" s="134">
        <f>'C3 · Recouvrement'!K17</f>
        <v/>
      </c>
      <c r="L35" s="134">
        <f>'C3 · Recouvrement'!L17</f>
        <v/>
      </c>
      <c r="M35" s="134">
        <f>'C3 · Recouvrement'!M17</f>
        <v/>
      </c>
      <c r="N35" s="134">
        <f>'C3 · Recouvrement'!N17</f>
        <v/>
      </c>
      <c r="O35" s="134">
        <f>'C3 · Recouvrement'!O17</f>
        <v/>
      </c>
      <c r="P35" s="134">
        <f>'C3 · Recouvrement'!P17</f>
        <v/>
      </c>
      <c r="Q35" s="134">
        <f>'C3 · Recouvrement'!Q17</f>
        <v/>
      </c>
      <c r="R35" s="134">
        <f>'C3 · Recouvrement'!R17</f>
        <v/>
      </c>
      <c r="S35" s="134">
        <f>'C3 · Recouvrement'!S17</f>
        <v/>
      </c>
      <c r="T35" s="134">
        <f>'C3 · Recouvrement'!T17</f>
        <v/>
      </c>
      <c r="U35" s="134">
        <f>'C3 · Recouvrement'!U17</f>
        <v/>
      </c>
      <c r="V35" s="134">
        <f>'C3 · Recouvrement'!V17</f>
        <v/>
      </c>
      <c r="W35" s="134">
        <f>'C3 · Recouvrement'!W17</f>
        <v/>
      </c>
      <c r="X35" s="134">
        <f>'C3 · Recouvrement'!X17</f>
        <v/>
      </c>
      <c r="Y35" s="134">
        <f>'C3 · Recouvrement'!Y17</f>
        <v/>
      </c>
      <c r="Z35" s="134">
        <f>'C3 · Recouvrement'!Z17</f>
        <v/>
      </c>
      <c r="AA35" s="134">
        <f>'C3 · Recouvrement'!AA17</f>
        <v/>
      </c>
      <c r="AB35" s="134">
        <f>'C3 · Recouvrement'!AB17</f>
        <v/>
      </c>
      <c r="AC35" s="134">
        <f>'C3 · Recouvrement'!AC17</f>
        <v/>
      </c>
      <c r="AD35" s="134">
        <f>'C3 · Recouvrement'!AD17</f>
        <v/>
      </c>
      <c r="AE35" s="134">
        <f>'C3 · Recouvrement'!AE17</f>
        <v/>
      </c>
      <c r="AF35" s="134">
        <f>'C3 · Recouvrement'!AF17</f>
        <v/>
      </c>
      <c r="AG35" s="134">
        <f>'C3 · Recouvrement'!AG17</f>
        <v/>
      </c>
      <c r="AH35" s="134">
        <f>'C3 · Recouvrement'!AH17</f>
        <v/>
      </c>
      <c r="AI35" s="134">
        <f>'C3 · Recouvrement'!AI17</f>
        <v/>
      </c>
      <c r="AJ35" s="134">
        <f>'C3 · Recouvrement'!AJ17</f>
        <v/>
      </c>
      <c r="AK35" s="134">
        <f>'C3 · Recouvrement'!AK17</f>
        <v/>
      </c>
      <c r="AL35" s="134">
        <f>'C3 · Recouvrement'!AL17</f>
        <v/>
      </c>
      <c r="AM35" s="134">
        <f>'C3 · Recouvrement'!AM17</f>
        <v/>
      </c>
    </row>
    <row r="36">
      <c r="B36" s="133" t="inlineStr">
        <is>
          <t>kpi.rec.promises</t>
        </is>
      </c>
      <c r="C36" s="133" t="inlineStr">
        <is>
          <t>SUM</t>
        </is>
      </c>
      <c r="D36" s="134">
        <f>'C3 · Recouvrement'!D18</f>
        <v/>
      </c>
      <c r="E36" s="134">
        <f>'C3 · Recouvrement'!E18</f>
        <v/>
      </c>
      <c r="F36" s="134">
        <f>'C3 · Recouvrement'!F18</f>
        <v/>
      </c>
      <c r="G36" s="134">
        <f>'C3 · Recouvrement'!G18</f>
        <v/>
      </c>
      <c r="H36" s="134">
        <f>'C3 · Recouvrement'!H18</f>
        <v/>
      </c>
      <c r="I36" s="134">
        <f>'C3 · Recouvrement'!I18</f>
        <v/>
      </c>
      <c r="J36" s="134">
        <f>'C3 · Recouvrement'!J18</f>
        <v/>
      </c>
      <c r="K36" s="134">
        <f>'C3 · Recouvrement'!K18</f>
        <v/>
      </c>
      <c r="L36" s="134">
        <f>'C3 · Recouvrement'!L18</f>
        <v/>
      </c>
      <c r="M36" s="134">
        <f>'C3 · Recouvrement'!M18</f>
        <v/>
      </c>
      <c r="N36" s="134">
        <f>'C3 · Recouvrement'!N18</f>
        <v/>
      </c>
      <c r="O36" s="134">
        <f>'C3 · Recouvrement'!O18</f>
        <v/>
      </c>
      <c r="P36" s="134">
        <f>'C3 · Recouvrement'!P18</f>
        <v/>
      </c>
      <c r="Q36" s="134">
        <f>'C3 · Recouvrement'!Q18</f>
        <v/>
      </c>
      <c r="R36" s="134">
        <f>'C3 · Recouvrement'!R18</f>
        <v/>
      </c>
      <c r="S36" s="134">
        <f>'C3 · Recouvrement'!S18</f>
        <v/>
      </c>
      <c r="T36" s="134">
        <f>'C3 · Recouvrement'!T18</f>
        <v/>
      </c>
      <c r="U36" s="134">
        <f>'C3 · Recouvrement'!U18</f>
        <v/>
      </c>
      <c r="V36" s="134">
        <f>'C3 · Recouvrement'!V18</f>
        <v/>
      </c>
      <c r="W36" s="134">
        <f>'C3 · Recouvrement'!W18</f>
        <v/>
      </c>
      <c r="X36" s="134">
        <f>'C3 · Recouvrement'!X18</f>
        <v/>
      </c>
      <c r="Y36" s="134">
        <f>'C3 · Recouvrement'!Y18</f>
        <v/>
      </c>
      <c r="Z36" s="134">
        <f>'C3 · Recouvrement'!Z18</f>
        <v/>
      </c>
      <c r="AA36" s="134">
        <f>'C3 · Recouvrement'!AA18</f>
        <v/>
      </c>
      <c r="AB36" s="134">
        <f>'C3 · Recouvrement'!AB18</f>
        <v/>
      </c>
      <c r="AC36" s="134">
        <f>'C3 · Recouvrement'!AC18</f>
        <v/>
      </c>
      <c r="AD36" s="134">
        <f>'C3 · Recouvrement'!AD18</f>
        <v/>
      </c>
      <c r="AE36" s="134">
        <f>'C3 · Recouvrement'!AE18</f>
        <v/>
      </c>
      <c r="AF36" s="134">
        <f>'C3 · Recouvrement'!AF18</f>
        <v/>
      </c>
      <c r="AG36" s="134">
        <f>'C3 · Recouvrement'!AG18</f>
        <v/>
      </c>
      <c r="AH36" s="134">
        <f>'C3 · Recouvrement'!AH18</f>
        <v/>
      </c>
      <c r="AI36" s="134">
        <f>'C3 · Recouvrement'!AI18</f>
        <v/>
      </c>
      <c r="AJ36" s="134">
        <f>'C3 · Recouvrement'!AJ18</f>
        <v/>
      </c>
      <c r="AK36" s="134">
        <f>'C3 · Recouvrement'!AK18</f>
        <v/>
      </c>
      <c r="AL36" s="134">
        <f>'C3 · Recouvrement'!AL18</f>
        <v/>
      </c>
      <c r="AM36" s="134">
        <f>'C3 · Recouvrement'!AM18</f>
        <v/>
      </c>
    </row>
    <row r="37">
      <c r="B37" s="133" t="inlineStr">
        <is>
          <t>kpi.rec.promise_kept</t>
        </is>
      </c>
      <c r="C37" s="133" t="inlineStr">
        <is>
          <t>AVG</t>
        </is>
      </c>
      <c r="D37" s="135">
        <f>'C3 · Recouvrement'!D19</f>
        <v/>
      </c>
      <c r="E37" s="135">
        <f>'C3 · Recouvrement'!E19</f>
        <v/>
      </c>
      <c r="F37" s="135">
        <f>'C3 · Recouvrement'!F19</f>
        <v/>
      </c>
      <c r="G37" s="135">
        <f>'C3 · Recouvrement'!G19</f>
        <v/>
      </c>
      <c r="H37" s="135">
        <f>'C3 · Recouvrement'!H19</f>
        <v/>
      </c>
      <c r="I37" s="135">
        <f>'C3 · Recouvrement'!I19</f>
        <v/>
      </c>
      <c r="J37" s="135">
        <f>'C3 · Recouvrement'!J19</f>
        <v/>
      </c>
      <c r="K37" s="135">
        <f>'C3 · Recouvrement'!K19</f>
        <v/>
      </c>
      <c r="L37" s="135">
        <f>'C3 · Recouvrement'!L19</f>
        <v/>
      </c>
      <c r="M37" s="135">
        <f>'C3 · Recouvrement'!M19</f>
        <v/>
      </c>
      <c r="N37" s="135">
        <f>'C3 · Recouvrement'!N19</f>
        <v/>
      </c>
      <c r="O37" s="135">
        <f>'C3 · Recouvrement'!O19</f>
        <v/>
      </c>
      <c r="P37" s="135">
        <f>'C3 · Recouvrement'!P19</f>
        <v/>
      </c>
      <c r="Q37" s="135">
        <f>'C3 · Recouvrement'!Q19</f>
        <v/>
      </c>
      <c r="R37" s="135">
        <f>'C3 · Recouvrement'!R19</f>
        <v/>
      </c>
      <c r="S37" s="135">
        <f>'C3 · Recouvrement'!S19</f>
        <v/>
      </c>
      <c r="T37" s="135">
        <f>'C3 · Recouvrement'!T19</f>
        <v/>
      </c>
      <c r="U37" s="135">
        <f>'C3 · Recouvrement'!U19</f>
        <v/>
      </c>
      <c r="V37" s="135">
        <f>'C3 · Recouvrement'!V19</f>
        <v/>
      </c>
      <c r="W37" s="135">
        <f>'C3 · Recouvrement'!W19</f>
        <v/>
      </c>
      <c r="X37" s="135">
        <f>'C3 · Recouvrement'!X19</f>
        <v/>
      </c>
      <c r="Y37" s="135">
        <f>'C3 · Recouvrement'!Y19</f>
        <v/>
      </c>
      <c r="Z37" s="135">
        <f>'C3 · Recouvrement'!Z19</f>
        <v/>
      </c>
      <c r="AA37" s="135">
        <f>'C3 · Recouvrement'!AA19</f>
        <v/>
      </c>
      <c r="AB37" s="135">
        <f>'C3 · Recouvrement'!AB19</f>
        <v/>
      </c>
      <c r="AC37" s="135">
        <f>'C3 · Recouvrement'!AC19</f>
        <v/>
      </c>
      <c r="AD37" s="135">
        <f>'C3 · Recouvrement'!AD19</f>
        <v/>
      </c>
      <c r="AE37" s="135">
        <f>'C3 · Recouvrement'!AE19</f>
        <v/>
      </c>
      <c r="AF37" s="135">
        <f>'C3 · Recouvrement'!AF19</f>
        <v/>
      </c>
      <c r="AG37" s="135">
        <f>'C3 · Recouvrement'!AG19</f>
        <v/>
      </c>
      <c r="AH37" s="135">
        <f>'C3 · Recouvrement'!AH19</f>
        <v/>
      </c>
      <c r="AI37" s="135">
        <f>'C3 · Recouvrement'!AI19</f>
        <v/>
      </c>
      <c r="AJ37" s="135">
        <f>'C3 · Recouvrement'!AJ19</f>
        <v/>
      </c>
      <c r="AK37" s="135">
        <f>'C3 · Recouvrement'!AK19</f>
        <v/>
      </c>
      <c r="AL37" s="135">
        <f>'C3 · Recouvrement'!AL19</f>
        <v/>
      </c>
      <c r="AM37" s="135">
        <f>'C3 · Recouvrement'!AM19</f>
        <v/>
      </c>
    </row>
    <row r="38">
      <c r="B38" s="133" t="inlineStr">
        <is>
          <t>kpi.rec.collected_dun</t>
        </is>
      </c>
      <c r="C38" s="133" t="inlineStr">
        <is>
          <t>SUM</t>
        </is>
      </c>
      <c r="D38" s="134">
        <f>'C3 · Recouvrement'!D20</f>
        <v/>
      </c>
      <c r="E38" s="134">
        <f>'C3 · Recouvrement'!E20</f>
        <v/>
      </c>
      <c r="F38" s="134">
        <f>'C3 · Recouvrement'!F20</f>
        <v/>
      </c>
      <c r="G38" s="134">
        <f>'C3 · Recouvrement'!G20</f>
        <v/>
      </c>
      <c r="H38" s="134">
        <f>'C3 · Recouvrement'!H20</f>
        <v/>
      </c>
      <c r="I38" s="134">
        <f>'C3 · Recouvrement'!I20</f>
        <v/>
      </c>
      <c r="J38" s="134">
        <f>'C3 · Recouvrement'!J20</f>
        <v/>
      </c>
      <c r="K38" s="134">
        <f>'C3 · Recouvrement'!K20</f>
        <v/>
      </c>
      <c r="L38" s="134">
        <f>'C3 · Recouvrement'!L20</f>
        <v/>
      </c>
      <c r="M38" s="134">
        <f>'C3 · Recouvrement'!M20</f>
        <v/>
      </c>
      <c r="N38" s="134">
        <f>'C3 · Recouvrement'!N20</f>
        <v/>
      </c>
      <c r="O38" s="134">
        <f>'C3 · Recouvrement'!O20</f>
        <v/>
      </c>
      <c r="P38" s="134">
        <f>'C3 · Recouvrement'!P20</f>
        <v/>
      </c>
      <c r="Q38" s="134">
        <f>'C3 · Recouvrement'!Q20</f>
        <v/>
      </c>
      <c r="R38" s="134">
        <f>'C3 · Recouvrement'!R20</f>
        <v/>
      </c>
      <c r="S38" s="134">
        <f>'C3 · Recouvrement'!S20</f>
        <v/>
      </c>
      <c r="T38" s="134">
        <f>'C3 · Recouvrement'!T20</f>
        <v/>
      </c>
      <c r="U38" s="134">
        <f>'C3 · Recouvrement'!U20</f>
        <v/>
      </c>
      <c r="V38" s="134">
        <f>'C3 · Recouvrement'!V20</f>
        <v/>
      </c>
      <c r="W38" s="134">
        <f>'C3 · Recouvrement'!W20</f>
        <v/>
      </c>
      <c r="X38" s="134">
        <f>'C3 · Recouvrement'!X20</f>
        <v/>
      </c>
      <c r="Y38" s="134">
        <f>'C3 · Recouvrement'!Y20</f>
        <v/>
      </c>
      <c r="Z38" s="134">
        <f>'C3 · Recouvrement'!Z20</f>
        <v/>
      </c>
      <c r="AA38" s="134">
        <f>'C3 · Recouvrement'!AA20</f>
        <v/>
      </c>
      <c r="AB38" s="134">
        <f>'C3 · Recouvrement'!AB20</f>
        <v/>
      </c>
      <c r="AC38" s="134">
        <f>'C3 · Recouvrement'!AC20</f>
        <v/>
      </c>
      <c r="AD38" s="134">
        <f>'C3 · Recouvrement'!AD20</f>
        <v/>
      </c>
      <c r="AE38" s="134">
        <f>'C3 · Recouvrement'!AE20</f>
        <v/>
      </c>
      <c r="AF38" s="134">
        <f>'C3 · Recouvrement'!AF20</f>
        <v/>
      </c>
      <c r="AG38" s="134">
        <f>'C3 · Recouvrement'!AG20</f>
        <v/>
      </c>
      <c r="AH38" s="134">
        <f>'C3 · Recouvrement'!AH20</f>
        <v/>
      </c>
      <c r="AI38" s="134">
        <f>'C3 · Recouvrement'!AI20</f>
        <v/>
      </c>
      <c r="AJ38" s="134">
        <f>'C3 · Recouvrement'!AJ20</f>
        <v/>
      </c>
      <c r="AK38" s="134">
        <f>'C3 · Recouvrement'!AK20</f>
        <v/>
      </c>
      <c r="AL38" s="134">
        <f>'C3 · Recouvrement'!AL20</f>
        <v/>
      </c>
      <c r="AM38" s="134">
        <f>'C3 · Recouvrement'!AM20</f>
        <v/>
      </c>
    </row>
    <row r="39">
      <c r="B39" s="133" t="inlineStr">
        <is>
          <t>kpi.rec.provision</t>
        </is>
      </c>
      <c r="C39" s="133" t="inlineStr">
        <is>
          <t>RATIO</t>
        </is>
      </c>
      <c r="D39" s="135">
        <f>'C3 · Recouvrement'!D21</f>
        <v/>
      </c>
      <c r="E39" s="135">
        <f>'C3 · Recouvrement'!E21</f>
        <v/>
      </c>
      <c r="F39" s="135">
        <f>'C3 · Recouvrement'!F21</f>
        <v/>
      </c>
      <c r="G39" s="135">
        <f>'C3 · Recouvrement'!G21</f>
        <v/>
      </c>
      <c r="H39" s="135">
        <f>'C3 · Recouvrement'!H21</f>
        <v/>
      </c>
      <c r="I39" s="135">
        <f>'C3 · Recouvrement'!I21</f>
        <v/>
      </c>
      <c r="J39" s="135">
        <f>'C3 · Recouvrement'!J21</f>
        <v/>
      </c>
      <c r="K39" s="135">
        <f>'C3 · Recouvrement'!K21</f>
        <v/>
      </c>
      <c r="L39" s="135">
        <f>'C3 · Recouvrement'!L21</f>
        <v/>
      </c>
      <c r="M39" s="135">
        <f>'C3 · Recouvrement'!M21</f>
        <v/>
      </c>
      <c r="N39" s="135">
        <f>'C3 · Recouvrement'!N21</f>
        <v/>
      </c>
      <c r="O39" s="135">
        <f>'C3 · Recouvrement'!O21</f>
        <v/>
      </c>
      <c r="P39" s="135">
        <f>'C3 · Recouvrement'!P21</f>
        <v/>
      </c>
      <c r="Q39" s="135">
        <f>'C3 · Recouvrement'!Q21</f>
        <v/>
      </c>
      <c r="R39" s="135">
        <f>'C3 · Recouvrement'!R21</f>
        <v/>
      </c>
      <c r="S39" s="135">
        <f>'C3 · Recouvrement'!S21</f>
        <v/>
      </c>
      <c r="T39" s="135">
        <f>'C3 · Recouvrement'!T21</f>
        <v/>
      </c>
      <c r="U39" s="135">
        <f>'C3 · Recouvrement'!U21</f>
        <v/>
      </c>
      <c r="V39" s="135">
        <f>'C3 · Recouvrement'!V21</f>
        <v/>
      </c>
      <c r="W39" s="135">
        <f>'C3 · Recouvrement'!W21</f>
        <v/>
      </c>
      <c r="X39" s="135">
        <f>'C3 · Recouvrement'!X21</f>
        <v/>
      </c>
      <c r="Y39" s="135">
        <f>'C3 · Recouvrement'!Y21</f>
        <v/>
      </c>
      <c r="Z39" s="135">
        <f>'C3 · Recouvrement'!Z21</f>
        <v/>
      </c>
      <c r="AA39" s="135">
        <f>'C3 · Recouvrement'!AA21</f>
        <v/>
      </c>
      <c r="AB39" s="135">
        <f>'C3 · Recouvrement'!AB21</f>
        <v/>
      </c>
      <c r="AC39" s="135">
        <f>'C3 · Recouvrement'!AC21</f>
        <v/>
      </c>
      <c r="AD39" s="135">
        <f>'C3 · Recouvrement'!AD21</f>
        <v/>
      </c>
      <c r="AE39" s="135">
        <f>'C3 · Recouvrement'!AE21</f>
        <v/>
      </c>
      <c r="AF39" s="135">
        <f>'C3 · Recouvrement'!AF21</f>
        <v/>
      </c>
      <c r="AG39" s="135">
        <f>'C3 · Recouvrement'!AG21</f>
        <v/>
      </c>
      <c r="AH39" s="135">
        <f>'C3 · Recouvrement'!AH21</f>
        <v/>
      </c>
      <c r="AI39" s="135">
        <f>'C3 · Recouvrement'!AI21</f>
        <v/>
      </c>
      <c r="AJ39" s="135">
        <f>'C3 · Recouvrement'!AJ21</f>
        <v/>
      </c>
      <c r="AK39" s="135">
        <f>'C3 · Recouvrement'!AK21</f>
        <v/>
      </c>
      <c r="AL39" s="135">
        <f>'C3 · Recouvrement'!AL21</f>
        <v/>
      </c>
      <c r="AM39" s="135">
        <f>'C3 · Recouvrement'!AM21</f>
        <v/>
      </c>
    </row>
    <row r="40">
      <c r="B40" s="133" t="inlineStr">
        <is>
          <t>kpi.rec.litige_count</t>
        </is>
      </c>
      <c r="C40" s="133" t="inlineStr">
        <is>
          <t>LAST</t>
        </is>
      </c>
      <c r="D40" s="134">
        <f>'C3 · Recouvrement'!D22</f>
        <v/>
      </c>
      <c r="E40" s="134">
        <f>'C3 · Recouvrement'!E22</f>
        <v/>
      </c>
      <c r="F40" s="134">
        <f>'C3 · Recouvrement'!F22</f>
        <v/>
      </c>
      <c r="G40" s="134">
        <f>'C3 · Recouvrement'!G22</f>
        <v/>
      </c>
      <c r="H40" s="134">
        <f>'C3 · Recouvrement'!H22</f>
        <v/>
      </c>
      <c r="I40" s="134">
        <f>'C3 · Recouvrement'!I22</f>
        <v/>
      </c>
      <c r="J40" s="134">
        <f>'C3 · Recouvrement'!J22</f>
        <v/>
      </c>
      <c r="K40" s="134">
        <f>'C3 · Recouvrement'!K22</f>
        <v/>
      </c>
      <c r="L40" s="134">
        <f>'C3 · Recouvrement'!L22</f>
        <v/>
      </c>
      <c r="M40" s="134">
        <f>'C3 · Recouvrement'!M22</f>
        <v/>
      </c>
      <c r="N40" s="134">
        <f>'C3 · Recouvrement'!N22</f>
        <v/>
      </c>
      <c r="O40" s="134">
        <f>'C3 · Recouvrement'!O22</f>
        <v/>
      </c>
      <c r="P40" s="134">
        <f>'C3 · Recouvrement'!P22</f>
        <v/>
      </c>
      <c r="Q40" s="134">
        <f>'C3 · Recouvrement'!Q22</f>
        <v/>
      </c>
      <c r="R40" s="134">
        <f>'C3 · Recouvrement'!R22</f>
        <v/>
      </c>
      <c r="S40" s="134">
        <f>'C3 · Recouvrement'!S22</f>
        <v/>
      </c>
      <c r="T40" s="134">
        <f>'C3 · Recouvrement'!T22</f>
        <v/>
      </c>
      <c r="U40" s="134">
        <f>'C3 · Recouvrement'!U22</f>
        <v/>
      </c>
      <c r="V40" s="134">
        <f>'C3 · Recouvrement'!V22</f>
        <v/>
      </c>
      <c r="W40" s="134">
        <f>'C3 · Recouvrement'!W22</f>
        <v/>
      </c>
      <c r="X40" s="134">
        <f>'C3 · Recouvrement'!X22</f>
        <v/>
      </c>
      <c r="Y40" s="134">
        <f>'C3 · Recouvrement'!Y22</f>
        <v/>
      </c>
      <c r="Z40" s="134">
        <f>'C3 · Recouvrement'!Z22</f>
        <v/>
      </c>
      <c r="AA40" s="134">
        <f>'C3 · Recouvrement'!AA22</f>
        <v/>
      </c>
      <c r="AB40" s="134">
        <f>'C3 · Recouvrement'!AB22</f>
        <v/>
      </c>
      <c r="AC40" s="134">
        <f>'C3 · Recouvrement'!AC22</f>
        <v/>
      </c>
      <c r="AD40" s="134">
        <f>'C3 · Recouvrement'!AD22</f>
        <v/>
      </c>
      <c r="AE40" s="134">
        <f>'C3 · Recouvrement'!AE22</f>
        <v/>
      </c>
      <c r="AF40" s="134">
        <f>'C3 · Recouvrement'!AF22</f>
        <v/>
      </c>
      <c r="AG40" s="134">
        <f>'C3 · Recouvrement'!AG22</f>
        <v/>
      </c>
      <c r="AH40" s="134">
        <f>'C3 · Recouvrement'!AH22</f>
        <v/>
      </c>
      <c r="AI40" s="134">
        <f>'C3 · Recouvrement'!AI22</f>
        <v/>
      </c>
      <c r="AJ40" s="134">
        <f>'C3 · Recouvrement'!AJ22</f>
        <v/>
      </c>
      <c r="AK40" s="134">
        <f>'C3 · Recouvrement'!AK22</f>
        <v/>
      </c>
      <c r="AL40" s="134">
        <f>'C3 · Recouvrement'!AL22</f>
        <v/>
      </c>
      <c r="AM40" s="134">
        <f>'C3 · Recouvrement'!AM22</f>
        <v/>
      </c>
    </row>
    <row r="41">
      <c r="B41" s="133" t="inlineStr">
        <is>
          <t>kpi.rec.litige_amount</t>
        </is>
      </c>
      <c r="C41" s="133" t="inlineStr">
        <is>
          <t>LAST</t>
        </is>
      </c>
      <c r="D41" s="134">
        <f>'C3 · Recouvrement'!D23</f>
        <v/>
      </c>
      <c r="E41" s="134">
        <f>'C3 · Recouvrement'!E23</f>
        <v/>
      </c>
      <c r="F41" s="134">
        <f>'C3 · Recouvrement'!F23</f>
        <v/>
      </c>
      <c r="G41" s="134">
        <f>'C3 · Recouvrement'!G23</f>
        <v/>
      </c>
      <c r="H41" s="134">
        <f>'C3 · Recouvrement'!H23</f>
        <v/>
      </c>
      <c r="I41" s="134">
        <f>'C3 · Recouvrement'!I23</f>
        <v/>
      </c>
      <c r="J41" s="134">
        <f>'C3 · Recouvrement'!J23</f>
        <v/>
      </c>
      <c r="K41" s="134">
        <f>'C3 · Recouvrement'!K23</f>
        <v/>
      </c>
      <c r="L41" s="134">
        <f>'C3 · Recouvrement'!L23</f>
        <v/>
      </c>
      <c r="M41" s="134">
        <f>'C3 · Recouvrement'!M23</f>
        <v/>
      </c>
      <c r="N41" s="134">
        <f>'C3 · Recouvrement'!N23</f>
        <v/>
      </c>
      <c r="O41" s="134">
        <f>'C3 · Recouvrement'!O23</f>
        <v/>
      </c>
      <c r="P41" s="134">
        <f>'C3 · Recouvrement'!P23</f>
        <v/>
      </c>
      <c r="Q41" s="134">
        <f>'C3 · Recouvrement'!Q23</f>
        <v/>
      </c>
      <c r="R41" s="134">
        <f>'C3 · Recouvrement'!R23</f>
        <v/>
      </c>
      <c r="S41" s="134">
        <f>'C3 · Recouvrement'!S23</f>
        <v/>
      </c>
      <c r="T41" s="134">
        <f>'C3 · Recouvrement'!T23</f>
        <v/>
      </c>
      <c r="U41" s="134">
        <f>'C3 · Recouvrement'!U23</f>
        <v/>
      </c>
      <c r="V41" s="134">
        <f>'C3 · Recouvrement'!V23</f>
        <v/>
      </c>
      <c r="W41" s="134">
        <f>'C3 · Recouvrement'!W23</f>
        <v/>
      </c>
      <c r="X41" s="134">
        <f>'C3 · Recouvrement'!X23</f>
        <v/>
      </c>
      <c r="Y41" s="134">
        <f>'C3 · Recouvrement'!Y23</f>
        <v/>
      </c>
      <c r="Z41" s="134">
        <f>'C3 · Recouvrement'!Z23</f>
        <v/>
      </c>
      <c r="AA41" s="134">
        <f>'C3 · Recouvrement'!AA23</f>
        <v/>
      </c>
      <c r="AB41" s="134">
        <f>'C3 · Recouvrement'!AB23</f>
        <v/>
      </c>
      <c r="AC41" s="134">
        <f>'C3 · Recouvrement'!AC23</f>
        <v/>
      </c>
      <c r="AD41" s="134">
        <f>'C3 · Recouvrement'!AD23</f>
        <v/>
      </c>
      <c r="AE41" s="134">
        <f>'C3 · Recouvrement'!AE23</f>
        <v/>
      </c>
      <c r="AF41" s="134">
        <f>'C3 · Recouvrement'!AF23</f>
        <v/>
      </c>
      <c r="AG41" s="134">
        <f>'C3 · Recouvrement'!AG23</f>
        <v/>
      </c>
      <c r="AH41" s="134">
        <f>'C3 · Recouvrement'!AH23</f>
        <v/>
      </c>
      <c r="AI41" s="134">
        <f>'C3 · Recouvrement'!AI23</f>
        <v/>
      </c>
      <c r="AJ41" s="134">
        <f>'C3 · Recouvrement'!AJ23</f>
        <v/>
      </c>
      <c r="AK41" s="134">
        <f>'C3 · Recouvrement'!AK23</f>
        <v/>
      </c>
      <c r="AL41" s="134">
        <f>'C3 · Recouvrement'!AL23</f>
        <v/>
      </c>
      <c r="AM41" s="134">
        <f>'C3 · Recouvrement'!AM23</f>
        <v/>
      </c>
    </row>
    <row r="42">
      <c r="B42" s="133" t="inlineStr">
        <is>
          <t>kpi.rec.litige_resolved</t>
        </is>
      </c>
      <c r="C42" s="133" t="inlineStr">
        <is>
          <t>AVG</t>
        </is>
      </c>
      <c r="D42" s="135">
        <f>'C3 · Recouvrement'!D24</f>
        <v/>
      </c>
      <c r="E42" s="135">
        <f>'C3 · Recouvrement'!E24</f>
        <v/>
      </c>
      <c r="F42" s="135">
        <f>'C3 · Recouvrement'!F24</f>
        <v/>
      </c>
      <c r="G42" s="135">
        <f>'C3 · Recouvrement'!G24</f>
        <v/>
      </c>
      <c r="H42" s="135">
        <f>'C3 · Recouvrement'!H24</f>
        <v/>
      </c>
      <c r="I42" s="135">
        <f>'C3 · Recouvrement'!I24</f>
        <v/>
      </c>
      <c r="J42" s="135">
        <f>'C3 · Recouvrement'!J24</f>
        <v/>
      </c>
      <c r="K42" s="135">
        <f>'C3 · Recouvrement'!K24</f>
        <v/>
      </c>
      <c r="L42" s="135">
        <f>'C3 · Recouvrement'!L24</f>
        <v/>
      </c>
      <c r="M42" s="135">
        <f>'C3 · Recouvrement'!M24</f>
        <v/>
      </c>
      <c r="N42" s="135">
        <f>'C3 · Recouvrement'!N24</f>
        <v/>
      </c>
      <c r="O42" s="135">
        <f>'C3 · Recouvrement'!O24</f>
        <v/>
      </c>
      <c r="P42" s="135">
        <f>'C3 · Recouvrement'!P24</f>
        <v/>
      </c>
      <c r="Q42" s="135">
        <f>'C3 · Recouvrement'!Q24</f>
        <v/>
      </c>
      <c r="R42" s="135">
        <f>'C3 · Recouvrement'!R24</f>
        <v/>
      </c>
      <c r="S42" s="135">
        <f>'C3 · Recouvrement'!S24</f>
        <v/>
      </c>
      <c r="T42" s="135">
        <f>'C3 · Recouvrement'!T24</f>
        <v/>
      </c>
      <c r="U42" s="135">
        <f>'C3 · Recouvrement'!U24</f>
        <v/>
      </c>
      <c r="V42" s="135">
        <f>'C3 · Recouvrement'!V24</f>
        <v/>
      </c>
      <c r="W42" s="135">
        <f>'C3 · Recouvrement'!W24</f>
        <v/>
      </c>
      <c r="X42" s="135">
        <f>'C3 · Recouvrement'!X24</f>
        <v/>
      </c>
      <c r="Y42" s="135">
        <f>'C3 · Recouvrement'!Y24</f>
        <v/>
      </c>
      <c r="Z42" s="135">
        <f>'C3 · Recouvrement'!Z24</f>
        <v/>
      </c>
      <c r="AA42" s="135">
        <f>'C3 · Recouvrement'!AA24</f>
        <v/>
      </c>
      <c r="AB42" s="135">
        <f>'C3 · Recouvrement'!AB24</f>
        <v/>
      </c>
      <c r="AC42" s="135">
        <f>'C3 · Recouvrement'!AC24</f>
        <v/>
      </c>
      <c r="AD42" s="135">
        <f>'C3 · Recouvrement'!AD24</f>
        <v/>
      </c>
      <c r="AE42" s="135">
        <f>'C3 · Recouvrement'!AE24</f>
        <v/>
      </c>
      <c r="AF42" s="135">
        <f>'C3 · Recouvrement'!AF24</f>
        <v/>
      </c>
      <c r="AG42" s="135">
        <f>'C3 · Recouvrement'!AG24</f>
        <v/>
      </c>
      <c r="AH42" s="135">
        <f>'C3 · Recouvrement'!AH24</f>
        <v/>
      </c>
      <c r="AI42" s="135">
        <f>'C3 · Recouvrement'!AI24</f>
        <v/>
      </c>
      <c r="AJ42" s="135">
        <f>'C3 · Recouvrement'!AJ24</f>
        <v/>
      </c>
      <c r="AK42" s="135">
        <f>'C3 · Recouvrement'!AK24</f>
        <v/>
      </c>
      <c r="AL42" s="135">
        <f>'C3 · Recouvrement'!AL24</f>
        <v/>
      </c>
      <c r="AM42" s="135">
        <f>'C3 · Recouvrement'!AM24</f>
        <v/>
      </c>
    </row>
    <row r="43">
      <c r="B43" s="133" t="inlineStr">
        <is>
          <t>kpi.rec.litige_age</t>
        </is>
      </c>
      <c r="C43" s="133" t="inlineStr">
        <is>
          <t>AVG</t>
        </is>
      </c>
      <c r="D43" s="134">
        <f>'C3 · Recouvrement'!D25</f>
        <v/>
      </c>
      <c r="E43" s="134">
        <f>'C3 · Recouvrement'!E25</f>
        <v/>
      </c>
      <c r="F43" s="134">
        <f>'C3 · Recouvrement'!F25</f>
        <v/>
      </c>
      <c r="G43" s="134">
        <f>'C3 · Recouvrement'!G25</f>
        <v/>
      </c>
      <c r="H43" s="134">
        <f>'C3 · Recouvrement'!H25</f>
        <v/>
      </c>
      <c r="I43" s="134">
        <f>'C3 · Recouvrement'!I25</f>
        <v/>
      </c>
      <c r="J43" s="134">
        <f>'C3 · Recouvrement'!J25</f>
        <v/>
      </c>
      <c r="K43" s="134">
        <f>'C3 · Recouvrement'!K25</f>
        <v/>
      </c>
      <c r="L43" s="134">
        <f>'C3 · Recouvrement'!L25</f>
        <v/>
      </c>
      <c r="M43" s="134">
        <f>'C3 · Recouvrement'!M25</f>
        <v/>
      </c>
      <c r="N43" s="134">
        <f>'C3 · Recouvrement'!N25</f>
        <v/>
      </c>
      <c r="O43" s="134">
        <f>'C3 · Recouvrement'!O25</f>
        <v/>
      </c>
      <c r="P43" s="134">
        <f>'C3 · Recouvrement'!P25</f>
        <v/>
      </c>
      <c r="Q43" s="134">
        <f>'C3 · Recouvrement'!Q25</f>
        <v/>
      </c>
      <c r="R43" s="134">
        <f>'C3 · Recouvrement'!R25</f>
        <v/>
      </c>
      <c r="S43" s="134">
        <f>'C3 · Recouvrement'!S25</f>
        <v/>
      </c>
      <c r="T43" s="134">
        <f>'C3 · Recouvrement'!T25</f>
        <v/>
      </c>
      <c r="U43" s="134">
        <f>'C3 · Recouvrement'!U25</f>
        <v/>
      </c>
      <c r="V43" s="134">
        <f>'C3 · Recouvrement'!V25</f>
        <v/>
      </c>
      <c r="W43" s="134">
        <f>'C3 · Recouvrement'!W25</f>
        <v/>
      </c>
      <c r="X43" s="134">
        <f>'C3 · Recouvrement'!X25</f>
        <v/>
      </c>
      <c r="Y43" s="134">
        <f>'C3 · Recouvrement'!Y25</f>
        <v/>
      </c>
      <c r="Z43" s="134">
        <f>'C3 · Recouvrement'!Z25</f>
        <v/>
      </c>
      <c r="AA43" s="134">
        <f>'C3 · Recouvrement'!AA25</f>
        <v/>
      </c>
      <c r="AB43" s="134">
        <f>'C3 · Recouvrement'!AB25</f>
        <v/>
      </c>
      <c r="AC43" s="134">
        <f>'C3 · Recouvrement'!AC25</f>
        <v/>
      </c>
      <c r="AD43" s="134">
        <f>'C3 · Recouvrement'!AD25</f>
        <v/>
      </c>
      <c r="AE43" s="134">
        <f>'C3 · Recouvrement'!AE25</f>
        <v/>
      </c>
      <c r="AF43" s="134">
        <f>'C3 · Recouvrement'!AF25</f>
        <v/>
      </c>
      <c r="AG43" s="134">
        <f>'C3 · Recouvrement'!AG25</f>
        <v/>
      </c>
      <c r="AH43" s="134">
        <f>'C3 · Recouvrement'!AH25</f>
        <v/>
      </c>
      <c r="AI43" s="134">
        <f>'C3 · Recouvrement'!AI25</f>
        <v/>
      </c>
      <c r="AJ43" s="134">
        <f>'C3 · Recouvrement'!AJ25</f>
        <v/>
      </c>
      <c r="AK43" s="134">
        <f>'C3 · Recouvrement'!AK25</f>
        <v/>
      </c>
      <c r="AL43" s="134">
        <f>'C3 · Recouvrement'!AL25</f>
        <v/>
      </c>
      <c r="AM43" s="134">
        <f>'C3 · Recouvrement'!AM25</f>
        <v/>
      </c>
    </row>
    <row r="44">
      <c r="B44" s="133" t="inlineStr">
        <is>
          <t>kpi.foot.total</t>
        </is>
      </c>
      <c r="C44" s="133" t="inlineStr">
        <is>
          <t>SUM</t>
        </is>
      </c>
      <c r="D44" s="134">
        <f>'C4 · Footfall'!D8</f>
        <v/>
      </c>
      <c r="E44" s="134">
        <f>'C4 · Footfall'!E8</f>
        <v/>
      </c>
      <c r="F44" s="134">
        <f>'C4 · Footfall'!F8</f>
        <v/>
      </c>
      <c r="G44" s="134">
        <f>'C4 · Footfall'!G8</f>
        <v/>
      </c>
      <c r="H44" s="134">
        <f>'C4 · Footfall'!H8</f>
        <v/>
      </c>
      <c r="I44" s="134">
        <f>'C4 · Footfall'!I8</f>
        <v/>
      </c>
      <c r="J44" s="134">
        <f>'C4 · Footfall'!J8</f>
        <v/>
      </c>
      <c r="K44" s="134">
        <f>'C4 · Footfall'!K8</f>
        <v/>
      </c>
      <c r="L44" s="134">
        <f>'C4 · Footfall'!L8</f>
        <v/>
      </c>
      <c r="M44" s="134">
        <f>'C4 · Footfall'!M8</f>
        <v/>
      </c>
      <c r="N44" s="134">
        <f>'C4 · Footfall'!N8</f>
        <v/>
      </c>
      <c r="O44" s="134">
        <f>'C4 · Footfall'!O8</f>
        <v/>
      </c>
      <c r="P44" s="134">
        <f>'C4 · Footfall'!P8</f>
        <v/>
      </c>
      <c r="Q44" s="134">
        <f>'C4 · Footfall'!Q8</f>
        <v/>
      </c>
      <c r="R44" s="134">
        <f>'C4 · Footfall'!R8</f>
        <v/>
      </c>
      <c r="S44" s="134">
        <f>'C4 · Footfall'!S8</f>
        <v/>
      </c>
      <c r="T44" s="134">
        <f>'C4 · Footfall'!T8</f>
        <v/>
      </c>
      <c r="U44" s="134">
        <f>'C4 · Footfall'!U8</f>
        <v/>
      </c>
      <c r="V44" s="134">
        <f>'C4 · Footfall'!V8</f>
        <v/>
      </c>
      <c r="W44" s="134">
        <f>'C4 · Footfall'!W8</f>
        <v/>
      </c>
      <c r="X44" s="134">
        <f>'C4 · Footfall'!X8</f>
        <v/>
      </c>
      <c r="Y44" s="134">
        <f>'C4 · Footfall'!Y8</f>
        <v/>
      </c>
      <c r="Z44" s="134">
        <f>'C4 · Footfall'!Z8</f>
        <v/>
      </c>
      <c r="AA44" s="134">
        <f>'C4 · Footfall'!AA8</f>
        <v/>
      </c>
      <c r="AB44" s="134">
        <f>'C4 · Footfall'!AB8</f>
        <v/>
      </c>
      <c r="AC44" s="134">
        <f>'C4 · Footfall'!AC8</f>
        <v/>
      </c>
      <c r="AD44" s="134">
        <f>'C4 · Footfall'!AD8</f>
        <v/>
      </c>
      <c r="AE44" s="134">
        <f>'C4 · Footfall'!AE8</f>
        <v/>
      </c>
      <c r="AF44" s="134">
        <f>'C4 · Footfall'!AF8</f>
        <v/>
      </c>
      <c r="AG44" s="134">
        <f>'C4 · Footfall'!AG8</f>
        <v/>
      </c>
      <c r="AH44" s="134">
        <f>'C4 · Footfall'!AH8</f>
        <v/>
      </c>
      <c r="AI44" s="134">
        <f>'C4 · Footfall'!AI8</f>
        <v/>
      </c>
      <c r="AJ44" s="134">
        <f>'C4 · Footfall'!AJ8</f>
        <v/>
      </c>
      <c r="AK44" s="134">
        <f>'C4 · Footfall'!AK8</f>
        <v/>
      </c>
      <c r="AL44" s="134">
        <f>'C4 · Footfall'!AL8</f>
        <v/>
      </c>
      <c r="AM44" s="134">
        <f>'C4 · Footfall'!AM8</f>
        <v/>
      </c>
    </row>
    <row r="45">
      <c r="B45" s="133" t="inlineStr">
        <is>
          <t>kpi.foot.vs_budget</t>
        </is>
      </c>
      <c r="C45" s="133" t="inlineStr">
        <is>
          <t>RATIO</t>
        </is>
      </c>
      <c r="D45" s="135">
        <f>'C4 · Footfall'!D9</f>
        <v/>
      </c>
      <c r="E45" s="135">
        <f>'C4 · Footfall'!E9</f>
        <v/>
      </c>
      <c r="F45" s="135">
        <f>'C4 · Footfall'!F9</f>
        <v/>
      </c>
      <c r="G45" s="135">
        <f>'C4 · Footfall'!G9</f>
        <v/>
      </c>
      <c r="H45" s="135">
        <f>'C4 · Footfall'!H9</f>
        <v/>
      </c>
      <c r="I45" s="135">
        <f>'C4 · Footfall'!I9</f>
        <v/>
      </c>
      <c r="J45" s="135">
        <f>'C4 · Footfall'!J9</f>
        <v/>
      </c>
      <c r="K45" s="135">
        <f>'C4 · Footfall'!K9</f>
        <v/>
      </c>
      <c r="L45" s="135">
        <f>'C4 · Footfall'!L9</f>
        <v/>
      </c>
      <c r="M45" s="135">
        <f>'C4 · Footfall'!M9</f>
        <v/>
      </c>
      <c r="N45" s="135">
        <f>'C4 · Footfall'!N9</f>
        <v/>
      </c>
      <c r="O45" s="135">
        <f>'C4 · Footfall'!O9</f>
        <v/>
      </c>
      <c r="P45" s="135">
        <f>'C4 · Footfall'!P9</f>
        <v/>
      </c>
      <c r="Q45" s="135">
        <f>'C4 · Footfall'!Q9</f>
        <v/>
      </c>
      <c r="R45" s="135">
        <f>'C4 · Footfall'!R9</f>
        <v/>
      </c>
      <c r="S45" s="135">
        <f>'C4 · Footfall'!S9</f>
        <v/>
      </c>
      <c r="T45" s="135">
        <f>'C4 · Footfall'!T9</f>
        <v/>
      </c>
      <c r="U45" s="135">
        <f>'C4 · Footfall'!U9</f>
        <v/>
      </c>
      <c r="V45" s="135">
        <f>'C4 · Footfall'!V9</f>
        <v/>
      </c>
      <c r="W45" s="135">
        <f>'C4 · Footfall'!W9</f>
        <v/>
      </c>
      <c r="X45" s="135">
        <f>'C4 · Footfall'!X9</f>
        <v/>
      </c>
      <c r="Y45" s="135">
        <f>'C4 · Footfall'!Y9</f>
        <v/>
      </c>
      <c r="Z45" s="135">
        <f>'C4 · Footfall'!Z9</f>
        <v/>
      </c>
      <c r="AA45" s="135">
        <f>'C4 · Footfall'!AA9</f>
        <v/>
      </c>
      <c r="AB45" s="135">
        <f>'C4 · Footfall'!AB9</f>
        <v/>
      </c>
      <c r="AC45" s="135">
        <f>'C4 · Footfall'!AC9</f>
        <v/>
      </c>
      <c r="AD45" s="135">
        <f>'C4 · Footfall'!AD9</f>
        <v/>
      </c>
      <c r="AE45" s="135">
        <f>'C4 · Footfall'!AE9</f>
        <v/>
      </c>
      <c r="AF45" s="135">
        <f>'C4 · Footfall'!AF9</f>
        <v/>
      </c>
      <c r="AG45" s="135">
        <f>'C4 · Footfall'!AG9</f>
        <v/>
      </c>
      <c r="AH45" s="135">
        <f>'C4 · Footfall'!AH9</f>
        <v/>
      </c>
      <c r="AI45" s="135">
        <f>'C4 · Footfall'!AI9</f>
        <v/>
      </c>
      <c r="AJ45" s="135">
        <f>'C4 · Footfall'!AJ9</f>
        <v/>
      </c>
      <c r="AK45" s="135">
        <f>'C4 · Footfall'!AK9</f>
        <v/>
      </c>
      <c r="AL45" s="135">
        <f>'C4 · Footfall'!AL9</f>
        <v/>
      </c>
      <c r="AM45" s="135">
        <f>'C4 · Footfall'!AM9</f>
        <v/>
      </c>
    </row>
    <row r="46">
      <c r="B46" s="133" t="inlineStr">
        <is>
          <t>kpi.foot.per_sqm</t>
        </is>
      </c>
      <c r="C46" s="133" t="inlineStr">
        <is>
          <t>RATIO</t>
        </is>
      </c>
      <c r="D46" s="134">
        <f>'C4 · Footfall'!D10</f>
        <v/>
      </c>
      <c r="E46" s="134">
        <f>'C4 · Footfall'!E10</f>
        <v/>
      </c>
      <c r="F46" s="134">
        <f>'C4 · Footfall'!F10</f>
        <v/>
      </c>
      <c r="G46" s="134">
        <f>'C4 · Footfall'!G10</f>
        <v/>
      </c>
      <c r="H46" s="134">
        <f>'C4 · Footfall'!H10</f>
        <v/>
      </c>
      <c r="I46" s="134">
        <f>'C4 · Footfall'!I10</f>
        <v/>
      </c>
      <c r="J46" s="134">
        <f>'C4 · Footfall'!J10</f>
        <v/>
      </c>
      <c r="K46" s="134">
        <f>'C4 · Footfall'!K10</f>
        <v/>
      </c>
      <c r="L46" s="134">
        <f>'C4 · Footfall'!L10</f>
        <v/>
      </c>
      <c r="M46" s="134">
        <f>'C4 · Footfall'!M10</f>
        <v/>
      </c>
      <c r="N46" s="134">
        <f>'C4 · Footfall'!N10</f>
        <v/>
      </c>
      <c r="O46" s="134">
        <f>'C4 · Footfall'!O10</f>
        <v/>
      </c>
      <c r="P46" s="134">
        <f>'C4 · Footfall'!P10</f>
        <v/>
      </c>
      <c r="Q46" s="134">
        <f>'C4 · Footfall'!Q10</f>
        <v/>
      </c>
      <c r="R46" s="134">
        <f>'C4 · Footfall'!R10</f>
        <v/>
      </c>
      <c r="S46" s="134">
        <f>'C4 · Footfall'!S10</f>
        <v/>
      </c>
      <c r="T46" s="134">
        <f>'C4 · Footfall'!T10</f>
        <v/>
      </c>
      <c r="U46" s="134">
        <f>'C4 · Footfall'!U10</f>
        <v/>
      </c>
      <c r="V46" s="134">
        <f>'C4 · Footfall'!V10</f>
        <v/>
      </c>
      <c r="W46" s="134">
        <f>'C4 · Footfall'!W10</f>
        <v/>
      </c>
      <c r="X46" s="134">
        <f>'C4 · Footfall'!X10</f>
        <v/>
      </c>
      <c r="Y46" s="134">
        <f>'C4 · Footfall'!Y10</f>
        <v/>
      </c>
      <c r="Z46" s="134">
        <f>'C4 · Footfall'!Z10</f>
        <v/>
      </c>
      <c r="AA46" s="134">
        <f>'C4 · Footfall'!AA10</f>
        <v/>
      </c>
      <c r="AB46" s="134">
        <f>'C4 · Footfall'!AB10</f>
        <v/>
      </c>
      <c r="AC46" s="134">
        <f>'C4 · Footfall'!AC10</f>
        <v/>
      </c>
      <c r="AD46" s="134">
        <f>'C4 · Footfall'!AD10</f>
        <v/>
      </c>
      <c r="AE46" s="134">
        <f>'C4 · Footfall'!AE10</f>
        <v/>
      </c>
      <c r="AF46" s="134">
        <f>'C4 · Footfall'!AF10</f>
        <v/>
      </c>
      <c r="AG46" s="134">
        <f>'C4 · Footfall'!AG10</f>
        <v/>
      </c>
      <c r="AH46" s="134">
        <f>'C4 · Footfall'!AH10</f>
        <v/>
      </c>
      <c r="AI46" s="134">
        <f>'C4 · Footfall'!AI10</f>
        <v/>
      </c>
      <c r="AJ46" s="134">
        <f>'C4 · Footfall'!AJ10</f>
        <v/>
      </c>
      <c r="AK46" s="134">
        <f>'C4 · Footfall'!AK10</f>
        <v/>
      </c>
      <c r="AL46" s="134">
        <f>'C4 · Footfall'!AL10</f>
        <v/>
      </c>
      <c r="AM46" s="134">
        <f>'C4 · Footfall'!AM10</f>
        <v/>
      </c>
    </row>
    <row r="47">
      <c r="B47" s="133" t="inlineStr">
        <is>
          <t>kpi.foot.conversion</t>
        </is>
      </c>
      <c r="C47" s="133" t="inlineStr">
        <is>
          <t>RATIO</t>
        </is>
      </c>
      <c r="D47" s="135">
        <f>'C4 · Footfall'!D11</f>
        <v/>
      </c>
      <c r="E47" s="135">
        <f>'C4 · Footfall'!E11</f>
        <v/>
      </c>
      <c r="F47" s="135">
        <f>'C4 · Footfall'!F11</f>
        <v/>
      </c>
      <c r="G47" s="135">
        <f>'C4 · Footfall'!G11</f>
        <v/>
      </c>
      <c r="H47" s="135">
        <f>'C4 · Footfall'!H11</f>
        <v/>
      </c>
      <c r="I47" s="135">
        <f>'C4 · Footfall'!I11</f>
        <v/>
      </c>
      <c r="J47" s="135">
        <f>'C4 · Footfall'!J11</f>
        <v/>
      </c>
      <c r="K47" s="135">
        <f>'C4 · Footfall'!K11</f>
        <v/>
      </c>
      <c r="L47" s="135">
        <f>'C4 · Footfall'!L11</f>
        <v/>
      </c>
      <c r="M47" s="135">
        <f>'C4 · Footfall'!M11</f>
        <v/>
      </c>
      <c r="N47" s="135">
        <f>'C4 · Footfall'!N11</f>
        <v/>
      </c>
      <c r="O47" s="135">
        <f>'C4 · Footfall'!O11</f>
        <v/>
      </c>
      <c r="P47" s="135">
        <f>'C4 · Footfall'!P11</f>
        <v/>
      </c>
      <c r="Q47" s="135">
        <f>'C4 · Footfall'!Q11</f>
        <v/>
      </c>
      <c r="R47" s="135">
        <f>'C4 · Footfall'!R11</f>
        <v/>
      </c>
      <c r="S47" s="135">
        <f>'C4 · Footfall'!S11</f>
        <v/>
      </c>
      <c r="T47" s="135">
        <f>'C4 · Footfall'!T11</f>
        <v/>
      </c>
      <c r="U47" s="135">
        <f>'C4 · Footfall'!U11</f>
        <v/>
      </c>
      <c r="V47" s="135">
        <f>'C4 · Footfall'!V11</f>
        <v/>
      </c>
      <c r="W47" s="135">
        <f>'C4 · Footfall'!W11</f>
        <v/>
      </c>
      <c r="X47" s="135">
        <f>'C4 · Footfall'!X11</f>
        <v/>
      </c>
      <c r="Y47" s="135">
        <f>'C4 · Footfall'!Y11</f>
        <v/>
      </c>
      <c r="Z47" s="135">
        <f>'C4 · Footfall'!Z11</f>
        <v/>
      </c>
      <c r="AA47" s="135">
        <f>'C4 · Footfall'!AA11</f>
        <v/>
      </c>
      <c r="AB47" s="135">
        <f>'C4 · Footfall'!AB11</f>
        <v/>
      </c>
      <c r="AC47" s="135">
        <f>'C4 · Footfall'!AC11</f>
        <v/>
      </c>
      <c r="AD47" s="135">
        <f>'C4 · Footfall'!AD11</f>
        <v/>
      </c>
      <c r="AE47" s="135">
        <f>'C4 · Footfall'!AE11</f>
        <v/>
      </c>
      <c r="AF47" s="135">
        <f>'C4 · Footfall'!AF11</f>
        <v/>
      </c>
      <c r="AG47" s="135">
        <f>'C4 · Footfall'!AG11</f>
        <v/>
      </c>
      <c r="AH47" s="135">
        <f>'C4 · Footfall'!AH11</f>
        <v/>
      </c>
      <c r="AI47" s="135">
        <f>'C4 · Footfall'!AI11</f>
        <v/>
      </c>
      <c r="AJ47" s="135">
        <f>'C4 · Footfall'!AJ11</f>
        <v/>
      </c>
      <c r="AK47" s="135">
        <f>'C4 · Footfall'!AK11</f>
        <v/>
      </c>
      <c r="AL47" s="135">
        <f>'C4 · Footfall'!AL11</f>
        <v/>
      </c>
      <c r="AM47" s="135">
        <f>'C4 · Footfall'!AM11</f>
        <v/>
      </c>
    </row>
    <row r="48">
      <c r="B48" s="133" t="inlineStr">
        <is>
          <t>kpi.foot.dwell</t>
        </is>
      </c>
      <c r="C48" s="133" t="inlineStr">
        <is>
          <t>AVG</t>
        </is>
      </c>
      <c r="D48" s="134">
        <f>'C4 · Footfall'!D12</f>
        <v/>
      </c>
      <c r="E48" s="134">
        <f>'C4 · Footfall'!E12</f>
        <v/>
      </c>
      <c r="F48" s="134">
        <f>'C4 · Footfall'!F12</f>
        <v/>
      </c>
      <c r="G48" s="134">
        <f>'C4 · Footfall'!G12</f>
        <v/>
      </c>
      <c r="H48" s="134">
        <f>'C4 · Footfall'!H12</f>
        <v/>
      </c>
      <c r="I48" s="134">
        <f>'C4 · Footfall'!I12</f>
        <v/>
      </c>
      <c r="J48" s="134">
        <f>'C4 · Footfall'!J12</f>
        <v/>
      </c>
      <c r="K48" s="134">
        <f>'C4 · Footfall'!K12</f>
        <v/>
      </c>
      <c r="L48" s="134">
        <f>'C4 · Footfall'!L12</f>
        <v/>
      </c>
      <c r="M48" s="134">
        <f>'C4 · Footfall'!M12</f>
        <v/>
      </c>
      <c r="N48" s="134">
        <f>'C4 · Footfall'!N12</f>
        <v/>
      </c>
      <c r="O48" s="134">
        <f>'C4 · Footfall'!O12</f>
        <v/>
      </c>
      <c r="P48" s="134">
        <f>'C4 · Footfall'!P12</f>
        <v/>
      </c>
      <c r="Q48" s="134">
        <f>'C4 · Footfall'!Q12</f>
        <v/>
      </c>
      <c r="R48" s="134">
        <f>'C4 · Footfall'!R12</f>
        <v/>
      </c>
      <c r="S48" s="134">
        <f>'C4 · Footfall'!S12</f>
        <v/>
      </c>
      <c r="T48" s="134">
        <f>'C4 · Footfall'!T12</f>
        <v/>
      </c>
      <c r="U48" s="134">
        <f>'C4 · Footfall'!U12</f>
        <v/>
      </c>
      <c r="V48" s="134">
        <f>'C4 · Footfall'!V12</f>
        <v/>
      </c>
      <c r="W48" s="134">
        <f>'C4 · Footfall'!W12</f>
        <v/>
      </c>
      <c r="X48" s="134">
        <f>'C4 · Footfall'!X12</f>
        <v/>
      </c>
      <c r="Y48" s="134">
        <f>'C4 · Footfall'!Y12</f>
        <v/>
      </c>
      <c r="Z48" s="134">
        <f>'C4 · Footfall'!Z12</f>
        <v/>
      </c>
      <c r="AA48" s="134">
        <f>'C4 · Footfall'!AA12</f>
        <v/>
      </c>
      <c r="AB48" s="134">
        <f>'C4 · Footfall'!AB12</f>
        <v/>
      </c>
      <c r="AC48" s="134">
        <f>'C4 · Footfall'!AC12</f>
        <v/>
      </c>
      <c r="AD48" s="134">
        <f>'C4 · Footfall'!AD12</f>
        <v/>
      </c>
      <c r="AE48" s="134">
        <f>'C4 · Footfall'!AE12</f>
        <v/>
      </c>
      <c r="AF48" s="134">
        <f>'C4 · Footfall'!AF12</f>
        <v/>
      </c>
      <c r="AG48" s="134">
        <f>'C4 · Footfall'!AG12</f>
        <v/>
      </c>
      <c r="AH48" s="134">
        <f>'C4 · Footfall'!AH12</f>
        <v/>
      </c>
      <c r="AI48" s="134">
        <f>'C4 · Footfall'!AI12</f>
        <v/>
      </c>
      <c r="AJ48" s="134">
        <f>'C4 · Footfall'!AJ12</f>
        <v/>
      </c>
      <c r="AK48" s="134">
        <f>'C4 · Footfall'!AK12</f>
        <v/>
      </c>
      <c r="AL48" s="134">
        <f>'C4 · Footfall'!AL12</f>
        <v/>
      </c>
      <c r="AM48" s="134">
        <f>'C4 · Footfall'!AM12</f>
        <v/>
      </c>
    </row>
    <row r="49">
      <c r="B49" s="133" t="inlineStr">
        <is>
          <t>kpi.foot.peak_share</t>
        </is>
      </c>
      <c r="C49" s="133" t="inlineStr">
        <is>
          <t>AVG</t>
        </is>
      </c>
      <c r="D49" s="135">
        <f>'C4 · Footfall'!D13</f>
        <v/>
      </c>
      <c r="E49" s="135">
        <f>'C4 · Footfall'!E13</f>
        <v/>
      </c>
      <c r="F49" s="135">
        <f>'C4 · Footfall'!F13</f>
        <v/>
      </c>
      <c r="G49" s="135">
        <f>'C4 · Footfall'!G13</f>
        <v/>
      </c>
      <c r="H49" s="135">
        <f>'C4 · Footfall'!H13</f>
        <v/>
      </c>
      <c r="I49" s="135">
        <f>'C4 · Footfall'!I13</f>
        <v/>
      </c>
      <c r="J49" s="135">
        <f>'C4 · Footfall'!J13</f>
        <v/>
      </c>
      <c r="K49" s="135">
        <f>'C4 · Footfall'!K13</f>
        <v/>
      </c>
      <c r="L49" s="135">
        <f>'C4 · Footfall'!L13</f>
        <v/>
      </c>
      <c r="M49" s="135">
        <f>'C4 · Footfall'!M13</f>
        <v/>
      </c>
      <c r="N49" s="135">
        <f>'C4 · Footfall'!N13</f>
        <v/>
      </c>
      <c r="O49" s="135">
        <f>'C4 · Footfall'!O13</f>
        <v/>
      </c>
      <c r="P49" s="135">
        <f>'C4 · Footfall'!P13</f>
        <v/>
      </c>
      <c r="Q49" s="135">
        <f>'C4 · Footfall'!Q13</f>
        <v/>
      </c>
      <c r="R49" s="135">
        <f>'C4 · Footfall'!R13</f>
        <v/>
      </c>
      <c r="S49" s="135">
        <f>'C4 · Footfall'!S13</f>
        <v/>
      </c>
      <c r="T49" s="135">
        <f>'C4 · Footfall'!T13</f>
        <v/>
      </c>
      <c r="U49" s="135">
        <f>'C4 · Footfall'!U13</f>
        <v/>
      </c>
      <c r="V49" s="135">
        <f>'C4 · Footfall'!V13</f>
        <v/>
      </c>
      <c r="W49" s="135">
        <f>'C4 · Footfall'!W13</f>
        <v/>
      </c>
      <c r="X49" s="135">
        <f>'C4 · Footfall'!X13</f>
        <v/>
      </c>
      <c r="Y49" s="135">
        <f>'C4 · Footfall'!Y13</f>
        <v/>
      </c>
      <c r="Z49" s="135">
        <f>'C4 · Footfall'!Z13</f>
        <v/>
      </c>
      <c r="AA49" s="135">
        <f>'C4 · Footfall'!AA13</f>
        <v/>
      </c>
      <c r="AB49" s="135">
        <f>'C4 · Footfall'!AB13</f>
        <v/>
      </c>
      <c r="AC49" s="135">
        <f>'C4 · Footfall'!AC13</f>
        <v/>
      </c>
      <c r="AD49" s="135">
        <f>'C4 · Footfall'!AD13</f>
        <v/>
      </c>
      <c r="AE49" s="135">
        <f>'C4 · Footfall'!AE13</f>
        <v/>
      </c>
      <c r="AF49" s="135">
        <f>'C4 · Footfall'!AF13</f>
        <v/>
      </c>
      <c r="AG49" s="135">
        <f>'C4 · Footfall'!AG13</f>
        <v/>
      </c>
      <c r="AH49" s="135">
        <f>'C4 · Footfall'!AH13</f>
        <v/>
      </c>
      <c r="AI49" s="135">
        <f>'C4 · Footfall'!AI13</f>
        <v/>
      </c>
      <c r="AJ49" s="135">
        <f>'C4 · Footfall'!AJ13</f>
        <v/>
      </c>
      <c r="AK49" s="135">
        <f>'C4 · Footfall'!AK13</f>
        <v/>
      </c>
      <c r="AL49" s="135">
        <f>'C4 · Footfall'!AL13</f>
        <v/>
      </c>
      <c r="AM49" s="135">
        <f>'C4 · Footfall'!AM13</f>
        <v/>
      </c>
    </row>
    <row r="50">
      <c r="B50" s="133" t="inlineStr">
        <is>
          <t>kpi.foot.weekend_share</t>
        </is>
      </c>
      <c r="C50" s="133" t="inlineStr">
        <is>
          <t>AVG</t>
        </is>
      </c>
      <c r="D50" s="135">
        <f>'C4 · Footfall'!D14</f>
        <v/>
      </c>
      <c r="E50" s="135">
        <f>'C4 · Footfall'!E14</f>
        <v/>
      </c>
      <c r="F50" s="135">
        <f>'C4 · Footfall'!F14</f>
        <v/>
      </c>
      <c r="G50" s="135">
        <f>'C4 · Footfall'!G14</f>
        <v/>
      </c>
      <c r="H50" s="135">
        <f>'C4 · Footfall'!H14</f>
        <v/>
      </c>
      <c r="I50" s="135">
        <f>'C4 · Footfall'!I14</f>
        <v/>
      </c>
      <c r="J50" s="135">
        <f>'C4 · Footfall'!J14</f>
        <v/>
      </c>
      <c r="K50" s="135">
        <f>'C4 · Footfall'!K14</f>
        <v/>
      </c>
      <c r="L50" s="135">
        <f>'C4 · Footfall'!L14</f>
        <v/>
      </c>
      <c r="M50" s="135">
        <f>'C4 · Footfall'!M14</f>
        <v/>
      </c>
      <c r="N50" s="135">
        <f>'C4 · Footfall'!N14</f>
        <v/>
      </c>
      <c r="O50" s="135">
        <f>'C4 · Footfall'!O14</f>
        <v/>
      </c>
      <c r="P50" s="135">
        <f>'C4 · Footfall'!P14</f>
        <v/>
      </c>
      <c r="Q50" s="135">
        <f>'C4 · Footfall'!Q14</f>
        <v/>
      </c>
      <c r="R50" s="135">
        <f>'C4 · Footfall'!R14</f>
        <v/>
      </c>
      <c r="S50" s="135">
        <f>'C4 · Footfall'!S14</f>
        <v/>
      </c>
      <c r="T50" s="135">
        <f>'C4 · Footfall'!T14</f>
        <v/>
      </c>
      <c r="U50" s="135">
        <f>'C4 · Footfall'!U14</f>
        <v/>
      </c>
      <c r="V50" s="135">
        <f>'C4 · Footfall'!V14</f>
        <v/>
      </c>
      <c r="W50" s="135">
        <f>'C4 · Footfall'!W14</f>
        <v/>
      </c>
      <c r="X50" s="135">
        <f>'C4 · Footfall'!X14</f>
        <v/>
      </c>
      <c r="Y50" s="135">
        <f>'C4 · Footfall'!Y14</f>
        <v/>
      </c>
      <c r="Z50" s="135">
        <f>'C4 · Footfall'!Z14</f>
        <v/>
      </c>
      <c r="AA50" s="135">
        <f>'C4 · Footfall'!AA14</f>
        <v/>
      </c>
      <c r="AB50" s="135">
        <f>'C4 · Footfall'!AB14</f>
        <v/>
      </c>
      <c r="AC50" s="135">
        <f>'C4 · Footfall'!AC14</f>
        <v/>
      </c>
      <c r="AD50" s="135">
        <f>'C4 · Footfall'!AD14</f>
        <v/>
      </c>
      <c r="AE50" s="135">
        <f>'C4 · Footfall'!AE14</f>
        <v/>
      </c>
      <c r="AF50" s="135">
        <f>'C4 · Footfall'!AF14</f>
        <v/>
      </c>
      <c r="AG50" s="135">
        <f>'C4 · Footfall'!AG14</f>
        <v/>
      </c>
      <c r="AH50" s="135">
        <f>'C4 · Footfall'!AH14</f>
        <v/>
      </c>
      <c r="AI50" s="135">
        <f>'C4 · Footfall'!AI14</f>
        <v/>
      </c>
      <c r="AJ50" s="135">
        <f>'C4 · Footfall'!AJ14</f>
        <v/>
      </c>
      <c r="AK50" s="135">
        <f>'C4 · Footfall'!AK14</f>
        <v/>
      </c>
      <c r="AL50" s="135">
        <f>'C4 · Footfall'!AL14</f>
        <v/>
      </c>
      <c r="AM50" s="135">
        <f>'C4 · Footfall'!AM14</f>
        <v/>
      </c>
    </row>
    <row r="51">
      <c r="B51" s="133" t="inlineStr">
        <is>
          <t>kpi.mkt.events</t>
        </is>
      </c>
      <c r="C51" s="133" t="inlineStr">
        <is>
          <t>SUM</t>
        </is>
      </c>
      <c r="D51" s="134">
        <f>'C5 · Marketing'!D8</f>
        <v/>
      </c>
      <c r="E51" s="134">
        <f>'C5 · Marketing'!E8</f>
        <v/>
      </c>
      <c r="F51" s="134">
        <f>'C5 · Marketing'!F8</f>
        <v/>
      </c>
      <c r="G51" s="134">
        <f>'C5 · Marketing'!G8</f>
        <v/>
      </c>
      <c r="H51" s="134">
        <f>'C5 · Marketing'!H8</f>
        <v/>
      </c>
      <c r="I51" s="134">
        <f>'C5 · Marketing'!I8</f>
        <v/>
      </c>
      <c r="J51" s="134">
        <f>'C5 · Marketing'!J8</f>
        <v/>
      </c>
      <c r="K51" s="134">
        <f>'C5 · Marketing'!K8</f>
        <v/>
      </c>
      <c r="L51" s="134">
        <f>'C5 · Marketing'!L8</f>
        <v/>
      </c>
      <c r="M51" s="134">
        <f>'C5 · Marketing'!M8</f>
        <v/>
      </c>
      <c r="N51" s="134">
        <f>'C5 · Marketing'!N8</f>
        <v/>
      </c>
      <c r="O51" s="134">
        <f>'C5 · Marketing'!O8</f>
        <v/>
      </c>
      <c r="P51" s="134">
        <f>'C5 · Marketing'!P8</f>
        <v/>
      </c>
      <c r="Q51" s="134">
        <f>'C5 · Marketing'!Q8</f>
        <v/>
      </c>
      <c r="R51" s="134">
        <f>'C5 · Marketing'!R8</f>
        <v/>
      </c>
      <c r="S51" s="134">
        <f>'C5 · Marketing'!S8</f>
        <v/>
      </c>
      <c r="T51" s="134">
        <f>'C5 · Marketing'!T8</f>
        <v/>
      </c>
      <c r="U51" s="134">
        <f>'C5 · Marketing'!U8</f>
        <v/>
      </c>
      <c r="V51" s="134">
        <f>'C5 · Marketing'!V8</f>
        <v/>
      </c>
      <c r="W51" s="134">
        <f>'C5 · Marketing'!W8</f>
        <v/>
      </c>
      <c r="X51" s="134">
        <f>'C5 · Marketing'!X8</f>
        <v/>
      </c>
      <c r="Y51" s="134">
        <f>'C5 · Marketing'!Y8</f>
        <v/>
      </c>
      <c r="Z51" s="134">
        <f>'C5 · Marketing'!Z8</f>
        <v/>
      </c>
      <c r="AA51" s="134">
        <f>'C5 · Marketing'!AA8</f>
        <v/>
      </c>
      <c r="AB51" s="134">
        <f>'C5 · Marketing'!AB8</f>
        <v/>
      </c>
      <c r="AC51" s="134">
        <f>'C5 · Marketing'!AC8</f>
        <v/>
      </c>
      <c r="AD51" s="134">
        <f>'C5 · Marketing'!AD8</f>
        <v/>
      </c>
      <c r="AE51" s="134">
        <f>'C5 · Marketing'!AE8</f>
        <v/>
      </c>
      <c r="AF51" s="134">
        <f>'C5 · Marketing'!AF8</f>
        <v/>
      </c>
      <c r="AG51" s="134">
        <f>'C5 · Marketing'!AG8</f>
        <v/>
      </c>
      <c r="AH51" s="134">
        <f>'C5 · Marketing'!AH8</f>
        <v/>
      </c>
      <c r="AI51" s="134">
        <f>'C5 · Marketing'!AI8</f>
        <v/>
      </c>
      <c r="AJ51" s="134">
        <f>'C5 · Marketing'!AJ8</f>
        <v/>
      </c>
      <c r="AK51" s="134">
        <f>'C5 · Marketing'!AK8</f>
        <v/>
      </c>
      <c r="AL51" s="134">
        <f>'C5 · Marketing'!AL8</f>
        <v/>
      </c>
      <c r="AM51" s="134">
        <f>'C5 · Marketing'!AM8</f>
        <v/>
      </c>
    </row>
    <row r="52">
      <c r="B52" s="133" t="inlineStr">
        <is>
          <t>kpi.mkt.event_att</t>
        </is>
      </c>
      <c r="C52" s="133" t="inlineStr">
        <is>
          <t>SUM</t>
        </is>
      </c>
      <c r="D52" s="134">
        <f>'C5 · Marketing'!D9</f>
        <v/>
      </c>
      <c r="E52" s="134">
        <f>'C5 · Marketing'!E9</f>
        <v/>
      </c>
      <c r="F52" s="134">
        <f>'C5 · Marketing'!F9</f>
        <v/>
      </c>
      <c r="G52" s="134">
        <f>'C5 · Marketing'!G9</f>
        <v/>
      </c>
      <c r="H52" s="134">
        <f>'C5 · Marketing'!H9</f>
        <v/>
      </c>
      <c r="I52" s="134">
        <f>'C5 · Marketing'!I9</f>
        <v/>
      </c>
      <c r="J52" s="134">
        <f>'C5 · Marketing'!J9</f>
        <v/>
      </c>
      <c r="K52" s="134">
        <f>'C5 · Marketing'!K9</f>
        <v/>
      </c>
      <c r="L52" s="134">
        <f>'C5 · Marketing'!L9</f>
        <v/>
      </c>
      <c r="M52" s="134">
        <f>'C5 · Marketing'!M9</f>
        <v/>
      </c>
      <c r="N52" s="134">
        <f>'C5 · Marketing'!N9</f>
        <v/>
      </c>
      <c r="O52" s="134">
        <f>'C5 · Marketing'!O9</f>
        <v/>
      </c>
      <c r="P52" s="134">
        <f>'C5 · Marketing'!P9</f>
        <v/>
      </c>
      <c r="Q52" s="134">
        <f>'C5 · Marketing'!Q9</f>
        <v/>
      </c>
      <c r="R52" s="134">
        <f>'C5 · Marketing'!R9</f>
        <v/>
      </c>
      <c r="S52" s="134">
        <f>'C5 · Marketing'!S9</f>
        <v/>
      </c>
      <c r="T52" s="134">
        <f>'C5 · Marketing'!T9</f>
        <v/>
      </c>
      <c r="U52" s="134">
        <f>'C5 · Marketing'!U9</f>
        <v/>
      </c>
      <c r="V52" s="134">
        <f>'C5 · Marketing'!V9</f>
        <v/>
      </c>
      <c r="W52" s="134">
        <f>'C5 · Marketing'!W9</f>
        <v/>
      </c>
      <c r="X52" s="134">
        <f>'C5 · Marketing'!X9</f>
        <v/>
      </c>
      <c r="Y52" s="134">
        <f>'C5 · Marketing'!Y9</f>
        <v/>
      </c>
      <c r="Z52" s="134">
        <f>'C5 · Marketing'!Z9</f>
        <v/>
      </c>
      <c r="AA52" s="134">
        <f>'C5 · Marketing'!AA9</f>
        <v/>
      </c>
      <c r="AB52" s="134">
        <f>'C5 · Marketing'!AB9</f>
        <v/>
      </c>
      <c r="AC52" s="134">
        <f>'C5 · Marketing'!AC9</f>
        <v/>
      </c>
      <c r="AD52" s="134">
        <f>'C5 · Marketing'!AD9</f>
        <v/>
      </c>
      <c r="AE52" s="134">
        <f>'C5 · Marketing'!AE9</f>
        <v/>
      </c>
      <c r="AF52" s="134">
        <f>'C5 · Marketing'!AF9</f>
        <v/>
      </c>
      <c r="AG52" s="134">
        <f>'C5 · Marketing'!AG9</f>
        <v/>
      </c>
      <c r="AH52" s="134">
        <f>'C5 · Marketing'!AH9</f>
        <v/>
      </c>
      <c r="AI52" s="134">
        <f>'C5 · Marketing'!AI9</f>
        <v/>
      </c>
      <c r="AJ52" s="134">
        <f>'C5 · Marketing'!AJ9</f>
        <v/>
      </c>
      <c r="AK52" s="134">
        <f>'C5 · Marketing'!AK9</f>
        <v/>
      </c>
      <c r="AL52" s="134">
        <f>'C5 · Marketing'!AL9</f>
        <v/>
      </c>
      <c r="AM52" s="134">
        <f>'C5 · Marketing'!AM9</f>
        <v/>
      </c>
    </row>
    <row r="53">
      <c r="B53" s="133" t="inlineStr">
        <is>
          <t>kpi.mkt.event_roi</t>
        </is>
      </c>
      <c r="C53" s="133" t="inlineStr">
        <is>
          <t>RATIO</t>
        </is>
      </c>
      <c r="D53" s="135">
        <f>'C5 · Marketing'!D10</f>
        <v/>
      </c>
      <c r="E53" s="135">
        <f>'C5 · Marketing'!E10</f>
        <v/>
      </c>
      <c r="F53" s="135">
        <f>'C5 · Marketing'!F10</f>
        <v/>
      </c>
      <c r="G53" s="135">
        <f>'C5 · Marketing'!G10</f>
        <v/>
      </c>
      <c r="H53" s="135">
        <f>'C5 · Marketing'!H10</f>
        <v/>
      </c>
      <c r="I53" s="135">
        <f>'C5 · Marketing'!I10</f>
        <v/>
      </c>
      <c r="J53" s="135">
        <f>'C5 · Marketing'!J10</f>
        <v/>
      </c>
      <c r="K53" s="135">
        <f>'C5 · Marketing'!K10</f>
        <v/>
      </c>
      <c r="L53" s="135">
        <f>'C5 · Marketing'!L10</f>
        <v/>
      </c>
      <c r="M53" s="135">
        <f>'C5 · Marketing'!M10</f>
        <v/>
      </c>
      <c r="N53" s="135">
        <f>'C5 · Marketing'!N10</f>
        <v/>
      </c>
      <c r="O53" s="135">
        <f>'C5 · Marketing'!O10</f>
        <v/>
      </c>
      <c r="P53" s="135">
        <f>'C5 · Marketing'!P10</f>
        <v/>
      </c>
      <c r="Q53" s="135">
        <f>'C5 · Marketing'!Q10</f>
        <v/>
      </c>
      <c r="R53" s="135">
        <f>'C5 · Marketing'!R10</f>
        <v/>
      </c>
      <c r="S53" s="135">
        <f>'C5 · Marketing'!S10</f>
        <v/>
      </c>
      <c r="T53" s="135">
        <f>'C5 · Marketing'!T10</f>
        <v/>
      </c>
      <c r="U53" s="135">
        <f>'C5 · Marketing'!U10</f>
        <v/>
      </c>
      <c r="V53" s="135">
        <f>'C5 · Marketing'!V10</f>
        <v/>
      </c>
      <c r="W53" s="135">
        <f>'C5 · Marketing'!W10</f>
        <v/>
      </c>
      <c r="X53" s="135">
        <f>'C5 · Marketing'!X10</f>
        <v/>
      </c>
      <c r="Y53" s="135">
        <f>'C5 · Marketing'!Y10</f>
        <v/>
      </c>
      <c r="Z53" s="135">
        <f>'C5 · Marketing'!Z10</f>
        <v/>
      </c>
      <c r="AA53" s="135">
        <f>'C5 · Marketing'!AA10</f>
        <v/>
      </c>
      <c r="AB53" s="135">
        <f>'C5 · Marketing'!AB10</f>
        <v/>
      </c>
      <c r="AC53" s="135">
        <f>'C5 · Marketing'!AC10</f>
        <v/>
      </c>
      <c r="AD53" s="135">
        <f>'C5 · Marketing'!AD10</f>
        <v/>
      </c>
      <c r="AE53" s="135">
        <f>'C5 · Marketing'!AE10</f>
        <v/>
      </c>
      <c r="AF53" s="135">
        <f>'C5 · Marketing'!AF10</f>
        <v/>
      </c>
      <c r="AG53" s="135">
        <f>'C5 · Marketing'!AG10</f>
        <v/>
      </c>
      <c r="AH53" s="135">
        <f>'C5 · Marketing'!AH10</f>
        <v/>
      </c>
      <c r="AI53" s="135">
        <f>'C5 · Marketing'!AI10</f>
        <v/>
      </c>
      <c r="AJ53" s="135">
        <f>'C5 · Marketing'!AJ10</f>
        <v/>
      </c>
      <c r="AK53" s="135">
        <f>'C5 · Marketing'!AK10</f>
        <v/>
      </c>
      <c r="AL53" s="135">
        <f>'C5 · Marketing'!AL10</f>
        <v/>
      </c>
      <c r="AM53" s="135">
        <f>'C5 · Marketing'!AM10</f>
        <v/>
      </c>
    </row>
    <row r="54">
      <c r="B54" s="133" t="inlineStr">
        <is>
          <t>kpi.mkt.event_sat</t>
        </is>
      </c>
      <c r="C54" s="133" t="inlineStr">
        <is>
          <t>AVG</t>
        </is>
      </c>
      <c r="D54" s="134">
        <f>'C5 · Marketing'!D11</f>
        <v/>
      </c>
      <c r="E54" s="134">
        <f>'C5 · Marketing'!E11</f>
        <v/>
      </c>
      <c r="F54" s="134">
        <f>'C5 · Marketing'!F11</f>
        <v/>
      </c>
      <c r="G54" s="134">
        <f>'C5 · Marketing'!G11</f>
        <v/>
      </c>
      <c r="H54" s="134">
        <f>'C5 · Marketing'!H11</f>
        <v/>
      </c>
      <c r="I54" s="134">
        <f>'C5 · Marketing'!I11</f>
        <v/>
      </c>
      <c r="J54" s="134">
        <f>'C5 · Marketing'!J11</f>
        <v/>
      </c>
      <c r="K54" s="134">
        <f>'C5 · Marketing'!K11</f>
        <v/>
      </c>
      <c r="L54" s="134">
        <f>'C5 · Marketing'!L11</f>
        <v/>
      </c>
      <c r="M54" s="134">
        <f>'C5 · Marketing'!M11</f>
        <v/>
      </c>
      <c r="N54" s="134">
        <f>'C5 · Marketing'!N11</f>
        <v/>
      </c>
      <c r="O54" s="134">
        <f>'C5 · Marketing'!O11</f>
        <v/>
      </c>
      <c r="P54" s="134">
        <f>'C5 · Marketing'!P11</f>
        <v/>
      </c>
      <c r="Q54" s="134">
        <f>'C5 · Marketing'!Q11</f>
        <v/>
      </c>
      <c r="R54" s="134">
        <f>'C5 · Marketing'!R11</f>
        <v/>
      </c>
      <c r="S54" s="134">
        <f>'C5 · Marketing'!S11</f>
        <v/>
      </c>
      <c r="T54" s="134">
        <f>'C5 · Marketing'!T11</f>
        <v/>
      </c>
      <c r="U54" s="134">
        <f>'C5 · Marketing'!U11</f>
        <v/>
      </c>
      <c r="V54" s="134">
        <f>'C5 · Marketing'!V11</f>
        <v/>
      </c>
      <c r="W54" s="134">
        <f>'C5 · Marketing'!W11</f>
        <v/>
      </c>
      <c r="X54" s="134">
        <f>'C5 · Marketing'!X11</f>
        <v/>
      </c>
      <c r="Y54" s="134">
        <f>'C5 · Marketing'!Y11</f>
        <v/>
      </c>
      <c r="Z54" s="134">
        <f>'C5 · Marketing'!Z11</f>
        <v/>
      </c>
      <c r="AA54" s="134">
        <f>'C5 · Marketing'!AA11</f>
        <v/>
      </c>
      <c r="AB54" s="134">
        <f>'C5 · Marketing'!AB11</f>
        <v/>
      </c>
      <c r="AC54" s="134">
        <f>'C5 · Marketing'!AC11</f>
        <v/>
      </c>
      <c r="AD54" s="134">
        <f>'C5 · Marketing'!AD11</f>
        <v/>
      </c>
      <c r="AE54" s="134">
        <f>'C5 · Marketing'!AE11</f>
        <v/>
      </c>
      <c r="AF54" s="134">
        <f>'C5 · Marketing'!AF11</f>
        <v/>
      </c>
      <c r="AG54" s="134">
        <f>'C5 · Marketing'!AG11</f>
        <v/>
      </c>
      <c r="AH54" s="134">
        <f>'C5 · Marketing'!AH11</f>
        <v/>
      </c>
      <c r="AI54" s="134">
        <f>'C5 · Marketing'!AI11</f>
        <v/>
      </c>
      <c r="AJ54" s="134">
        <f>'C5 · Marketing'!AJ11</f>
        <v/>
      </c>
      <c r="AK54" s="134">
        <f>'C5 · Marketing'!AK11</f>
        <v/>
      </c>
      <c r="AL54" s="134">
        <f>'C5 · Marketing'!AL11</f>
        <v/>
      </c>
      <c r="AM54" s="134">
        <f>'C5 · Marketing'!AM11</f>
        <v/>
      </c>
    </row>
    <row r="55">
      <c r="B55" s="133" t="inlineStr">
        <is>
          <t>kpi.mkt.engagement</t>
        </is>
      </c>
      <c r="C55" s="133" t="inlineStr">
        <is>
          <t>AVG</t>
        </is>
      </c>
      <c r="D55" s="135">
        <f>'C5 · Marketing'!D12</f>
        <v/>
      </c>
      <c r="E55" s="135">
        <f>'C5 · Marketing'!E12</f>
        <v/>
      </c>
      <c r="F55" s="135">
        <f>'C5 · Marketing'!F12</f>
        <v/>
      </c>
      <c r="G55" s="135">
        <f>'C5 · Marketing'!G12</f>
        <v/>
      </c>
      <c r="H55" s="135">
        <f>'C5 · Marketing'!H12</f>
        <v/>
      </c>
      <c r="I55" s="135">
        <f>'C5 · Marketing'!I12</f>
        <v/>
      </c>
      <c r="J55" s="135">
        <f>'C5 · Marketing'!J12</f>
        <v/>
      </c>
      <c r="K55" s="135">
        <f>'C5 · Marketing'!K12</f>
        <v/>
      </c>
      <c r="L55" s="135">
        <f>'C5 · Marketing'!L12</f>
        <v/>
      </c>
      <c r="M55" s="135">
        <f>'C5 · Marketing'!M12</f>
        <v/>
      </c>
      <c r="N55" s="135">
        <f>'C5 · Marketing'!N12</f>
        <v/>
      </c>
      <c r="O55" s="135">
        <f>'C5 · Marketing'!O12</f>
        <v/>
      </c>
      <c r="P55" s="135">
        <f>'C5 · Marketing'!P12</f>
        <v/>
      </c>
      <c r="Q55" s="135">
        <f>'C5 · Marketing'!Q12</f>
        <v/>
      </c>
      <c r="R55" s="135">
        <f>'C5 · Marketing'!R12</f>
        <v/>
      </c>
      <c r="S55" s="135">
        <f>'C5 · Marketing'!S12</f>
        <v/>
      </c>
      <c r="T55" s="135">
        <f>'C5 · Marketing'!T12</f>
        <v/>
      </c>
      <c r="U55" s="135">
        <f>'C5 · Marketing'!U12</f>
        <v/>
      </c>
      <c r="V55" s="135">
        <f>'C5 · Marketing'!V12</f>
        <v/>
      </c>
      <c r="W55" s="135">
        <f>'C5 · Marketing'!W12</f>
        <v/>
      </c>
      <c r="X55" s="135">
        <f>'C5 · Marketing'!X12</f>
        <v/>
      </c>
      <c r="Y55" s="135">
        <f>'C5 · Marketing'!Y12</f>
        <v/>
      </c>
      <c r="Z55" s="135">
        <f>'C5 · Marketing'!Z12</f>
        <v/>
      </c>
      <c r="AA55" s="135">
        <f>'C5 · Marketing'!AA12</f>
        <v/>
      </c>
      <c r="AB55" s="135">
        <f>'C5 · Marketing'!AB12</f>
        <v/>
      </c>
      <c r="AC55" s="135">
        <f>'C5 · Marketing'!AC12</f>
        <v/>
      </c>
      <c r="AD55" s="135">
        <f>'C5 · Marketing'!AD12</f>
        <v/>
      </c>
      <c r="AE55" s="135">
        <f>'C5 · Marketing'!AE12</f>
        <v/>
      </c>
      <c r="AF55" s="135">
        <f>'C5 · Marketing'!AF12</f>
        <v/>
      </c>
      <c r="AG55" s="135">
        <f>'C5 · Marketing'!AG12</f>
        <v/>
      </c>
      <c r="AH55" s="135">
        <f>'C5 · Marketing'!AH12</f>
        <v/>
      </c>
      <c r="AI55" s="135">
        <f>'C5 · Marketing'!AI12</f>
        <v/>
      </c>
      <c r="AJ55" s="135">
        <f>'C5 · Marketing'!AJ12</f>
        <v/>
      </c>
      <c r="AK55" s="135">
        <f>'C5 · Marketing'!AK12</f>
        <v/>
      </c>
      <c r="AL55" s="135">
        <f>'C5 · Marketing'!AL12</f>
        <v/>
      </c>
      <c r="AM55" s="135">
        <f>'C5 · Marketing'!AM12</f>
        <v/>
      </c>
    </row>
    <row r="56">
      <c r="B56" s="133" t="inlineStr">
        <is>
          <t>kpi.mkt.followers</t>
        </is>
      </c>
      <c r="C56" s="133" t="inlineStr">
        <is>
          <t>LAST</t>
        </is>
      </c>
      <c r="D56" s="134">
        <f>'C5 · Marketing'!D13</f>
        <v/>
      </c>
      <c r="E56" s="134">
        <f>'C5 · Marketing'!E13</f>
        <v/>
      </c>
      <c r="F56" s="134">
        <f>'C5 · Marketing'!F13</f>
        <v/>
      </c>
      <c r="G56" s="134">
        <f>'C5 · Marketing'!G13</f>
        <v/>
      </c>
      <c r="H56" s="134">
        <f>'C5 · Marketing'!H13</f>
        <v/>
      </c>
      <c r="I56" s="134">
        <f>'C5 · Marketing'!I13</f>
        <v/>
      </c>
      <c r="J56" s="134">
        <f>'C5 · Marketing'!J13</f>
        <v/>
      </c>
      <c r="K56" s="134">
        <f>'C5 · Marketing'!K13</f>
        <v/>
      </c>
      <c r="L56" s="134">
        <f>'C5 · Marketing'!L13</f>
        <v/>
      </c>
      <c r="M56" s="134">
        <f>'C5 · Marketing'!M13</f>
        <v/>
      </c>
      <c r="N56" s="134">
        <f>'C5 · Marketing'!N13</f>
        <v/>
      </c>
      <c r="O56" s="134">
        <f>'C5 · Marketing'!O13</f>
        <v/>
      </c>
      <c r="P56" s="134">
        <f>'C5 · Marketing'!P13</f>
        <v/>
      </c>
      <c r="Q56" s="134">
        <f>'C5 · Marketing'!Q13</f>
        <v/>
      </c>
      <c r="R56" s="134">
        <f>'C5 · Marketing'!R13</f>
        <v/>
      </c>
      <c r="S56" s="134">
        <f>'C5 · Marketing'!S13</f>
        <v/>
      </c>
      <c r="T56" s="134">
        <f>'C5 · Marketing'!T13</f>
        <v/>
      </c>
      <c r="U56" s="134">
        <f>'C5 · Marketing'!U13</f>
        <v/>
      </c>
      <c r="V56" s="134">
        <f>'C5 · Marketing'!V13</f>
        <v/>
      </c>
      <c r="W56" s="134">
        <f>'C5 · Marketing'!W13</f>
        <v/>
      </c>
      <c r="X56" s="134">
        <f>'C5 · Marketing'!X13</f>
        <v/>
      </c>
      <c r="Y56" s="134">
        <f>'C5 · Marketing'!Y13</f>
        <v/>
      </c>
      <c r="Z56" s="134">
        <f>'C5 · Marketing'!Z13</f>
        <v/>
      </c>
      <c r="AA56" s="134">
        <f>'C5 · Marketing'!AA13</f>
        <v/>
      </c>
      <c r="AB56" s="134">
        <f>'C5 · Marketing'!AB13</f>
        <v/>
      </c>
      <c r="AC56" s="134">
        <f>'C5 · Marketing'!AC13</f>
        <v/>
      </c>
      <c r="AD56" s="134">
        <f>'C5 · Marketing'!AD13</f>
        <v/>
      </c>
      <c r="AE56" s="134">
        <f>'C5 · Marketing'!AE13</f>
        <v/>
      </c>
      <c r="AF56" s="134">
        <f>'C5 · Marketing'!AF13</f>
        <v/>
      </c>
      <c r="AG56" s="134">
        <f>'C5 · Marketing'!AG13</f>
        <v/>
      </c>
      <c r="AH56" s="134">
        <f>'C5 · Marketing'!AH13</f>
        <v/>
      </c>
      <c r="AI56" s="134">
        <f>'C5 · Marketing'!AI13</f>
        <v/>
      </c>
      <c r="AJ56" s="134">
        <f>'C5 · Marketing'!AJ13</f>
        <v/>
      </c>
      <c r="AK56" s="134">
        <f>'C5 · Marketing'!AK13</f>
        <v/>
      </c>
      <c r="AL56" s="134">
        <f>'C5 · Marketing'!AL13</f>
        <v/>
      </c>
      <c r="AM56" s="134">
        <f>'C5 · Marketing'!AM13</f>
        <v/>
      </c>
    </row>
    <row r="57">
      <c r="B57" s="133" t="inlineStr">
        <is>
          <t>kpi.mkt.reach</t>
        </is>
      </c>
      <c r="C57" s="133" t="inlineStr">
        <is>
          <t>SUM</t>
        </is>
      </c>
      <c r="D57" s="134">
        <f>'C5 · Marketing'!D14</f>
        <v/>
      </c>
      <c r="E57" s="134">
        <f>'C5 · Marketing'!E14</f>
        <v/>
      </c>
      <c r="F57" s="134">
        <f>'C5 · Marketing'!F14</f>
        <v/>
      </c>
      <c r="G57" s="134">
        <f>'C5 · Marketing'!G14</f>
        <v/>
      </c>
      <c r="H57" s="134">
        <f>'C5 · Marketing'!H14</f>
        <v/>
      </c>
      <c r="I57" s="134">
        <f>'C5 · Marketing'!I14</f>
        <v/>
      </c>
      <c r="J57" s="134">
        <f>'C5 · Marketing'!J14</f>
        <v/>
      </c>
      <c r="K57" s="134">
        <f>'C5 · Marketing'!K14</f>
        <v/>
      </c>
      <c r="L57" s="134">
        <f>'C5 · Marketing'!L14</f>
        <v/>
      </c>
      <c r="M57" s="134">
        <f>'C5 · Marketing'!M14</f>
        <v/>
      </c>
      <c r="N57" s="134">
        <f>'C5 · Marketing'!N14</f>
        <v/>
      </c>
      <c r="O57" s="134">
        <f>'C5 · Marketing'!O14</f>
        <v/>
      </c>
      <c r="P57" s="134">
        <f>'C5 · Marketing'!P14</f>
        <v/>
      </c>
      <c r="Q57" s="134">
        <f>'C5 · Marketing'!Q14</f>
        <v/>
      </c>
      <c r="R57" s="134">
        <f>'C5 · Marketing'!R14</f>
        <v/>
      </c>
      <c r="S57" s="134">
        <f>'C5 · Marketing'!S14</f>
        <v/>
      </c>
      <c r="T57" s="134">
        <f>'C5 · Marketing'!T14</f>
        <v/>
      </c>
      <c r="U57" s="134">
        <f>'C5 · Marketing'!U14</f>
        <v/>
      </c>
      <c r="V57" s="134">
        <f>'C5 · Marketing'!V14</f>
        <v/>
      </c>
      <c r="W57" s="134">
        <f>'C5 · Marketing'!W14</f>
        <v/>
      </c>
      <c r="X57" s="134">
        <f>'C5 · Marketing'!X14</f>
        <v/>
      </c>
      <c r="Y57" s="134">
        <f>'C5 · Marketing'!Y14</f>
        <v/>
      </c>
      <c r="Z57" s="134">
        <f>'C5 · Marketing'!Z14</f>
        <v/>
      </c>
      <c r="AA57" s="134">
        <f>'C5 · Marketing'!AA14</f>
        <v/>
      </c>
      <c r="AB57" s="134">
        <f>'C5 · Marketing'!AB14</f>
        <v/>
      </c>
      <c r="AC57" s="134">
        <f>'C5 · Marketing'!AC14</f>
        <v/>
      </c>
      <c r="AD57" s="134">
        <f>'C5 · Marketing'!AD14</f>
        <v/>
      </c>
      <c r="AE57" s="134">
        <f>'C5 · Marketing'!AE14</f>
        <v/>
      </c>
      <c r="AF57" s="134">
        <f>'C5 · Marketing'!AF14</f>
        <v/>
      </c>
      <c r="AG57" s="134">
        <f>'C5 · Marketing'!AG14</f>
        <v/>
      </c>
      <c r="AH57" s="134">
        <f>'C5 · Marketing'!AH14</f>
        <v/>
      </c>
      <c r="AI57" s="134">
        <f>'C5 · Marketing'!AI14</f>
        <v/>
      </c>
      <c r="AJ57" s="134">
        <f>'C5 · Marketing'!AJ14</f>
        <v/>
      </c>
      <c r="AK57" s="134">
        <f>'C5 · Marketing'!AK14</f>
        <v/>
      </c>
      <c r="AL57" s="134">
        <f>'C5 · Marketing'!AL14</f>
        <v/>
      </c>
      <c r="AM57" s="134">
        <f>'C5 · Marketing'!AM14</f>
        <v/>
      </c>
    </row>
    <row r="58">
      <c r="B58" s="133" t="inlineStr">
        <is>
          <t>kpi.mkt.cpa</t>
        </is>
      </c>
      <c r="C58" s="133" t="inlineStr">
        <is>
          <t>RATIO</t>
        </is>
      </c>
      <c r="D58" s="134">
        <f>'C5 · Marketing'!D15</f>
        <v/>
      </c>
      <c r="E58" s="134">
        <f>'C5 · Marketing'!E15</f>
        <v/>
      </c>
      <c r="F58" s="134">
        <f>'C5 · Marketing'!F15</f>
        <v/>
      </c>
      <c r="G58" s="134">
        <f>'C5 · Marketing'!G15</f>
        <v/>
      </c>
      <c r="H58" s="134">
        <f>'C5 · Marketing'!H15</f>
        <v/>
      </c>
      <c r="I58" s="134">
        <f>'C5 · Marketing'!I15</f>
        <v/>
      </c>
      <c r="J58" s="134">
        <f>'C5 · Marketing'!J15</f>
        <v/>
      </c>
      <c r="K58" s="134">
        <f>'C5 · Marketing'!K15</f>
        <v/>
      </c>
      <c r="L58" s="134">
        <f>'C5 · Marketing'!L15</f>
        <v/>
      </c>
      <c r="M58" s="134">
        <f>'C5 · Marketing'!M15</f>
        <v/>
      </c>
      <c r="N58" s="134">
        <f>'C5 · Marketing'!N15</f>
        <v/>
      </c>
      <c r="O58" s="134">
        <f>'C5 · Marketing'!O15</f>
        <v/>
      </c>
      <c r="P58" s="134">
        <f>'C5 · Marketing'!P15</f>
        <v/>
      </c>
      <c r="Q58" s="134">
        <f>'C5 · Marketing'!Q15</f>
        <v/>
      </c>
      <c r="R58" s="134">
        <f>'C5 · Marketing'!R15</f>
        <v/>
      </c>
      <c r="S58" s="134">
        <f>'C5 · Marketing'!S15</f>
        <v/>
      </c>
      <c r="T58" s="134">
        <f>'C5 · Marketing'!T15</f>
        <v/>
      </c>
      <c r="U58" s="134">
        <f>'C5 · Marketing'!U15</f>
        <v/>
      </c>
      <c r="V58" s="134">
        <f>'C5 · Marketing'!V15</f>
        <v/>
      </c>
      <c r="W58" s="134">
        <f>'C5 · Marketing'!W15</f>
        <v/>
      </c>
      <c r="X58" s="134">
        <f>'C5 · Marketing'!X15</f>
        <v/>
      </c>
      <c r="Y58" s="134">
        <f>'C5 · Marketing'!Y15</f>
        <v/>
      </c>
      <c r="Z58" s="134">
        <f>'C5 · Marketing'!Z15</f>
        <v/>
      </c>
      <c r="AA58" s="134">
        <f>'C5 · Marketing'!AA15</f>
        <v/>
      </c>
      <c r="AB58" s="134">
        <f>'C5 · Marketing'!AB15</f>
        <v/>
      </c>
      <c r="AC58" s="134">
        <f>'C5 · Marketing'!AC15</f>
        <v/>
      </c>
      <c r="AD58" s="134">
        <f>'C5 · Marketing'!AD15</f>
        <v/>
      </c>
      <c r="AE58" s="134">
        <f>'C5 · Marketing'!AE15</f>
        <v/>
      </c>
      <c r="AF58" s="134">
        <f>'C5 · Marketing'!AF15</f>
        <v/>
      </c>
      <c r="AG58" s="134">
        <f>'C5 · Marketing'!AG15</f>
        <v/>
      </c>
      <c r="AH58" s="134">
        <f>'C5 · Marketing'!AH15</f>
        <v/>
      </c>
      <c r="AI58" s="134">
        <f>'C5 · Marketing'!AI15</f>
        <v/>
      </c>
      <c r="AJ58" s="134">
        <f>'C5 · Marketing'!AJ15</f>
        <v/>
      </c>
      <c r="AK58" s="134">
        <f>'C5 · Marketing'!AK15</f>
        <v/>
      </c>
      <c r="AL58" s="134">
        <f>'C5 · Marketing'!AL15</f>
        <v/>
      </c>
      <c r="AM58" s="134">
        <f>'C5 · Marketing'!AM15</f>
        <v/>
      </c>
    </row>
    <row r="59">
      <c r="B59" s="133" t="inlineStr">
        <is>
          <t>kpi.mkt.digital_conv</t>
        </is>
      </c>
      <c r="C59" s="133" t="inlineStr">
        <is>
          <t>RATIO</t>
        </is>
      </c>
      <c r="D59" s="135">
        <f>'C5 · Marketing'!D16</f>
        <v/>
      </c>
      <c r="E59" s="135">
        <f>'C5 · Marketing'!E16</f>
        <v/>
      </c>
      <c r="F59" s="135">
        <f>'C5 · Marketing'!F16</f>
        <v/>
      </c>
      <c r="G59" s="135">
        <f>'C5 · Marketing'!G16</f>
        <v/>
      </c>
      <c r="H59" s="135">
        <f>'C5 · Marketing'!H16</f>
        <v/>
      </c>
      <c r="I59" s="135">
        <f>'C5 · Marketing'!I16</f>
        <v/>
      </c>
      <c r="J59" s="135">
        <f>'C5 · Marketing'!J16</f>
        <v/>
      </c>
      <c r="K59" s="135">
        <f>'C5 · Marketing'!K16</f>
        <v/>
      </c>
      <c r="L59" s="135">
        <f>'C5 · Marketing'!L16</f>
        <v/>
      </c>
      <c r="M59" s="135">
        <f>'C5 · Marketing'!M16</f>
        <v/>
      </c>
      <c r="N59" s="135">
        <f>'C5 · Marketing'!N16</f>
        <v/>
      </c>
      <c r="O59" s="135">
        <f>'C5 · Marketing'!O16</f>
        <v/>
      </c>
      <c r="P59" s="135">
        <f>'C5 · Marketing'!P16</f>
        <v/>
      </c>
      <c r="Q59" s="135">
        <f>'C5 · Marketing'!Q16</f>
        <v/>
      </c>
      <c r="R59" s="135">
        <f>'C5 · Marketing'!R16</f>
        <v/>
      </c>
      <c r="S59" s="135">
        <f>'C5 · Marketing'!S16</f>
        <v/>
      </c>
      <c r="T59" s="135">
        <f>'C5 · Marketing'!T16</f>
        <v/>
      </c>
      <c r="U59" s="135">
        <f>'C5 · Marketing'!U16</f>
        <v/>
      </c>
      <c r="V59" s="135">
        <f>'C5 · Marketing'!V16</f>
        <v/>
      </c>
      <c r="W59" s="135">
        <f>'C5 · Marketing'!W16</f>
        <v/>
      </c>
      <c r="X59" s="135">
        <f>'C5 · Marketing'!X16</f>
        <v/>
      </c>
      <c r="Y59" s="135">
        <f>'C5 · Marketing'!Y16</f>
        <v/>
      </c>
      <c r="Z59" s="135">
        <f>'C5 · Marketing'!Z16</f>
        <v/>
      </c>
      <c r="AA59" s="135">
        <f>'C5 · Marketing'!AA16</f>
        <v/>
      </c>
      <c r="AB59" s="135">
        <f>'C5 · Marketing'!AB16</f>
        <v/>
      </c>
      <c r="AC59" s="135">
        <f>'C5 · Marketing'!AC16</f>
        <v/>
      </c>
      <c r="AD59" s="135">
        <f>'C5 · Marketing'!AD16</f>
        <v/>
      </c>
      <c r="AE59" s="135">
        <f>'C5 · Marketing'!AE16</f>
        <v/>
      </c>
      <c r="AF59" s="135">
        <f>'C5 · Marketing'!AF16</f>
        <v/>
      </c>
      <c r="AG59" s="135">
        <f>'C5 · Marketing'!AG16</f>
        <v/>
      </c>
      <c r="AH59" s="135">
        <f>'C5 · Marketing'!AH16</f>
        <v/>
      </c>
      <c r="AI59" s="135">
        <f>'C5 · Marketing'!AI16</f>
        <v/>
      </c>
      <c r="AJ59" s="135">
        <f>'C5 · Marketing'!AJ16</f>
        <v/>
      </c>
      <c r="AK59" s="135">
        <f>'C5 · Marketing'!AK16</f>
        <v/>
      </c>
      <c r="AL59" s="135">
        <f>'C5 · Marketing'!AL16</f>
        <v/>
      </c>
      <c r="AM59" s="135">
        <f>'C5 · Marketing'!AM16</f>
        <v/>
      </c>
    </row>
    <row r="60">
      <c r="B60" s="133" t="inlineStr">
        <is>
          <t>kpi.mkt.spend</t>
        </is>
      </c>
      <c r="C60" s="133" t="inlineStr">
        <is>
          <t>SUM</t>
        </is>
      </c>
      <c r="D60" s="134">
        <f>'C5 · Marketing'!D17</f>
        <v/>
      </c>
      <c r="E60" s="134">
        <f>'C5 · Marketing'!E17</f>
        <v/>
      </c>
      <c r="F60" s="134">
        <f>'C5 · Marketing'!F17</f>
        <v/>
      </c>
      <c r="G60" s="134">
        <f>'C5 · Marketing'!G17</f>
        <v/>
      </c>
      <c r="H60" s="134">
        <f>'C5 · Marketing'!H17</f>
        <v/>
      </c>
      <c r="I60" s="134">
        <f>'C5 · Marketing'!I17</f>
        <v/>
      </c>
      <c r="J60" s="134">
        <f>'C5 · Marketing'!J17</f>
        <v/>
      </c>
      <c r="K60" s="134">
        <f>'C5 · Marketing'!K17</f>
        <v/>
      </c>
      <c r="L60" s="134">
        <f>'C5 · Marketing'!L17</f>
        <v/>
      </c>
      <c r="M60" s="134">
        <f>'C5 · Marketing'!M17</f>
        <v/>
      </c>
      <c r="N60" s="134">
        <f>'C5 · Marketing'!N17</f>
        <v/>
      </c>
      <c r="O60" s="134">
        <f>'C5 · Marketing'!O17</f>
        <v/>
      </c>
      <c r="P60" s="134">
        <f>'C5 · Marketing'!P17</f>
        <v/>
      </c>
      <c r="Q60" s="134">
        <f>'C5 · Marketing'!Q17</f>
        <v/>
      </c>
      <c r="R60" s="134">
        <f>'C5 · Marketing'!R17</f>
        <v/>
      </c>
      <c r="S60" s="134">
        <f>'C5 · Marketing'!S17</f>
        <v/>
      </c>
      <c r="T60" s="134">
        <f>'C5 · Marketing'!T17</f>
        <v/>
      </c>
      <c r="U60" s="134">
        <f>'C5 · Marketing'!U17</f>
        <v/>
      </c>
      <c r="V60" s="134">
        <f>'C5 · Marketing'!V17</f>
        <v/>
      </c>
      <c r="W60" s="134">
        <f>'C5 · Marketing'!W17</f>
        <v/>
      </c>
      <c r="X60" s="134">
        <f>'C5 · Marketing'!X17</f>
        <v/>
      </c>
      <c r="Y60" s="134">
        <f>'C5 · Marketing'!Y17</f>
        <v/>
      </c>
      <c r="Z60" s="134">
        <f>'C5 · Marketing'!Z17</f>
        <v/>
      </c>
      <c r="AA60" s="134">
        <f>'C5 · Marketing'!AA17</f>
        <v/>
      </c>
      <c r="AB60" s="134">
        <f>'C5 · Marketing'!AB17</f>
        <v/>
      </c>
      <c r="AC60" s="134">
        <f>'C5 · Marketing'!AC17</f>
        <v/>
      </c>
      <c r="AD60" s="134">
        <f>'C5 · Marketing'!AD17</f>
        <v/>
      </c>
      <c r="AE60" s="134">
        <f>'C5 · Marketing'!AE17</f>
        <v/>
      </c>
      <c r="AF60" s="134">
        <f>'C5 · Marketing'!AF17</f>
        <v/>
      </c>
      <c r="AG60" s="134">
        <f>'C5 · Marketing'!AG17</f>
        <v/>
      </c>
      <c r="AH60" s="134">
        <f>'C5 · Marketing'!AH17</f>
        <v/>
      </c>
      <c r="AI60" s="134">
        <f>'C5 · Marketing'!AI17</f>
        <v/>
      </c>
      <c r="AJ60" s="134">
        <f>'C5 · Marketing'!AJ17</f>
        <v/>
      </c>
      <c r="AK60" s="134">
        <f>'C5 · Marketing'!AK17</f>
        <v/>
      </c>
      <c r="AL60" s="134">
        <f>'C5 · Marketing'!AL17</f>
        <v/>
      </c>
      <c r="AM60" s="134">
        <f>'C5 · Marketing'!AM17</f>
        <v/>
      </c>
    </row>
    <row r="61">
      <c r="B61" s="133" t="inlineStr">
        <is>
          <t>kpi.mkt.spend_pct</t>
        </is>
      </c>
      <c r="C61" s="133" t="inlineStr">
        <is>
          <t>RATIO</t>
        </is>
      </c>
      <c r="D61" s="135">
        <f>'C5 · Marketing'!D18</f>
        <v/>
      </c>
      <c r="E61" s="135">
        <f>'C5 · Marketing'!E18</f>
        <v/>
      </c>
      <c r="F61" s="135">
        <f>'C5 · Marketing'!F18</f>
        <v/>
      </c>
      <c r="G61" s="135">
        <f>'C5 · Marketing'!G18</f>
        <v/>
      </c>
      <c r="H61" s="135">
        <f>'C5 · Marketing'!H18</f>
        <v/>
      </c>
      <c r="I61" s="135">
        <f>'C5 · Marketing'!I18</f>
        <v/>
      </c>
      <c r="J61" s="135">
        <f>'C5 · Marketing'!J18</f>
        <v/>
      </c>
      <c r="K61" s="135">
        <f>'C5 · Marketing'!K18</f>
        <v/>
      </c>
      <c r="L61" s="135">
        <f>'C5 · Marketing'!L18</f>
        <v/>
      </c>
      <c r="M61" s="135">
        <f>'C5 · Marketing'!M18</f>
        <v/>
      </c>
      <c r="N61" s="135">
        <f>'C5 · Marketing'!N18</f>
        <v/>
      </c>
      <c r="O61" s="135">
        <f>'C5 · Marketing'!O18</f>
        <v/>
      </c>
      <c r="P61" s="135">
        <f>'C5 · Marketing'!P18</f>
        <v/>
      </c>
      <c r="Q61" s="135">
        <f>'C5 · Marketing'!Q18</f>
        <v/>
      </c>
      <c r="R61" s="135">
        <f>'C5 · Marketing'!R18</f>
        <v/>
      </c>
      <c r="S61" s="135">
        <f>'C5 · Marketing'!S18</f>
        <v/>
      </c>
      <c r="T61" s="135">
        <f>'C5 · Marketing'!T18</f>
        <v/>
      </c>
      <c r="U61" s="135">
        <f>'C5 · Marketing'!U18</f>
        <v/>
      </c>
      <c r="V61" s="135">
        <f>'C5 · Marketing'!V18</f>
        <v/>
      </c>
      <c r="W61" s="135">
        <f>'C5 · Marketing'!W18</f>
        <v/>
      </c>
      <c r="X61" s="135">
        <f>'C5 · Marketing'!X18</f>
        <v/>
      </c>
      <c r="Y61" s="135">
        <f>'C5 · Marketing'!Y18</f>
        <v/>
      </c>
      <c r="Z61" s="135">
        <f>'C5 · Marketing'!Z18</f>
        <v/>
      </c>
      <c r="AA61" s="135">
        <f>'C5 · Marketing'!AA18</f>
        <v/>
      </c>
      <c r="AB61" s="135">
        <f>'C5 · Marketing'!AB18</f>
        <v/>
      </c>
      <c r="AC61" s="135">
        <f>'C5 · Marketing'!AC18</f>
        <v/>
      </c>
      <c r="AD61" s="135">
        <f>'C5 · Marketing'!AD18</f>
        <v/>
      </c>
      <c r="AE61" s="135">
        <f>'C5 · Marketing'!AE18</f>
        <v/>
      </c>
      <c r="AF61" s="135">
        <f>'C5 · Marketing'!AF18</f>
        <v/>
      </c>
      <c r="AG61" s="135">
        <f>'C5 · Marketing'!AG18</f>
        <v/>
      </c>
      <c r="AH61" s="135">
        <f>'C5 · Marketing'!AH18</f>
        <v/>
      </c>
      <c r="AI61" s="135">
        <f>'C5 · Marketing'!AI18</f>
        <v/>
      </c>
      <c r="AJ61" s="135">
        <f>'C5 · Marketing'!AJ18</f>
        <v/>
      </c>
      <c r="AK61" s="135">
        <f>'C5 · Marketing'!AK18</f>
        <v/>
      </c>
      <c r="AL61" s="135">
        <f>'C5 · Marketing'!AL18</f>
        <v/>
      </c>
      <c r="AM61" s="135">
        <f>'C5 · Marketing'!AM18</f>
        <v/>
      </c>
    </row>
    <row r="62">
      <c r="B62" s="133" t="inlineStr">
        <is>
          <t>kpi.mkt.impressions</t>
        </is>
      </c>
      <c r="C62" s="133" t="inlineStr">
        <is>
          <t>SUM</t>
        </is>
      </c>
      <c r="D62" s="134">
        <f>'C5 · Marketing'!D19</f>
        <v/>
      </c>
      <c r="E62" s="134">
        <f>'C5 · Marketing'!E19</f>
        <v/>
      </c>
      <c r="F62" s="134">
        <f>'C5 · Marketing'!F19</f>
        <v/>
      </c>
      <c r="G62" s="134">
        <f>'C5 · Marketing'!G19</f>
        <v/>
      </c>
      <c r="H62" s="134">
        <f>'C5 · Marketing'!H19</f>
        <v/>
      </c>
      <c r="I62" s="134">
        <f>'C5 · Marketing'!I19</f>
        <v/>
      </c>
      <c r="J62" s="134">
        <f>'C5 · Marketing'!J19</f>
        <v/>
      </c>
      <c r="K62" s="134">
        <f>'C5 · Marketing'!K19</f>
        <v/>
      </c>
      <c r="L62" s="134">
        <f>'C5 · Marketing'!L19</f>
        <v/>
      </c>
      <c r="M62" s="134">
        <f>'C5 · Marketing'!M19</f>
        <v/>
      </c>
      <c r="N62" s="134">
        <f>'C5 · Marketing'!N19</f>
        <v/>
      </c>
      <c r="O62" s="134">
        <f>'C5 · Marketing'!O19</f>
        <v/>
      </c>
      <c r="P62" s="134">
        <f>'C5 · Marketing'!P19</f>
        <v/>
      </c>
      <c r="Q62" s="134">
        <f>'C5 · Marketing'!Q19</f>
        <v/>
      </c>
      <c r="R62" s="134">
        <f>'C5 · Marketing'!R19</f>
        <v/>
      </c>
      <c r="S62" s="134">
        <f>'C5 · Marketing'!S19</f>
        <v/>
      </c>
      <c r="T62" s="134">
        <f>'C5 · Marketing'!T19</f>
        <v/>
      </c>
      <c r="U62" s="134">
        <f>'C5 · Marketing'!U19</f>
        <v/>
      </c>
      <c r="V62" s="134">
        <f>'C5 · Marketing'!V19</f>
        <v/>
      </c>
      <c r="W62" s="134">
        <f>'C5 · Marketing'!W19</f>
        <v/>
      </c>
      <c r="X62" s="134">
        <f>'C5 · Marketing'!X19</f>
        <v/>
      </c>
      <c r="Y62" s="134">
        <f>'C5 · Marketing'!Y19</f>
        <v/>
      </c>
      <c r="Z62" s="134">
        <f>'C5 · Marketing'!Z19</f>
        <v/>
      </c>
      <c r="AA62" s="134">
        <f>'C5 · Marketing'!AA19</f>
        <v/>
      </c>
      <c r="AB62" s="134">
        <f>'C5 · Marketing'!AB19</f>
        <v/>
      </c>
      <c r="AC62" s="134">
        <f>'C5 · Marketing'!AC19</f>
        <v/>
      </c>
      <c r="AD62" s="134">
        <f>'C5 · Marketing'!AD19</f>
        <v/>
      </c>
      <c r="AE62" s="134">
        <f>'C5 · Marketing'!AE19</f>
        <v/>
      </c>
      <c r="AF62" s="134">
        <f>'C5 · Marketing'!AF19</f>
        <v/>
      </c>
      <c r="AG62" s="134">
        <f>'C5 · Marketing'!AG19</f>
        <v/>
      </c>
      <c r="AH62" s="134">
        <f>'C5 · Marketing'!AH19</f>
        <v/>
      </c>
      <c r="AI62" s="134">
        <f>'C5 · Marketing'!AI19</f>
        <v/>
      </c>
      <c r="AJ62" s="134">
        <f>'C5 · Marketing'!AJ19</f>
        <v/>
      </c>
      <c r="AK62" s="134">
        <f>'C5 · Marketing'!AK19</f>
        <v/>
      </c>
      <c r="AL62" s="134">
        <f>'C5 · Marketing'!AL19</f>
        <v/>
      </c>
      <c r="AM62" s="134">
        <f>'C5 · Marketing'!AM19</f>
        <v/>
      </c>
    </row>
    <row r="63">
      <c r="B63" s="133" t="inlineStr">
        <is>
          <t>kpi.mkt.campaigns</t>
        </is>
      </c>
      <c r="C63" s="133" t="inlineStr">
        <is>
          <t>LAST</t>
        </is>
      </c>
      <c r="D63" s="134">
        <f>'C5 · Marketing'!D20</f>
        <v/>
      </c>
      <c r="E63" s="134">
        <f>'C5 · Marketing'!E20</f>
        <v/>
      </c>
      <c r="F63" s="134">
        <f>'C5 · Marketing'!F20</f>
        <v/>
      </c>
      <c r="G63" s="134">
        <f>'C5 · Marketing'!G20</f>
        <v/>
      </c>
      <c r="H63" s="134">
        <f>'C5 · Marketing'!H20</f>
        <v/>
      </c>
      <c r="I63" s="134">
        <f>'C5 · Marketing'!I20</f>
        <v/>
      </c>
      <c r="J63" s="134">
        <f>'C5 · Marketing'!J20</f>
        <v/>
      </c>
      <c r="K63" s="134">
        <f>'C5 · Marketing'!K20</f>
        <v/>
      </c>
      <c r="L63" s="134">
        <f>'C5 · Marketing'!L20</f>
        <v/>
      </c>
      <c r="M63" s="134">
        <f>'C5 · Marketing'!M20</f>
        <v/>
      </c>
      <c r="N63" s="134">
        <f>'C5 · Marketing'!N20</f>
        <v/>
      </c>
      <c r="O63" s="134">
        <f>'C5 · Marketing'!O20</f>
        <v/>
      </c>
      <c r="P63" s="134">
        <f>'C5 · Marketing'!P20</f>
        <v/>
      </c>
      <c r="Q63" s="134">
        <f>'C5 · Marketing'!Q20</f>
        <v/>
      </c>
      <c r="R63" s="134">
        <f>'C5 · Marketing'!R20</f>
        <v/>
      </c>
      <c r="S63" s="134">
        <f>'C5 · Marketing'!S20</f>
        <v/>
      </c>
      <c r="T63" s="134">
        <f>'C5 · Marketing'!T20</f>
        <v/>
      </c>
      <c r="U63" s="134">
        <f>'C5 · Marketing'!U20</f>
        <v/>
      </c>
      <c r="V63" s="134">
        <f>'C5 · Marketing'!V20</f>
        <v/>
      </c>
      <c r="W63" s="134">
        <f>'C5 · Marketing'!W20</f>
        <v/>
      </c>
      <c r="X63" s="134">
        <f>'C5 · Marketing'!X20</f>
        <v/>
      </c>
      <c r="Y63" s="134">
        <f>'C5 · Marketing'!Y20</f>
        <v/>
      </c>
      <c r="Z63" s="134">
        <f>'C5 · Marketing'!Z20</f>
        <v/>
      </c>
      <c r="AA63" s="134">
        <f>'C5 · Marketing'!AA20</f>
        <v/>
      </c>
      <c r="AB63" s="134">
        <f>'C5 · Marketing'!AB20</f>
        <v/>
      </c>
      <c r="AC63" s="134">
        <f>'C5 · Marketing'!AC20</f>
        <v/>
      </c>
      <c r="AD63" s="134">
        <f>'C5 · Marketing'!AD20</f>
        <v/>
      </c>
      <c r="AE63" s="134">
        <f>'C5 · Marketing'!AE20</f>
        <v/>
      </c>
      <c r="AF63" s="134">
        <f>'C5 · Marketing'!AF20</f>
        <v/>
      </c>
      <c r="AG63" s="134">
        <f>'C5 · Marketing'!AG20</f>
        <v/>
      </c>
      <c r="AH63" s="134">
        <f>'C5 · Marketing'!AH20</f>
        <v/>
      </c>
      <c r="AI63" s="134">
        <f>'C5 · Marketing'!AI20</f>
        <v/>
      </c>
      <c r="AJ63" s="134">
        <f>'C5 · Marketing'!AJ20</f>
        <v/>
      </c>
      <c r="AK63" s="134">
        <f>'C5 · Marketing'!AK20</f>
        <v/>
      </c>
      <c r="AL63" s="134">
        <f>'C5 · Marketing'!AL20</f>
        <v/>
      </c>
      <c r="AM63" s="134">
        <f>'C5 · Marketing'!AM20</f>
        <v/>
      </c>
    </row>
    <row r="64">
      <c r="B64" s="133" t="inlineStr">
        <is>
          <t>kpi.mkt.nps</t>
        </is>
      </c>
      <c r="C64" s="133" t="inlineStr">
        <is>
          <t>AVG</t>
        </is>
      </c>
      <c r="D64" s="134">
        <f>'C5 · Marketing'!D21</f>
        <v/>
      </c>
      <c r="E64" s="134">
        <f>'C5 · Marketing'!E21</f>
        <v/>
      </c>
      <c r="F64" s="134">
        <f>'C5 · Marketing'!F21</f>
        <v/>
      </c>
      <c r="G64" s="134">
        <f>'C5 · Marketing'!G21</f>
        <v/>
      </c>
      <c r="H64" s="134">
        <f>'C5 · Marketing'!H21</f>
        <v/>
      </c>
      <c r="I64" s="134">
        <f>'C5 · Marketing'!I21</f>
        <v/>
      </c>
      <c r="J64" s="134">
        <f>'C5 · Marketing'!J21</f>
        <v/>
      </c>
      <c r="K64" s="134">
        <f>'C5 · Marketing'!K21</f>
        <v/>
      </c>
      <c r="L64" s="134">
        <f>'C5 · Marketing'!L21</f>
        <v/>
      </c>
      <c r="M64" s="134">
        <f>'C5 · Marketing'!M21</f>
        <v/>
      </c>
      <c r="N64" s="134">
        <f>'C5 · Marketing'!N21</f>
        <v/>
      </c>
      <c r="O64" s="134">
        <f>'C5 · Marketing'!O21</f>
        <v/>
      </c>
      <c r="P64" s="134">
        <f>'C5 · Marketing'!P21</f>
        <v/>
      </c>
      <c r="Q64" s="134">
        <f>'C5 · Marketing'!Q21</f>
        <v/>
      </c>
      <c r="R64" s="134">
        <f>'C5 · Marketing'!R21</f>
        <v/>
      </c>
      <c r="S64" s="134">
        <f>'C5 · Marketing'!S21</f>
        <v/>
      </c>
      <c r="T64" s="134">
        <f>'C5 · Marketing'!T21</f>
        <v/>
      </c>
      <c r="U64" s="134">
        <f>'C5 · Marketing'!U21</f>
        <v/>
      </c>
      <c r="V64" s="134">
        <f>'C5 · Marketing'!V21</f>
        <v/>
      </c>
      <c r="W64" s="134">
        <f>'C5 · Marketing'!W21</f>
        <v/>
      </c>
      <c r="X64" s="134">
        <f>'C5 · Marketing'!X21</f>
        <v/>
      </c>
      <c r="Y64" s="134">
        <f>'C5 · Marketing'!Y21</f>
        <v/>
      </c>
      <c r="Z64" s="134">
        <f>'C5 · Marketing'!Z21</f>
        <v/>
      </c>
      <c r="AA64" s="134">
        <f>'C5 · Marketing'!AA21</f>
        <v/>
      </c>
      <c r="AB64" s="134">
        <f>'C5 · Marketing'!AB21</f>
        <v/>
      </c>
      <c r="AC64" s="134">
        <f>'C5 · Marketing'!AC21</f>
        <v/>
      </c>
      <c r="AD64" s="134">
        <f>'C5 · Marketing'!AD21</f>
        <v/>
      </c>
      <c r="AE64" s="134">
        <f>'C5 · Marketing'!AE21</f>
        <v/>
      </c>
      <c r="AF64" s="134">
        <f>'C5 · Marketing'!AF21</f>
        <v/>
      </c>
      <c r="AG64" s="134">
        <f>'C5 · Marketing'!AG21</f>
        <v/>
      </c>
      <c r="AH64" s="134">
        <f>'C5 · Marketing'!AH21</f>
        <v/>
      </c>
      <c r="AI64" s="134">
        <f>'C5 · Marketing'!AI21</f>
        <v/>
      </c>
      <c r="AJ64" s="134">
        <f>'C5 · Marketing'!AJ21</f>
        <v/>
      </c>
      <c r="AK64" s="134">
        <f>'C5 · Marketing'!AK21</f>
        <v/>
      </c>
      <c r="AL64" s="134">
        <f>'C5 · Marketing'!AL21</f>
        <v/>
      </c>
      <c r="AM64" s="134">
        <f>'C5 · Marketing'!AM21</f>
        <v/>
      </c>
    </row>
    <row r="65">
      <c r="B65" s="133" t="inlineStr">
        <is>
          <t>kpi.mkt.members</t>
        </is>
      </c>
      <c r="C65" s="133" t="inlineStr">
        <is>
          <t>LAST</t>
        </is>
      </c>
      <c r="D65" s="134">
        <f>'C5 · Marketing'!D22</f>
        <v/>
      </c>
      <c r="E65" s="134">
        <f>'C5 · Marketing'!E22</f>
        <v/>
      </c>
      <c r="F65" s="134">
        <f>'C5 · Marketing'!F22</f>
        <v/>
      </c>
      <c r="G65" s="134">
        <f>'C5 · Marketing'!G22</f>
        <v/>
      </c>
      <c r="H65" s="134">
        <f>'C5 · Marketing'!H22</f>
        <v/>
      </c>
      <c r="I65" s="134">
        <f>'C5 · Marketing'!I22</f>
        <v/>
      </c>
      <c r="J65" s="134">
        <f>'C5 · Marketing'!J22</f>
        <v/>
      </c>
      <c r="K65" s="134">
        <f>'C5 · Marketing'!K22</f>
        <v/>
      </c>
      <c r="L65" s="134">
        <f>'C5 · Marketing'!L22</f>
        <v/>
      </c>
      <c r="M65" s="134">
        <f>'C5 · Marketing'!M22</f>
        <v/>
      </c>
      <c r="N65" s="134">
        <f>'C5 · Marketing'!N22</f>
        <v/>
      </c>
      <c r="O65" s="134">
        <f>'C5 · Marketing'!O22</f>
        <v/>
      </c>
      <c r="P65" s="134">
        <f>'C5 · Marketing'!P22</f>
        <v/>
      </c>
      <c r="Q65" s="134">
        <f>'C5 · Marketing'!Q22</f>
        <v/>
      </c>
      <c r="R65" s="134">
        <f>'C5 · Marketing'!R22</f>
        <v/>
      </c>
      <c r="S65" s="134">
        <f>'C5 · Marketing'!S22</f>
        <v/>
      </c>
      <c r="T65" s="134">
        <f>'C5 · Marketing'!T22</f>
        <v/>
      </c>
      <c r="U65" s="134">
        <f>'C5 · Marketing'!U22</f>
        <v/>
      </c>
      <c r="V65" s="134">
        <f>'C5 · Marketing'!V22</f>
        <v/>
      </c>
      <c r="W65" s="134">
        <f>'C5 · Marketing'!W22</f>
        <v/>
      </c>
      <c r="X65" s="134">
        <f>'C5 · Marketing'!X22</f>
        <v/>
      </c>
      <c r="Y65" s="134">
        <f>'C5 · Marketing'!Y22</f>
        <v/>
      </c>
      <c r="Z65" s="134">
        <f>'C5 · Marketing'!Z22</f>
        <v/>
      </c>
      <c r="AA65" s="134">
        <f>'C5 · Marketing'!AA22</f>
        <v/>
      </c>
      <c r="AB65" s="134">
        <f>'C5 · Marketing'!AB22</f>
        <v/>
      </c>
      <c r="AC65" s="134">
        <f>'C5 · Marketing'!AC22</f>
        <v/>
      </c>
      <c r="AD65" s="134">
        <f>'C5 · Marketing'!AD22</f>
        <v/>
      </c>
      <c r="AE65" s="134">
        <f>'C5 · Marketing'!AE22</f>
        <v/>
      </c>
      <c r="AF65" s="134">
        <f>'C5 · Marketing'!AF22</f>
        <v/>
      </c>
      <c r="AG65" s="134">
        <f>'C5 · Marketing'!AG22</f>
        <v/>
      </c>
      <c r="AH65" s="134">
        <f>'C5 · Marketing'!AH22</f>
        <v/>
      </c>
      <c r="AI65" s="134">
        <f>'C5 · Marketing'!AI22</f>
        <v/>
      </c>
      <c r="AJ65" s="134">
        <f>'C5 · Marketing'!AJ22</f>
        <v/>
      </c>
      <c r="AK65" s="134">
        <f>'C5 · Marketing'!AK22</f>
        <v/>
      </c>
      <c r="AL65" s="134">
        <f>'C5 · Marketing'!AL22</f>
        <v/>
      </c>
      <c r="AM65" s="134">
        <f>'C5 · Marketing'!AM22</f>
        <v/>
      </c>
    </row>
    <row r="66">
      <c r="B66" s="133" t="inlineStr">
        <is>
          <t>kpi.mkt.member_act</t>
        </is>
      </c>
      <c r="C66" s="133" t="inlineStr">
        <is>
          <t>AVG</t>
        </is>
      </c>
      <c r="D66" s="135">
        <f>'C5 · Marketing'!D23</f>
        <v/>
      </c>
      <c r="E66" s="135">
        <f>'C5 · Marketing'!E23</f>
        <v/>
      </c>
      <c r="F66" s="135">
        <f>'C5 · Marketing'!F23</f>
        <v/>
      </c>
      <c r="G66" s="135">
        <f>'C5 · Marketing'!G23</f>
        <v/>
      </c>
      <c r="H66" s="135">
        <f>'C5 · Marketing'!H23</f>
        <v/>
      </c>
      <c r="I66" s="135">
        <f>'C5 · Marketing'!I23</f>
        <v/>
      </c>
      <c r="J66" s="135">
        <f>'C5 · Marketing'!J23</f>
        <v/>
      </c>
      <c r="K66" s="135">
        <f>'C5 · Marketing'!K23</f>
        <v/>
      </c>
      <c r="L66" s="135">
        <f>'C5 · Marketing'!L23</f>
        <v/>
      </c>
      <c r="M66" s="135">
        <f>'C5 · Marketing'!M23</f>
        <v/>
      </c>
      <c r="N66" s="135">
        <f>'C5 · Marketing'!N23</f>
        <v/>
      </c>
      <c r="O66" s="135">
        <f>'C5 · Marketing'!O23</f>
        <v/>
      </c>
      <c r="P66" s="135">
        <f>'C5 · Marketing'!P23</f>
        <v/>
      </c>
      <c r="Q66" s="135">
        <f>'C5 · Marketing'!Q23</f>
        <v/>
      </c>
      <c r="R66" s="135">
        <f>'C5 · Marketing'!R23</f>
        <v/>
      </c>
      <c r="S66" s="135">
        <f>'C5 · Marketing'!S23</f>
        <v/>
      </c>
      <c r="T66" s="135">
        <f>'C5 · Marketing'!T23</f>
        <v/>
      </c>
      <c r="U66" s="135">
        <f>'C5 · Marketing'!U23</f>
        <v/>
      </c>
      <c r="V66" s="135">
        <f>'C5 · Marketing'!V23</f>
        <v/>
      </c>
      <c r="W66" s="135">
        <f>'C5 · Marketing'!W23</f>
        <v/>
      </c>
      <c r="X66" s="135">
        <f>'C5 · Marketing'!X23</f>
        <v/>
      </c>
      <c r="Y66" s="135">
        <f>'C5 · Marketing'!Y23</f>
        <v/>
      </c>
      <c r="Z66" s="135">
        <f>'C5 · Marketing'!Z23</f>
        <v/>
      </c>
      <c r="AA66" s="135">
        <f>'C5 · Marketing'!AA23</f>
        <v/>
      </c>
      <c r="AB66" s="135">
        <f>'C5 · Marketing'!AB23</f>
        <v/>
      </c>
      <c r="AC66" s="135">
        <f>'C5 · Marketing'!AC23</f>
        <v/>
      </c>
      <c r="AD66" s="135">
        <f>'C5 · Marketing'!AD23</f>
        <v/>
      </c>
      <c r="AE66" s="135">
        <f>'C5 · Marketing'!AE23</f>
        <v/>
      </c>
      <c r="AF66" s="135">
        <f>'C5 · Marketing'!AF23</f>
        <v/>
      </c>
      <c r="AG66" s="135">
        <f>'C5 · Marketing'!AG23</f>
        <v/>
      </c>
      <c r="AH66" s="135">
        <f>'C5 · Marketing'!AH23</f>
        <v/>
      </c>
      <c r="AI66" s="135">
        <f>'C5 · Marketing'!AI23</f>
        <v/>
      </c>
      <c r="AJ66" s="135">
        <f>'C5 · Marketing'!AJ23</f>
        <v/>
      </c>
      <c r="AK66" s="135">
        <f>'C5 · Marketing'!AK23</f>
        <v/>
      </c>
      <c r="AL66" s="135">
        <f>'C5 · Marketing'!AL23</f>
        <v/>
      </c>
      <c r="AM66" s="135">
        <f>'C5 · Marketing'!AM23</f>
        <v/>
      </c>
    </row>
    <row r="67">
      <c r="B67" s="133" t="inlineStr">
        <is>
          <t>kpi.mkt.basket_member</t>
        </is>
      </c>
      <c r="C67" s="133" t="inlineStr">
        <is>
          <t>AVG</t>
        </is>
      </c>
      <c r="D67" s="134">
        <f>'C5 · Marketing'!D24</f>
        <v/>
      </c>
      <c r="E67" s="134">
        <f>'C5 · Marketing'!E24</f>
        <v/>
      </c>
      <c r="F67" s="134">
        <f>'C5 · Marketing'!F24</f>
        <v/>
      </c>
      <c r="G67" s="134">
        <f>'C5 · Marketing'!G24</f>
        <v/>
      </c>
      <c r="H67" s="134">
        <f>'C5 · Marketing'!H24</f>
        <v/>
      </c>
      <c r="I67" s="134">
        <f>'C5 · Marketing'!I24</f>
        <v/>
      </c>
      <c r="J67" s="134">
        <f>'C5 · Marketing'!J24</f>
        <v/>
      </c>
      <c r="K67" s="134">
        <f>'C5 · Marketing'!K24</f>
        <v/>
      </c>
      <c r="L67" s="134">
        <f>'C5 · Marketing'!L24</f>
        <v/>
      </c>
      <c r="M67" s="134">
        <f>'C5 · Marketing'!M24</f>
        <v/>
      </c>
      <c r="N67" s="134">
        <f>'C5 · Marketing'!N24</f>
        <v/>
      </c>
      <c r="O67" s="134">
        <f>'C5 · Marketing'!O24</f>
        <v/>
      </c>
      <c r="P67" s="134">
        <f>'C5 · Marketing'!P24</f>
        <v/>
      </c>
      <c r="Q67" s="134">
        <f>'C5 · Marketing'!Q24</f>
        <v/>
      </c>
      <c r="R67" s="134">
        <f>'C5 · Marketing'!R24</f>
        <v/>
      </c>
      <c r="S67" s="134">
        <f>'C5 · Marketing'!S24</f>
        <v/>
      </c>
      <c r="T67" s="134">
        <f>'C5 · Marketing'!T24</f>
        <v/>
      </c>
      <c r="U67" s="134">
        <f>'C5 · Marketing'!U24</f>
        <v/>
      </c>
      <c r="V67" s="134">
        <f>'C5 · Marketing'!V24</f>
        <v/>
      </c>
      <c r="W67" s="134">
        <f>'C5 · Marketing'!W24</f>
        <v/>
      </c>
      <c r="X67" s="134">
        <f>'C5 · Marketing'!X24</f>
        <v/>
      </c>
      <c r="Y67" s="134">
        <f>'C5 · Marketing'!Y24</f>
        <v/>
      </c>
      <c r="Z67" s="134">
        <f>'C5 · Marketing'!Z24</f>
        <v/>
      </c>
      <c r="AA67" s="134">
        <f>'C5 · Marketing'!AA24</f>
        <v/>
      </c>
      <c r="AB67" s="134">
        <f>'C5 · Marketing'!AB24</f>
        <v/>
      </c>
      <c r="AC67" s="134">
        <f>'C5 · Marketing'!AC24</f>
        <v/>
      </c>
      <c r="AD67" s="134">
        <f>'C5 · Marketing'!AD24</f>
        <v/>
      </c>
      <c r="AE67" s="134">
        <f>'C5 · Marketing'!AE24</f>
        <v/>
      </c>
      <c r="AF67" s="134">
        <f>'C5 · Marketing'!AF24</f>
        <v/>
      </c>
      <c r="AG67" s="134">
        <f>'C5 · Marketing'!AG24</f>
        <v/>
      </c>
      <c r="AH67" s="134">
        <f>'C5 · Marketing'!AH24</f>
        <v/>
      </c>
      <c r="AI67" s="134">
        <f>'C5 · Marketing'!AI24</f>
        <v/>
      </c>
      <c r="AJ67" s="134">
        <f>'C5 · Marketing'!AJ24</f>
        <v/>
      </c>
      <c r="AK67" s="134">
        <f>'C5 · Marketing'!AK24</f>
        <v/>
      </c>
      <c r="AL67" s="134">
        <f>'C5 · Marketing'!AL24</f>
        <v/>
      </c>
      <c r="AM67" s="134">
        <f>'C5 · Marketing'!AM24</f>
        <v/>
      </c>
    </row>
    <row r="68">
      <c r="B68" s="133" t="inlineStr">
        <is>
          <t>kpi.com.tenant_sales</t>
        </is>
      </c>
      <c r="C68" s="133" t="inlineStr">
        <is>
          <t>SUM</t>
        </is>
      </c>
      <c r="D68" s="134">
        <f>'C6 · Commercial'!D8</f>
        <v/>
      </c>
      <c r="E68" s="134">
        <f>'C6 · Commercial'!E8</f>
        <v/>
      </c>
      <c r="F68" s="134">
        <f>'C6 · Commercial'!F8</f>
        <v/>
      </c>
      <c r="G68" s="134">
        <f>'C6 · Commercial'!G8</f>
        <v/>
      </c>
      <c r="H68" s="134">
        <f>'C6 · Commercial'!H8</f>
        <v/>
      </c>
      <c r="I68" s="134">
        <f>'C6 · Commercial'!I8</f>
        <v/>
      </c>
      <c r="J68" s="134">
        <f>'C6 · Commercial'!J8</f>
        <v/>
      </c>
      <c r="K68" s="134">
        <f>'C6 · Commercial'!K8</f>
        <v/>
      </c>
      <c r="L68" s="134">
        <f>'C6 · Commercial'!L8</f>
        <v/>
      </c>
      <c r="M68" s="134">
        <f>'C6 · Commercial'!M8</f>
        <v/>
      </c>
      <c r="N68" s="134">
        <f>'C6 · Commercial'!N8</f>
        <v/>
      </c>
      <c r="O68" s="134">
        <f>'C6 · Commercial'!O8</f>
        <v/>
      </c>
      <c r="P68" s="134">
        <f>'C6 · Commercial'!P8</f>
        <v/>
      </c>
      <c r="Q68" s="134">
        <f>'C6 · Commercial'!Q8</f>
        <v/>
      </c>
      <c r="R68" s="134">
        <f>'C6 · Commercial'!R8</f>
        <v/>
      </c>
      <c r="S68" s="134">
        <f>'C6 · Commercial'!S8</f>
        <v/>
      </c>
      <c r="T68" s="134">
        <f>'C6 · Commercial'!T8</f>
        <v/>
      </c>
      <c r="U68" s="134">
        <f>'C6 · Commercial'!U8</f>
        <v/>
      </c>
      <c r="V68" s="134">
        <f>'C6 · Commercial'!V8</f>
        <v/>
      </c>
      <c r="W68" s="134">
        <f>'C6 · Commercial'!W8</f>
        <v/>
      </c>
      <c r="X68" s="134">
        <f>'C6 · Commercial'!X8</f>
        <v/>
      </c>
      <c r="Y68" s="134">
        <f>'C6 · Commercial'!Y8</f>
        <v/>
      </c>
      <c r="Z68" s="134">
        <f>'C6 · Commercial'!Z8</f>
        <v/>
      </c>
      <c r="AA68" s="134">
        <f>'C6 · Commercial'!AA8</f>
        <v/>
      </c>
      <c r="AB68" s="134">
        <f>'C6 · Commercial'!AB8</f>
        <v/>
      </c>
      <c r="AC68" s="134">
        <f>'C6 · Commercial'!AC8</f>
        <v/>
      </c>
      <c r="AD68" s="134">
        <f>'C6 · Commercial'!AD8</f>
        <v/>
      </c>
      <c r="AE68" s="134">
        <f>'C6 · Commercial'!AE8</f>
        <v/>
      </c>
      <c r="AF68" s="134">
        <f>'C6 · Commercial'!AF8</f>
        <v/>
      </c>
      <c r="AG68" s="134">
        <f>'C6 · Commercial'!AG8</f>
        <v/>
      </c>
      <c r="AH68" s="134">
        <f>'C6 · Commercial'!AH8</f>
        <v/>
      </c>
      <c r="AI68" s="134">
        <f>'C6 · Commercial'!AI8</f>
        <v/>
      </c>
      <c r="AJ68" s="134">
        <f>'C6 · Commercial'!AJ8</f>
        <v/>
      </c>
      <c r="AK68" s="134">
        <f>'C6 · Commercial'!AK8</f>
        <v/>
      </c>
      <c r="AL68" s="134">
        <f>'C6 · Commercial'!AL8</f>
        <v/>
      </c>
      <c r="AM68" s="134">
        <f>'C6 · Commercial'!AM8</f>
        <v/>
      </c>
    </row>
    <row r="69">
      <c r="B69" s="133" t="inlineStr">
        <is>
          <t>kpi.com.total_sales</t>
        </is>
      </c>
      <c r="C69" s="133" t="inlineStr">
        <is>
          <t>SUM</t>
        </is>
      </c>
      <c r="D69" s="134">
        <f>'C6 · Commercial'!D9</f>
        <v/>
      </c>
      <c r="E69" s="134">
        <f>'C6 · Commercial'!E9</f>
        <v/>
      </c>
      <c r="F69" s="134">
        <f>'C6 · Commercial'!F9</f>
        <v/>
      </c>
      <c r="G69" s="134">
        <f>'C6 · Commercial'!G9</f>
        <v/>
      </c>
      <c r="H69" s="134">
        <f>'C6 · Commercial'!H9</f>
        <v/>
      </c>
      <c r="I69" s="134">
        <f>'C6 · Commercial'!I9</f>
        <v/>
      </c>
      <c r="J69" s="134">
        <f>'C6 · Commercial'!J9</f>
        <v/>
      </c>
      <c r="K69" s="134">
        <f>'C6 · Commercial'!K9</f>
        <v/>
      </c>
      <c r="L69" s="134">
        <f>'C6 · Commercial'!L9</f>
        <v/>
      </c>
      <c r="M69" s="134">
        <f>'C6 · Commercial'!M9</f>
        <v/>
      </c>
      <c r="N69" s="134">
        <f>'C6 · Commercial'!N9</f>
        <v/>
      </c>
      <c r="O69" s="134">
        <f>'C6 · Commercial'!O9</f>
        <v/>
      </c>
      <c r="P69" s="134">
        <f>'C6 · Commercial'!P9</f>
        <v/>
      </c>
      <c r="Q69" s="134">
        <f>'C6 · Commercial'!Q9</f>
        <v/>
      </c>
      <c r="R69" s="134">
        <f>'C6 · Commercial'!R9</f>
        <v/>
      </c>
      <c r="S69" s="134">
        <f>'C6 · Commercial'!S9</f>
        <v/>
      </c>
      <c r="T69" s="134">
        <f>'C6 · Commercial'!T9</f>
        <v/>
      </c>
      <c r="U69" s="134">
        <f>'C6 · Commercial'!U9</f>
        <v/>
      </c>
      <c r="V69" s="134">
        <f>'C6 · Commercial'!V9</f>
        <v/>
      </c>
      <c r="W69" s="134">
        <f>'C6 · Commercial'!W9</f>
        <v/>
      </c>
      <c r="X69" s="134">
        <f>'C6 · Commercial'!X9</f>
        <v/>
      </c>
      <c r="Y69" s="134">
        <f>'C6 · Commercial'!Y9</f>
        <v/>
      </c>
      <c r="Z69" s="134">
        <f>'C6 · Commercial'!Z9</f>
        <v/>
      </c>
      <c r="AA69" s="134">
        <f>'C6 · Commercial'!AA9</f>
        <v/>
      </c>
      <c r="AB69" s="134">
        <f>'C6 · Commercial'!AB9</f>
        <v/>
      </c>
      <c r="AC69" s="134">
        <f>'C6 · Commercial'!AC9</f>
        <v/>
      </c>
      <c r="AD69" s="134">
        <f>'C6 · Commercial'!AD9</f>
        <v/>
      </c>
      <c r="AE69" s="134">
        <f>'C6 · Commercial'!AE9</f>
        <v/>
      </c>
      <c r="AF69" s="134">
        <f>'C6 · Commercial'!AF9</f>
        <v/>
      </c>
      <c r="AG69" s="134">
        <f>'C6 · Commercial'!AG9</f>
        <v/>
      </c>
      <c r="AH69" s="134">
        <f>'C6 · Commercial'!AH9</f>
        <v/>
      </c>
      <c r="AI69" s="134">
        <f>'C6 · Commercial'!AI9</f>
        <v/>
      </c>
      <c r="AJ69" s="134">
        <f>'C6 · Commercial'!AJ9</f>
        <v/>
      </c>
      <c r="AK69" s="134">
        <f>'C6 · Commercial'!AK9</f>
        <v/>
      </c>
      <c r="AL69" s="134">
        <f>'C6 · Commercial'!AL9</f>
        <v/>
      </c>
      <c r="AM69" s="134">
        <f>'C6 · Commercial'!AM9</f>
        <v/>
      </c>
    </row>
    <row r="70">
      <c r="B70" s="133" t="inlineStr">
        <is>
          <t>kpi.com.sales_sqm</t>
        </is>
      </c>
      <c r="C70" s="133" t="inlineStr">
        <is>
          <t>RATIO</t>
        </is>
      </c>
      <c r="D70" s="134">
        <f>'C6 · Commercial'!D10</f>
        <v/>
      </c>
      <c r="E70" s="134">
        <f>'C6 · Commercial'!E10</f>
        <v/>
      </c>
      <c r="F70" s="134">
        <f>'C6 · Commercial'!F10</f>
        <v/>
      </c>
      <c r="G70" s="134">
        <f>'C6 · Commercial'!G10</f>
        <v/>
      </c>
      <c r="H70" s="134">
        <f>'C6 · Commercial'!H10</f>
        <v/>
      </c>
      <c r="I70" s="134">
        <f>'C6 · Commercial'!I10</f>
        <v/>
      </c>
      <c r="J70" s="134">
        <f>'C6 · Commercial'!J10</f>
        <v/>
      </c>
      <c r="K70" s="134">
        <f>'C6 · Commercial'!K10</f>
        <v/>
      </c>
      <c r="L70" s="134">
        <f>'C6 · Commercial'!L10</f>
        <v/>
      </c>
      <c r="M70" s="134">
        <f>'C6 · Commercial'!M10</f>
        <v/>
      </c>
      <c r="N70" s="134">
        <f>'C6 · Commercial'!N10</f>
        <v/>
      </c>
      <c r="O70" s="134">
        <f>'C6 · Commercial'!O10</f>
        <v/>
      </c>
      <c r="P70" s="134">
        <f>'C6 · Commercial'!P10</f>
        <v/>
      </c>
      <c r="Q70" s="134">
        <f>'C6 · Commercial'!Q10</f>
        <v/>
      </c>
      <c r="R70" s="134">
        <f>'C6 · Commercial'!R10</f>
        <v/>
      </c>
      <c r="S70" s="134">
        <f>'C6 · Commercial'!S10</f>
        <v/>
      </c>
      <c r="T70" s="134">
        <f>'C6 · Commercial'!T10</f>
        <v/>
      </c>
      <c r="U70" s="134">
        <f>'C6 · Commercial'!U10</f>
        <v/>
      </c>
      <c r="V70" s="134">
        <f>'C6 · Commercial'!V10</f>
        <v/>
      </c>
      <c r="W70" s="134">
        <f>'C6 · Commercial'!W10</f>
        <v/>
      </c>
      <c r="X70" s="134">
        <f>'C6 · Commercial'!X10</f>
        <v/>
      </c>
      <c r="Y70" s="134">
        <f>'C6 · Commercial'!Y10</f>
        <v/>
      </c>
      <c r="Z70" s="134">
        <f>'C6 · Commercial'!Z10</f>
        <v/>
      </c>
      <c r="AA70" s="134">
        <f>'C6 · Commercial'!AA10</f>
        <v/>
      </c>
      <c r="AB70" s="134">
        <f>'C6 · Commercial'!AB10</f>
        <v/>
      </c>
      <c r="AC70" s="134">
        <f>'C6 · Commercial'!AC10</f>
        <v/>
      </c>
      <c r="AD70" s="134">
        <f>'C6 · Commercial'!AD10</f>
        <v/>
      </c>
      <c r="AE70" s="134">
        <f>'C6 · Commercial'!AE10</f>
        <v/>
      </c>
      <c r="AF70" s="134">
        <f>'C6 · Commercial'!AF10</f>
        <v/>
      </c>
      <c r="AG70" s="134">
        <f>'C6 · Commercial'!AG10</f>
        <v/>
      </c>
      <c r="AH70" s="134">
        <f>'C6 · Commercial'!AH10</f>
        <v/>
      </c>
      <c r="AI70" s="134">
        <f>'C6 · Commercial'!AI10</f>
        <v/>
      </c>
      <c r="AJ70" s="134">
        <f>'C6 · Commercial'!AJ10</f>
        <v/>
      </c>
      <c r="AK70" s="134">
        <f>'C6 · Commercial'!AK10</f>
        <v/>
      </c>
      <c r="AL70" s="134">
        <f>'C6 · Commercial'!AL10</f>
        <v/>
      </c>
      <c r="AM70" s="134">
        <f>'C6 · Commercial'!AM10</f>
        <v/>
      </c>
    </row>
    <row r="71">
      <c r="B71" s="133" t="inlineStr">
        <is>
          <t>kpi.com.lfl</t>
        </is>
      </c>
      <c r="C71" s="133" t="inlineStr">
        <is>
          <t>RATIO</t>
        </is>
      </c>
      <c r="D71" s="135">
        <f>'C6 · Commercial'!D11</f>
        <v/>
      </c>
      <c r="E71" s="135">
        <f>'C6 · Commercial'!E11</f>
        <v/>
      </c>
      <c r="F71" s="135">
        <f>'C6 · Commercial'!F11</f>
        <v/>
      </c>
      <c r="G71" s="135">
        <f>'C6 · Commercial'!G11</f>
        <v/>
      </c>
      <c r="H71" s="135">
        <f>'C6 · Commercial'!H11</f>
        <v/>
      </c>
      <c r="I71" s="135">
        <f>'C6 · Commercial'!I11</f>
        <v/>
      </c>
      <c r="J71" s="135">
        <f>'C6 · Commercial'!J11</f>
        <v/>
      </c>
      <c r="K71" s="135">
        <f>'C6 · Commercial'!K11</f>
        <v/>
      </c>
      <c r="L71" s="135">
        <f>'C6 · Commercial'!L11</f>
        <v/>
      </c>
      <c r="M71" s="135">
        <f>'C6 · Commercial'!M11</f>
        <v/>
      </c>
      <c r="N71" s="135">
        <f>'C6 · Commercial'!N11</f>
        <v/>
      </c>
      <c r="O71" s="135">
        <f>'C6 · Commercial'!O11</f>
        <v/>
      </c>
      <c r="P71" s="135">
        <f>'C6 · Commercial'!P11</f>
        <v/>
      </c>
      <c r="Q71" s="135">
        <f>'C6 · Commercial'!Q11</f>
        <v/>
      </c>
      <c r="R71" s="135">
        <f>'C6 · Commercial'!R11</f>
        <v/>
      </c>
      <c r="S71" s="135">
        <f>'C6 · Commercial'!S11</f>
        <v/>
      </c>
      <c r="T71" s="135">
        <f>'C6 · Commercial'!T11</f>
        <v/>
      </c>
      <c r="U71" s="135">
        <f>'C6 · Commercial'!U11</f>
        <v/>
      </c>
      <c r="V71" s="135">
        <f>'C6 · Commercial'!V11</f>
        <v/>
      </c>
      <c r="W71" s="135">
        <f>'C6 · Commercial'!W11</f>
        <v/>
      </c>
      <c r="X71" s="135">
        <f>'C6 · Commercial'!X11</f>
        <v/>
      </c>
      <c r="Y71" s="135">
        <f>'C6 · Commercial'!Y11</f>
        <v/>
      </c>
      <c r="Z71" s="135">
        <f>'C6 · Commercial'!Z11</f>
        <v/>
      </c>
      <c r="AA71" s="135">
        <f>'C6 · Commercial'!AA11</f>
        <v/>
      </c>
      <c r="AB71" s="135">
        <f>'C6 · Commercial'!AB11</f>
        <v/>
      </c>
      <c r="AC71" s="135">
        <f>'C6 · Commercial'!AC11</f>
        <v/>
      </c>
      <c r="AD71" s="135">
        <f>'C6 · Commercial'!AD11</f>
        <v/>
      </c>
      <c r="AE71" s="135">
        <f>'C6 · Commercial'!AE11</f>
        <v/>
      </c>
      <c r="AF71" s="135">
        <f>'C6 · Commercial'!AF11</f>
        <v/>
      </c>
      <c r="AG71" s="135">
        <f>'C6 · Commercial'!AG11</f>
        <v/>
      </c>
      <c r="AH71" s="135">
        <f>'C6 · Commercial'!AH11</f>
        <v/>
      </c>
      <c r="AI71" s="135">
        <f>'C6 · Commercial'!AI11</f>
        <v/>
      </c>
      <c r="AJ71" s="135">
        <f>'C6 · Commercial'!AJ11</f>
        <v/>
      </c>
      <c r="AK71" s="135">
        <f>'C6 · Commercial'!AK11</f>
        <v/>
      </c>
      <c r="AL71" s="135">
        <f>'C6 · Commercial'!AL11</f>
        <v/>
      </c>
      <c r="AM71" s="135">
        <f>'C6 · Commercial'!AM11</f>
        <v/>
      </c>
    </row>
    <row r="72">
      <c r="B72" s="133" t="inlineStr">
        <is>
          <t>kpi.com.new_leases</t>
        </is>
      </c>
      <c r="C72" s="133" t="inlineStr">
        <is>
          <t>SUM</t>
        </is>
      </c>
      <c r="D72" s="134">
        <f>'C6 · Commercial'!D12</f>
        <v/>
      </c>
      <c r="E72" s="134">
        <f>'C6 · Commercial'!E12</f>
        <v/>
      </c>
      <c r="F72" s="134">
        <f>'C6 · Commercial'!F12</f>
        <v/>
      </c>
      <c r="G72" s="134">
        <f>'C6 · Commercial'!G12</f>
        <v/>
      </c>
      <c r="H72" s="134">
        <f>'C6 · Commercial'!H12</f>
        <v/>
      </c>
      <c r="I72" s="134">
        <f>'C6 · Commercial'!I12</f>
        <v/>
      </c>
      <c r="J72" s="134">
        <f>'C6 · Commercial'!J12</f>
        <v/>
      </c>
      <c r="K72" s="134">
        <f>'C6 · Commercial'!K12</f>
        <v/>
      </c>
      <c r="L72" s="134">
        <f>'C6 · Commercial'!L12</f>
        <v/>
      </c>
      <c r="M72" s="134">
        <f>'C6 · Commercial'!M12</f>
        <v/>
      </c>
      <c r="N72" s="134">
        <f>'C6 · Commercial'!N12</f>
        <v/>
      </c>
      <c r="O72" s="134">
        <f>'C6 · Commercial'!O12</f>
        <v/>
      </c>
      <c r="P72" s="134">
        <f>'C6 · Commercial'!P12</f>
        <v/>
      </c>
      <c r="Q72" s="134">
        <f>'C6 · Commercial'!Q12</f>
        <v/>
      </c>
      <c r="R72" s="134">
        <f>'C6 · Commercial'!R12</f>
        <v/>
      </c>
      <c r="S72" s="134">
        <f>'C6 · Commercial'!S12</f>
        <v/>
      </c>
      <c r="T72" s="134">
        <f>'C6 · Commercial'!T12</f>
        <v/>
      </c>
      <c r="U72" s="134">
        <f>'C6 · Commercial'!U12</f>
        <v/>
      </c>
      <c r="V72" s="134">
        <f>'C6 · Commercial'!V12</f>
        <v/>
      </c>
      <c r="W72" s="134">
        <f>'C6 · Commercial'!W12</f>
        <v/>
      </c>
      <c r="X72" s="134">
        <f>'C6 · Commercial'!X12</f>
        <v/>
      </c>
      <c r="Y72" s="134">
        <f>'C6 · Commercial'!Y12</f>
        <v/>
      </c>
      <c r="Z72" s="134">
        <f>'C6 · Commercial'!Z12</f>
        <v/>
      </c>
      <c r="AA72" s="134">
        <f>'C6 · Commercial'!AA12</f>
        <v/>
      </c>
      <c r="AB72" s="134">
        <f>'C6 · Commercial'!AB12</f>
        <v/>
      </c>
      <c r="AC72" s="134">
        <f>'C6 · Commercial'!AC12</f>
        <v/>
      </c>
      <c r="AD72" s="134">
        <f>'C6 · Commercial'!AD12</f>
        <v/>
      </c>
      <c r="AE72" s="134">
        <f>'C6 · Commercial'!AE12</f>
        <v/>
      </c>
      <c r="AF72" s="134">
        <f>'C6 · Commercial'!AF12</f>
        <v/>
      </c>
      <c r="AG72" s="134">
        <f>'C6 · Commercial'!AG12</f>
        <v/>
      </c>
      <c r="AH72" s="134">
        <f>'C6 · Commercial'!AH12</f>
        <v/>
      </c>
      <c r="AI72" s="134">
        <f>'C6 · Commercial'!AI12</f>
        <v/>
      </c>
      <c r="AJ72" s="134">
        <f>'C6 · Commercial'!AJ12</f>
        <v/>
      </c>
      <c r="AK72" s="134">
        <f>'C6 · Commercial'!AK12</f>
        <v/>
      </c>
      <c r="AL72" s="134">
        <f>'C6 · Commercial'!AL12</f>
        <v/>
      </c>
      <c r="AM72" s="134">
        <f>'C6 · Commercial'!AM12</f>
        <v/>
      </c>
    </row>
    <row r="73">
      <c r="B73" s="133" t="inlineStr">
        <is>
          <t>kpi.com.pipeline</t>
        </is>
      </c>
      <c r="C73" s="133" t="inlineStr">
        <is>
          <t>LAST</t>
        </is>
      </c>
      <c r="D73" s="134">
        <f>'C6 · Commercial'!D13</f>
        <v/>
      </c>
      <c r="E73" s="134">
        <f>'C6 · Commercial'!E13</f>
        <v/>
      </c>
      <c r="F73" s="134">
        <f>'C6 · Commercial'!F13</f>
        <v/>
      </c>
      <c r="G73" s="134">
        <f>'C6 · Commercial'!G13</f>
        <v/>
      </c>
      <c r="H73" s="134">
        <f>'C6 · Commercial'!H13</f>
        <v/>
      </c>
      <c r="I73" s="134">
        <f>'C6 · Commercial'!I13</f>
        <v/>
      </c>
      <c r="J73" s="134">
        <f>'C6 · Commercial'!J13</f>
        <v/>
      </c>
      <c r="K73" s="134">
        <f>'C6 · Commercial'!K13</f>
        <v/>
      </c>
      <c r="L73" s="134">
        <f>'C6 · Commercial'!L13</f>
        <v/>
      </c>
      <c r="M73" s="134">
        <f>'C6 · Commercial'!M13</f>
        <v/>
      </c>
      <c r="N73" s="134">
        <f>'C6 · Commercial'!N13</f>
        <v/>
      </c>
      <c r="O73" s="134">
        <f>'C6 · Commercial'!O13</f>
        <v/>
      </c>
      <c r="P73" s="134">
        <f>'C6 · Commercial'!P13</f>
        <v/>
      </c>
      <c r="Q73" s="134">
        <f>'C6 · Commercial'!Q13</f>
        <v/>
      </c>
      <c r="R73" s="134">
        <f>'C6 · Commercial'!R13</f>
        <v/>
      </c>
      <c r="S73" s="134">
        <f>'C6 · Commercial'!S13</f>
        <v/>
      </c>
      <c r="T73" s="134">
        <f>'C6 · Commercial'!T13</f>
        <v/>
      </c>
      <c r="U73" s="134">
        <f>'C6 · Commercial'!U13</f>
        <v/>
      </c>
      <c r="V73" s="134">
        <f>'C6 · Commercial'!V13</f>
        <v/>
      </c>
      <c r="W73" s="134">
        <f>'C6 · Commercial'!W13</f>
        <v/>
      </c>
      <c r="X73" s="134">
        <f>'C6 · Commercial'!X13</f>
        <v/>
      </c>
      <c r="Y73" s="134">
        <f>'C6 · Commercial'!Y13</f>
        <v/>
      </c>
      <c r="Z73" s="134">
        <f>'C6 · Commercial'!Z13</f>
        <v/>
      </c>
      <c r="AA73" s="134">
        <f>'C6 · Commercial'!AA13</f>
        <v/>
      </c>
      <c r="AB73" s="134">
        <f>'C6 · Commercial'!AB13</f>
        <v/>
      </c>
      <c r="AC73" s="134">
        <f>'C6 · Commercial'!AC13</f>
        <v/>
      </c>
      <c r="AD73" s="134">
        <f>'C6 · Commercial'!AD13</f>
        <v/>
      </c>
      <c r="AE73" s="134">
        <f>'C6 · Commercial'!AE13</f>
        <v/>
      </c>
      <c r="AF73" s="134">
        <f>'C6 · Commercial'!AF13</f>
        <v/>
      </c>
      <c r="AG73" s="134">
        <f>'C6 · Commercial'!AG13</f>
        <v/>
      </c>
      <c r="AH73" s="134">
        <f>'C6 · Commercial'!AH13</f>
        <v/>
      </c>
      <c r="AI73" s="134">
        <f>'C6 · Commercial'!AI13</f>
        <v/>
      </c>
      <c r="AJ73" s="134">
        <f>'C6 · Commercial'!AJ13</f>
        <v/>
      </c>
      <c r="AK73" s="134">
        <f>'C6 · Commercial'!AK13</f>
        <v/>
      </c>
      <c r="AL73" s="134">
        <f>'C6 · Commercial'!AL13</f>
        <v/>
      </c>
      <c r="AM73" s="134">
        <f>'C6 · Commercial'!AM13</f>
        <v/>
      </c>
    </row>
    <row r="74">
      <c r="B74" s="133" t="inlineStr">
        <is>
          <t>kpi.com.leases_renewed</t>
        </is>
      </c>
      <c r="C74" s="133" t="inlineStr">
        <is>
          <t>SUM</t>
        </is>
      </c>
      <c r="D74" s="134">
        <f>'C6 · Commercial'!D14</f>
        <v/>
      </c>
      <c r="E74" s="134">
        <f>'C6 · Commercial'!E14</f>
        <v/>
      </c>
      <c r="F74" s="134">
        <f>'C6 · Commercial'!F14</f>
        <v/>
      </c>
      <c r="G74" s="134">
        <f>'C6 · Commercial'!G14</f>
        <v/>
      </c>
      <c r="H74" s="134">
        <f>'C6 · Commercial'!H14</f>
        <v/>
      </c>
      <c r="I74" s="134">
        <f>'C6 · Commercial'!I14</f>
        <v/>
      </c>
      <c r="J74" s="134">
        <f>'C6 · Commercial'!J14</f>
        <v/>
      </c>
      <c r="K74" s="134">
        <f>'C6 · Commercial'!K14</f>
        <v/>
      </c>
      <c r="L74" s="134">
        <f>'C6 · Commercial'!L14</f>
        <v/>
      </c>
      <c r="M74" s="134">
        <f>'C6 · Commercial'!M14</f>
        <v/>
      </c>
      <c r="N74" s="134">
        <f>'C6 · Commercial'!N14</f>
        <v/>
      </c>
      <c r="O74" s="134">
        <f>'C6 · Commercial'!O14</f>
        <v/>
      </c>
      <c r="P74" s="134">
        <f>'C6 · Commercial'!P14</f>
        <v/>
      </c>
      <c r="Q74" s="134">
        <f>'C6 · Commercial'!Q14</f>
        <v/>
      </c>
      <c r="R74" s="134">
        <f>'C6 · Commercial'!R14</f>
        <v/>
      </c>
      <c r="S74" s="134">
        <f>'C6 · Commercial'!S14</f>
        <v/>
      </c>
      <c r="T74" s="134">
        <f>'C6 · Commercial'!T14</f>
        <v/>
      </c>
      <c r="U74" s="134">
        <f>'C6 · Commercial'!U14</f>
        <v/>
      </c>
      <c r="V74" s="134">
        <f>'C6 · Commercial'!V14</f>
        <v/>
      </c>
      <c r="W74" s="134">
        <f>'C6 · Commercial'!W14</f>
        <v/>
      </c>
      <c r="X74" s="134">
        <f>'C6 · Commercial'!X14</f>
        <v/>
      </c>
      <c r="Y74" s="134">
        <f>'C6 · Commercial'!Y14</f>
        <v/>
      </c>
      <c r="Z74" s="134">
        <f>'C6 · Commercial'!Z14</f>
        <v/>
      </c>
      <c r="AA74" s="134">
        <f>'C6 · Commercial'!AA14</f>
        <v/>
      </c>
      <c r="AB74" s="134">
        <f>'C6 · Commercial'!AB14</f>
        <v/>
      </c>
      <c r="AC74" s="134">
        <f>'C6 · Commercial'!AC14</f>
        <v/>
      </c>
      <c r="AD74" s="134">
        <f>'C6 · Commercial'!AD14</f>
        <v/>
      </c>
      <c r="AE74" s="134">
        <f>'C6 · Commercial'!AE14</f>
        <v/>
      </c>
      <c r="AF74" s="134">
        <f>'C6 · Commercial'!AF14</f>
        <v/>
      </c>
      <c r="AG74" s="134">
        <f>'C6 · Commercial'!AG14</f>
        <v/>
      </c>
      <c r="AH74" s="134">
        <f>'C6 · Commercial'!AH14</f>
        <v/>
      </c>
      <c r="AI74" s="134">
        <f>'C6 · Commercial'!AI14</f>
        <v/>
      </c>
      <c r="AJ74" s="134">
        <f>'C6 · Commercial'!AJ14</f>
        <v/>
      </c>
      <c r="AK74" s="134">
        <f>'C6 · Commercial'!AK14</f>
        <v/>
      </c>
      <c r="AL74" s="134">
        <f>'C6 · Commercial'!AL14</f>
        <v/>
      </c>
      <c r="AM74" s="134">
        <f>'C6 · Commercial'!AM14</f>
        <v/>
      </c>
    </row>
    <row r="75">
      <c r="B75" s="133" t="inlineStr">
        <is>
          <t>kpi.com.pipeline_conv</t>
        </is>
      </c>
      <c r="C75" s="133" t="inlineStr">
        <is>
          <t>RATIO</t>
        </is>
      </c>
      <c r="D75" s="135">
        <f>'C6 · Commercial'!D15</f>
        <v/>
      </c>
      <c r="E75" s="135">
        <f>'C6 · Commercial'!E15</f>
        <v/>
      </c>
      <c r="F75" s="135">
        <f>'C6 · Commercial'!F15</f>
        <v/>
      </c>
      <c r="G75" s="135">
        <f>'C6 · Commercial'!G15</f>
        <v/>
      </c>
      <c r="H75" s="135">
        <f>'C6 · Commercial'!H15</f>
        <v/>
      </c>
      <c r="I75" s="135">
        <f>'C6 · Commercial'!I15</f>
        <v/>
      </c>
      <c r="J75" s="135">
        <f>'C6 · Commercial'!J15</f>
        <v/>
      </c>
      <c r="K75" s="135">
        <f>'C6 · Commercial'!K15</f>
        <v/>
      </c>
      <c r="L75" s="135">
        <f>'C6 · Commercial'!L15</f>
        <v/>
      </c>
      <c r="M75" s="135">
        <f>'C6 · Commercial'!M15</f>
        <v/>
      </c>
      <c r="N75" s="135">
        <f>'C6 · Commercial'!N15</f>
        <v/>
      </c>
      <c r="O75" s="135">
        <f>'C6 · Commercial'!O15</f>
        <v/>
      </c>
      <c r="P75" s="135">
        <f>'C6 · Commercial'!P15</f>
        <v/>
      </c>
      <c r="Q75" s="135">
        <f>'C6 · Commercial'!Q15</f>
        <v/>
      </c>
      <c r="R75" s="135">
        <f>'C6 · Commercial'!R15</f>
        <v/>
      </c>
      <c r="S75" s="135">
        <f>'C6 · Commercial'!S15</f>
        <v/>
      </c>
      <c r="T75" s="135">
        <f>'C6 · Commercial'!T15</f>
        <v/>
      </c>
      <c r="U75" s="135">
        <f>'C6 · Commercial'!U15</f>
        <v/>
      </c>
      <c r="V75" s="135">
        <f>'C6 · Commercial'!V15</f>
        <v/>
      </c>
      <c r="W75" s="135">
        <f>'C6 · Commercial'!W15</f>
        <v/>
      </c>
      <c r="X75" s="135">
        <f>'C6 · Commercial'!X15</f>
        <v/>
      </c>
      <c r="Y75" s="135">
        <f>'C6 · Commercial'!Y15</f>
        <v/>
      </c>
      <c r="Z75" s="135">
        <f>'C6 · Commercial'!Z15</f>
        <v/>
      </c>
      <c r="AA75" s="135">
        <f>'C6 · Commercial'!AA15</f>
        <v/>
      </c>
      <c r="AB75" s="135">
        <f>'C6 · Commercial'!AB15</f>
        <v/>
      </c>
      <c r="AC75" s="135">
        <f>'C6 · Commercial'!AC15</f>
        <v/>
      </c>
      <c r="AD75" s="135">
        <f>'C6 · Commercial'!AD15</f>
        <v/>
      </c>
      <c r="AE75" s="135">
        <f>'C6 · Commercial'!AE15</f>
        <v/>
      </c>
      <c r="AF75" s="135">
        <f>'C6 · Commercial'!AF15</f>
        <v/>
      </c>
      <c r="AG75" s="135">
        <f>'C6 · Commercial'!AG15</f>
        <v/>
      </c>
      <c r="AH75" s="135">
        <f>'C6 · Commercial'!AH15</f>
        <v/>
      </c>
      <c r="AI75" s="135">
        <f>'C6 · Commercial'!AI15</f>
        <v/>
      </c>
      <c r="AJ75" s="135">
        <f>'C6 · Commercial'!AJ15</f>
        <v/>
      </c>
      <c r="AK75" s="135">
        <f>'C6 · Commercial'!AK15</f>
        <v/>
      </c>
      <c r="AL75" s="135">
        <f>'C6 · Commercial'!AL15</f>
        <v/>
      </c>
      <c r="AM75" s="135">
        <f>'C6 · Commercial'!AM15</f>
        <v/>
      </c>
    </row>
    <row r="76">
      <c r="B76" s="133" t="inlineStr">
        <is>
          <t>kpi.com.popup_count</t>
        </is>
      </c>
      <c r="C76" s="133" t="inlineStr">
        <is>
          <t>LAST</t>
        </is>
      </c>
      <c r="D76" s="134">
        <f>'C6 · Commercial'!D16</f>
        <v/>
      </c>
      <c r="E76" s="134">
        <f>'C6 · Commercial'!E16</f>
        <v/>
      </c>
      <c r="F76" s="134">
        <f>'C6 · Commercial'!F16</f>
        <v/>
      </c>
      <c r="G76" s="134">
        <f>'C6 · Commercial'!G16</f>
        <v/>
      </c>
      <c r="H76" s="134">
        <f>'C6 · Commercial'!H16</f>
        <v/>
      </c>
      <c r="I76" s="134">
        <f>'C6 · Commercial'!I16</f>
        <v/>
      </c>
      <c r="J76" s="134">
        <f>'C6 · Commercial'!J16</f>
        <v/>
      </c>
      <c r="K76" s="134">
        <f>'C6 · Commercial'!K16</f>
        <v/>
      </c>
      <c r="L76" s="134">
        <f>'C6 · Commercial'!L16</f>
        <v/>
      </c>
      <c r="M76" s="134">
        <f>'C6 · Commercial'!M16</f>
        <v/>
      </c>
      <c r="N76" s="134">
        <f>'C6 · Commercial'!N16</f>
        <v/>
      </c>
      <c r="O76" s="134">
        <f>'C6 · Commercial'!O16</f>
        <v/>
      </c>
      <c r="P76" s="134">
        <f>'C6 · Commercial'!P16</f>
        <v/>
      </c>
      <c r="Q76" s="134">
        <f>'C6 · Commercial'!Q16</f>
        <v/>
      </c>
      <c r="R76" s="134">
        <f>'C6 · Commercial'!R16</f>
        <v/>
      </c>
      <c r="S76" s="134">
        <f>'C6 · Commercial'!S16</f>
        <v/>
      </c>
      <c r="T76" s="134">
        <f>'C6 · Commercial'!T16</f>
        <v/>
      </c>
      <c r="U76" s="134">
        <f>'C6 · Commercial'!U16</f>
        <v/>
      </c>
      <c r="V76" s="134">
        <f>'C6 · Commercial'!V16</f>
        <v/>
      </c>
      <c r="W76" s="134">
        <f>'C6 · Commercial'!W16</f>
        <v/>
      </c>
      <c r="X76" s="134">
        <f>'C6 · Commercial'!X16</f>
        <v/>
      </c>
      <c r="Y76" s="134">
        <f>'C6 · Commercial'!Y16</f>
        <v/>
      </c>
      <c r="Z76" s="134">
        <f>'C6 · Commercial'!Z16</f>
        <v/>
      </c>
      <c r="AA76" s="134">
        <f>'C6 · Commercial'!AA16</f>
        <v/>
      </c>
      <c r="AB76" s="134">
        <f>'C6 · Commercial'!AB16</f>
        <v/>
      </c>
      <c r="AC76" s="134">
        <f>'C6 · Commercial'!AC16</f>
        <v/>
      </c>
      <c r="AD76" s="134">
        <f>'C6 · Commercial'!AD16</f>
        <v/>
      </c>
      <c r="AE76" s="134">
        <f>'C6 · Commercial'!AE16</f>
        <v/>
      </c>
      <c r="AF76" s="134">
        <f>'C6 · Commercial'!AF16</f>
        <v/>
      </c>
      <c r="AG76" s="134">
        <f>'C6 · Commercial'!AG16</f>
        <v/>
      </c>
      <c r="AH76" s="134">
        <f>'C6 · Commercial'!AH16</f>
        <v/>
      </c>
      <c r="AI76" s="134">
        <f>'C6 · Commercial'!AI16</f>
        <v/>
      </c>
      <c r="AJ76" s="134">
        <f>'C6 · Commercial'!AJ16</f>
        <v/>
      </c>
      <c r="AK76" s="134">
        <f>'C6 · Commercial'!AK16</f>
        <v/>
      </c>
      <c r="AL76" s="134">
        <f>'C6 · Commercial'!AL16</f>
        <v/>
      </c>
      <c r="AM76" s="134">
        <f>'C6 · Commercial'!AM16</f>
        <v/>
      </c>
    </row>
    <row r="77">
      <c r="B77" s="133" t="inlineStr">
        <is>
          <t>kpi.com.popup_rev</t>
        </is>
      </c>
      <c r="C77" s="133" t="inlineStr">
        <is>
          <t>SUM</t>
        </is>
      </c>
      <c r="D77" s="134">
        <f>'C6 · Commercial'!D17</f>
        <v/>
      </c>
      <c r="E77" s="134">
        <f>'C6 · Commercial'!E17</f>
        <v/>
      </c>
      <c r="F77" s="134">
        <f>'C6 · Commercial'!F17</f>
        <v/>
      </c>
      <c r="G77" s="134">
        <f>'C6 · Commercial'!G17</f>
        <v/>
      </c>
      <c r="H77" s="134">
        <f>'C6 · Commercial'!H17</f>
        <v/>
      </c>
      <c r="I77" s="134">
        <f>'C6 · Commercial'!I17</f>
        <v/>
      </c>
      <c r="J77" s="134">
        <f>'C6 · Commercial'!J17</f>
        <v/>
      </c>
      <c r="K77" s="134">
        <f>'C6 · Commercial'!K17</f>
        <v/>
      </c>
      <c r="L77" s="134">
        <f>'C6 · Commercial'!L17</f>
        <v/>
      </c>
      <c r="M77" s="134">
        <f>'C6 · Commercial'!M17</f>
        <v/>
      </c>
      <c r="N77" s="134">
        <f>'C6 · Commercial'!N17</f>
        <v/>
      </c>
      <c r="O77" s="134">
        <f>'C6 · Commercial'!O17</f>
        <v/>
      </c>
      <c r="P77" s="134">
        <f>'C6 · Commercial'!P17</f>
        <v/>
      </c>
      <c r="Q77" s="134">
        <f>'C6 · Commercial'!Q17</f>
        <v/>
      </c>
      <c r="R77" s="134">
        <f>'C6 · Commercial'!R17</f>
        <v/>
      </c>
      <c r="S77" s="134">
        <f>'C6 · Commercial'!S17</f>
        <v/>
      </c>
      <c r="T77" s="134">
        <f>'C6 · Commercial'!T17</f>
        <v/>
      </c>
      <c r="U77" s="134">
        <f>'C6 · Commercial'!U17</f>
        <v/>
      </c>
      <c r="V77" s="134">
        <f>'C6 · Commercial'!V17</f>
        <v/>
      </c>
      <c r="W77" s="134">
        <f>'C6 · Commercial'!W17</f>
        <v/>
      </c>
      <c r="X77" s="134">
        <f>'C6 · Commercial'!X17</f>
        <v/>
      </c>
      <c r="Y77" s="134">
        <f>'C6 · Commercial'!Y17</f>
        <v/>
      </c>
      <c r="Z77" s="134">
        <f>'C6 · Commercial'!Z17</f>
        <v/>
      </c>
      <c r="AA77" s="134">
        <f>'C6 · Commercial'!AA17</f>
        <v/>
      </c>
      <c r="AB77" s="134">
        <f>'C6 · Commercial'!AB17</f>
        <v/>
      </c>
      <c r="AC77" s="134">
        <f>'C6 · Commercial'!AC17</f>
        <v/>
      </c>
      <c r="AD77" s="134">
        <f>'C6 · Commercial'!AD17</f>
        <v/>
      </c>
      <c r="AE77" s="134">
        <f>'C6 · Commercial'!AE17</f>
        <v/>
      </c>
      <c r="AF77" s="134">
        <f>'C6 · Commercial'!AF17</f>
        <v/>
      </c>
      <c r="AG77" s="134">
        <f>'C6 · Commercial'!AG17</f>
        <v/>
      </c>
      <c r="AH77" s="134">
        <f>'C6 · Commercial'!AH17</f>
        <v/>
      </c>
      <c r="AI77" s="134">
        <f>'C6 · Commercial'!AI17</f>
        <v/>
      </c>
      <c r="AJ77" s="134">
        <f>'C6 · Commercial'!AJ17</f>
        <v/>
      </c>
      <c r="AK77" s="134">
        <f>'C6 · Commercial'!AK17</f>
        <v/>
      </c>
      <c r="AL77" s="134">
        <f>'C6 · Commercial'!AL17</f>
        <v/>
      </c>
      <c r="AM77" s="134">
        <f>'C6 · Commercial'!AM17</f>
        <v/>
      </c>
    </row>
    <row r="78">
      <c r="B78" s="133" t="inlineStr">
        <is>
          <t>kpi.com.kiosk_occ</t>
        </is>
      </c>
      <c r="C78" s="133" t="inlineStr">
        <is>
          <t>AVG</t>
        </is>
      </c>
      <c r="D78" s="135">
        <f>'C6 · Commercial'!D18</f>
        <v/>
      </c>
      <c r="E78" s="135">
        <f>'C6 · Commercial'!E18</f>
        <v/>
      </c>
      <c r="F78" s="135">
        <f>'C6 · Commercial'!F18</f>
        <v/>
      </c>
      <c r="G78" s="135">
        <f>'C6 · Commercial'!G18</f>
        <v/>
      </c>
      <c r="H78" s="135">
        <f>'C6 · Commercial'!H18</f>
        <v/>
      </c>
      <c r="I78" s="135">
        <f>'C6 · Commercial'!I18</f>
        <v/>
      </c>
      <c r="J78" s="135">
        <f>'C6 · Commercial'!J18</f>
        <v/>
      </c>
      <c r="K78" s="135">
        <f>'C6 · Commercial'!K18</f>
        <v/>
      </c>
      <c r="L78" s="135">
        <f>'C6 · Commercial'!L18</f>
        <v/>
      </c>
      <c r="M78" s="135">
        <f>'C6 · Commercial'!M18</f>
        <v/>
      </c>
      <c r="N78" s="135">
        <f>'C6 · Commercial'!N18</f>
        <v/>
      </c>
      <c r="O78" s="135">
        <f>'C6 · Commercial'!O18</f>
        <v/>
      </c>
      <c r="P78" s="135">
        <f>'C6 · Commercial'!P18</f>
        <v/>
      </c>
      <c r="Q78" s="135">
        <f>'C6 · Commercial'!Q18</f>
        <v/>
      </c>
      <c r="R78" s="135">
        <f>'C6 · Commercial'!R18</f>
        <v/>
      </c>
      <c r="S78" s="135">
        <f>'C6 · Commercial'!S18</f>
        <v/>
      </c>
      <c r="T78" s="135">
        <f>'C6 · Commercial'!T18</f>
        <v/>
      </c>
      <c r="U78" s="135">
        <f>'C6 · Commercial'!U18</f>
        <v/>
      </c>
      <c r="V78" s="135">
        <f>'C6 · Commercial'!V18</f>
        <v/>
      </c>
      <c r="W78" s="135">
        <f>'C6 · Commercial'!W18</f>
        <v/>
      </c>
      <c r="X78" s="135">
        <f>'C6 · Commercial'!X18</f>
        <v/>
      </c>
      <c r="Y78" s="135">
        <f>'C6 · Commercial'!Y18</f>
        <v/>
      </c>
      <c r="Z78" s="135">
        <f>'C6 · Commercial'!Z18</f>
        <v/>
      </c>
      <c r="AA78" s="135">
        <f>'C6 · Commercial'!AA18</f>
        <v/>
      </c>
      <c r="AB78" s="135">
        <f>'C6 · Commercial'!AB18</f>
        <v/>
      </c>
      <c r="AC78" s="135">
        <f>'C6 · Commercial'!AC18</f>
        <v/>
      </c>
      <c r="AD78" s="135">
        <f>'C6 · Commercial'!AD18</f>
        <v/>
      </c>
      <c r="AE78" s="135">
        <f>'C6 · Commercial'!AE18</f>
        <v/>
      </c>
      <c r="AF78" s="135">
        <f>'C6 · Commercial'!AF18</f>
        <v/>
      </c>
      <c r="AG78" s="135">
        <f>'C6 · Commercial'!AG18</f>
        <v/>
      </c>
      <c r="AH78" s="135">
        <f>'C6 · Commercial'!AH18</f>
        <v/>
      </c>
      <c r="AI78" s="135">
        <f>'C6 · Commercial'!AI18</f>
        <v/>
      </c>
      <c r="AJ78" s="135">
        <f>'C6 · Commercial'!AJ18</f>
        <v/>
      </c>
      <c r="AK78" s="135">
        <f>'C6 · Commercial'!AK18</f>
        <v/>
      </c>
      <c r="AL78" s="135">
        <f>'C6 · Commercial'!AL18</f>
        <v/>
      </c>
      <c r="AM78" s="135">
        <f>'C6 · Commercial'!AM18</f>
        <v/>
      </c>
    </row>
    <row r="79">
      <c r="B79" s="133" t="inlineStr">
        <is>
          <t>kpi.com.market_rev</t>
        </is>
      </c>
      <c r="C79" s="133" t="inlineStr">
        <is>
          <t>SUM</t>
        </is>
      </c>
      <c r="D79" s="134">
        <f>'C6 · Commercial'!D19</f>
        <v/>
      </c>
      <c r="E79" s="134">
        <f>'C6 · Commercial'!E19</f>
        <v/>
      </c>
      <c r="F79" s="134">
        <f>'C6 · Commercial'!F19</f>
        <v/>
      </c>
      <c r="G79" s="134">
        <f>'C6 · Commercial'!G19</f>
        <v/>
      </c>
      <c r="H79" s="134">
        <f>'C6 · Commercial'!H19</f>
        <v/>
      </c>
      <c r="I79" s="134">
        <f>'C6 · Commercial'!I19</f>
        <v/>
      </c>
      <c r="J79" s="134">
        <f>'C6 · Commercial'!J19</f>
        <v/>
      </c>
      <c r="K79" s="134">
        <f>'C6 · Commercial'!K19</f>
        <v/>
      </c>
      <c r="L79" s="134">
        <f>'C6 · Commercial'!L19</f>
        <v/>
      </c>
      <c r="M79" s="134">
        <f>'C6 · Commercial'!M19</f>
        <v/>
      </c>
      <c r="N79" s="134">
        <f>'C6 · Commercial'!N19</f>
        <v/>
      </c>
      <c r="O79" s="134">
        <f>'C6 · Commercial'!O19</f>
        <v/>
      </c>
      <c r="P79" s="134">
        <f>'C6 · Commercial'!P19</f>
        <v/>
      </c>
      <c r="Q79" s="134">
        <f>'C6 · Commercial'!Q19</f>
        <v/>
      </c>
      <c r="R79" s="134">
        <f>'C6 · Commercial'!R19</f>
        <v/>
      </c>
      <c r="S79" s="134">
        <f>'C6 · Commercial'!S19</f>
        <v/>
      </c>
      <c r="T79" s="134">
        <f>'C6 · Commercial'!T19</f>
        <v/>
      </c>
      <c r="U79" s="134">
        <f>'C6 · Commercial'!U19</f>
        <v/>
      </c>
      <c r="V79" s="134">
        <f>'C6 · Commercial'!V19</f>
        <v/>
      </c>
      <c r="W79" s="134">
        <f>'C6 · Commercial'!W19</f>
        <v/>
      </c>
      <c r="X79" s="134">
        <f>'C6 · Commercial'!X19</f>
        <v/>
      </c>
      <c r="Y79" s="134">
        <f>'C6 · Commercial'!Y19</f>
        <v/>
      </c>
      <c r="Z79" s="134">
        <f>'C6 · Commercial'!Z19</f>
        <v/>
      </c>
      <c r="AA79" s="134">
        <f>'C6 · Commercial'!AA19</f>
        <v/>
      </c>
      <c r="AB79" s="134">
        <f>'C6 · Commercial'!AB19</f>
        <v/>
      </c>
      <c r="AC79" s="134">
        <f>'C6 · Commercial'!AC19</f>
        <v/>
      </c>
      <c r="AD79" s="134">
        <f>'C6 · Commercial'!AD19</f>
        <v/>
      </c>
      <c r="AE79" s="134">
        <f>'C6 · Commercial'!AE19</f>
        <v/>
      </c>
      <c r="AF79" s="134">
        <f>'C6 · Commercial'!AF19</f>
        <v/>
      </c>
      <c r="AG79" s="134">
        <f>'C6 · Commercial'!AG19</f>
        <v/>
      </c>
      <c r="AH79" s="134">
        <f>'C6 · Commercial'!AH19</f>
        <v/>
      </c>
      <c r="AI79" s="134">
        <f>'C6 · Commercial'!AI19</f>
        <v/>
      </c>
      <c r="AJ79" s="134">
        <f>'C6 · Commercial'!AJ19</f>
        <v/>
      </c>
      <c r="AK79" s="134">
        <f>'C6 · Commercial'!AK19</f>
        <v/>
      </c>
      <c r="AL79" s="134">
        <f>'C6 · Commercial'!AL19</f>
        <v/>
      </c>
      <c r="AM79" s="134">
        <f>'C6 · Commercial'!AM19</f>
        <v/>
      </c>
    </row>
    <row r="80">
      <c r="B80" s="133" t="inlineStr">
        <is>
          <t>kpi.com.market_occ</t>
        </is>
      </c>
      <c r="C80" s="133" t="inlineStr">
        <is>
          <t>AVG</t>
        </is>
      </c>
      <c r="D80" s="135">
        <f>'C6 · Commercial'!D20</f>
        <v/>
      </c>
      <c r="E80" s="135">
        <f>'C6 · Commercial'!E20</f>
        <v/>
      </c>
      <c r="F80" s="135">
        <f>'C6 · Commercial'!F20</f>
        <v/>
      </c>
      <c r="G80" s="135">
        <f>'C6 · Commercial'!G20</f>
        <v/>
      </c>
      <c r="H80" s="135">
        <f>'C6 · Commercial'!H20</f>
        <v/>
      </c>
      <c r="I80" s="135">
        <f>'C6 · Commercial'!I20</f>
        <v/>
      </c>
      <c r="J80" s="135">
        <f>'C6 · Commercial'!J20</f>
        <v/>
      </c>
      <c r="K80" s="135">
        <f>'C6 · Commercial'!K20</f>
        <v/>
      </c>
      <c r="L80" s="135">
        <f>'C6 · Commercial'!L20</f>
        <v/>
      </c>
      <c r="M80" s="135">
        <f>'C6 · Commercial'!M20</f>
        <v/>
      </c>
      <c r="N80" s="135">
        <f>'C6 · Commercial'!N20</f>
        <v/>
      </c>
      <c r="O80" s="135">
        <f>'C6 · Commercial'!O20</f>
        <v/>
      </c>
      <c r="P80" s="135">
        <f>'C6 · Commercial'!P20</f>
        <v/>
      </c>
      <c r="Q80" s="135">
        <f>'C6 · Commercial'!Q20</f>
        <v/>
      </c>
      <c r="R80" s="135">
        <f>'C6 · Commercial'!R20</f>
        <v/>
      </c>
      <c r="S80" s="135">
        <f>'C6 · Commercial'!S20</f>
        <v/>
      </c>
      <c r="T80" s="135">
        <f>'C6 · Commercial'!T20</f>
        <v/>
      </c>
      <c r="U80" s="135">
        <f>'C6 · Commercial'!U20</f>
        <v/>
      </c>
      <c r="V80" s="135">
        <f>'C6 · Commercial'!V20</f>
        <v/>
      </c>
      <c r="W80" s="135">
        <f>'C6 · Commercial'!W20</f>
        <v/>
      </c>
      <c r="X80" s="135">
        <f>'C6 · Commercial'!X20</f>
        <v/>
      </c>
      <c r="Y80" s="135">
        <f>'C6 · Commercial'!Y20</f>
        <v/>
      </c>
      <c r="Z80" s="135">
        <f>'C6 · Commercial'!Z20</f>
        <v/>
      </c>
      <c r="AA80" s="135">
        <f>'C6 · Commercial'!AA20</f>
        <v/>
      </c>
      <c r="AB80" s="135">
        <f>'C6 · Commercial'!AB20</f>
        <v/>
      </c>
      <c r="AC80" s="135">
        <f>'C6 · Commercial'!AC20</f>
        <v/>
      </c>
      <c r="AD80" s="135">
        <f>'C6 · Commercial'!AD20</f>
        <v/>
      </c>
      <c r="AE80" s="135">
        <f>'C6 · Commercial'!AE20</f>
        <v/>
      </c>
      <c r="AF80" s="135">
        <f>'C6 · Commercial'!AF20</f>
        <v/>
      </c>
      <c r="AG80" s="135">
        <f>'C6 · Commercial'!AG20</f>
        <v/>
      </c>
      <c r="AH80" s="135">
        <f>'C6 · Commercial'!AH20</f>
        <v/>
      </c>
      <c r="AI80" s="135">
        <f>'C6 · Commercial'!AI20</f>
        <v/>
      </c>
      <c r="AJ80" s="135">
        <f>'C6 · Commercial'!AJ20</f>
        <v/>
      </c>
      <c r="AK80" s="135">
        <f>'C6 · Commercial'!AK20</f>
        <v/>
      </c>
      <c r="AL80" s="135">
        <f>'C6 · Commercial'!AL20</f>
        <v/>
      </c>
      <c r="AM80" s="135">
        <f>'C6 · Commercial'!AM20</f>
        <v/>
      </c>
    </row>
    <row r="81">
      <c r="B81" s="133" t="inlineStr">
        <is>
          <t>kpi.com.market_stalls</t>
        </is>
      </c>
      <c r="C81" s="133" t="inlineStr">
        <is>
          <t>LAST</t>
        </is>
      </c>
      <c r="D81" s="134">
        <f>'C6 · Commercial'!D21</f>
        <v/>
      </c>
      <c r="E81" s="134">
        <f>'C6 · Commercial'!E21</f>
        <v/>
      </c>
      <c r="F81" s="134">
        <f>'C6 · Commercial'!F21</f>
        <v/>
      </c>
      <c r="G81" s="134">
        <f>'C6 · Commercial'!G21</f>
        <v/>
      </c>
      <c r="H81" s="134">
        <f>'C6 · Commercial'!H21</f>
        <v/>
      </c>
      <c r="I81" s="134">
        <f>'C6 · Commercial'!I21</f>
        <v/>
      </c>
      <c r="J81" s="134">
        <f>'C6 · Commercial'!J21</f>
        <v/>
      </c>
      <c r="K81" s="134">
        <f>'C6 · Commercial'!K21</f>
        <v/>
      </c>
      <c r="L81" s="134">
        <f>'C6 · Commercial'!L21</f>
        <v/>
      </c>
      <c r="M81" s="134">
        <f>'C6 · Commercial'!M21</f>
        <v/>
      </c>
      <c r="N81" s="134">
        <f>'C6 · Commercial'!N21</f>
        <v/>
      </c>
      <c r="O81" s="134">
        <f>'C6 · Commercial'!O21</f>
        <v/>
      </c>
      <c r="P81" s="134">
        <f>'C6 · Commercial'!P21</f>
        <v/>
      </c>
      <c r="Q81" s="134">
        <f>'C6 · Commercial'!Q21</f>
        <v/>
      </c>
      <c r="R81" s="134">
        <f>'C6 · Commercial'!R21</f>
        <v/>
      </c>
      <c r="S81" s="134">
        <f>'C6 · Commercial'!S21</f>
        <v/>
      </c>
      <c r="T81" s="134">
        <f>'C6 · Commercial'!T21</f>
        <v/>
      </c>
      <c r="U81" s="134">
        <f>'C6 · Commercial'!U21</f>
        <v/>
      </c>
      <c r="V81" s="134">
        <f>'C6 · Commercial'!V21</f>
        <v/>
      </c>
      <c r="W81" s="134">
        <f>'C6 · Commercial'!W21</f>
        <v/>
      </c>
      <c r="X81" s="134">
        <f>'C6 · Commercial'!X21</f>
        <v/>
      </c>
      <c r="Y81" s="134">
        <f>'C6 · Commercial'!Y21</f>
        <v/>
      </c>
      <c r="Z81" s="134">
        <f>'C6 · Commercial'!Z21</f>
        <v/>
      </c>
      <c r="AA81" s="134">
        <f>'C6 · Commercial'!AA21</f>
        <v/>
      </c>
      <c r="AB81" s="134">
        <f>'C6 · Commercial'!AB21</f>
        <v/>
      </c>
      <c r="AC81" s="134">
        <f>'C6 · Commercial'!AC21</f>
        <v/>
      </c>
      <c r="AD81" s="134">
        <f>'C6 · Commercial'!AD21</f>
        <v/>
      </c>
      <c r="AE81" s="134">
        <f>'C6 · Commercial'!AE21</f>
        <v/>
      </c>
      <c r="AF81" s="134">
        <f>'C6 · Commercial'!AF21</f>
        <v/>
      </c>
      <c r="AG81" s="134">
        <f>'C6 · Commercial'!AG21</f>
        <v/>
      </c>
      <c r="AH81" s="134">
        <f>'C6 · Commercial'!AH21</f>
        <v/>
      </c>
      <c r="AI81" s="134">
        <f>'C6 · Commercial'!AI21</f>
        <v/>
      </c>
      <c r="AJ81" s="134">
        <f>'C6 · Commercial'!AJ21</f>
        <v/>
      </c>
      <c r="AK81" s="134">
        <f>'C6 · Commercial'!AK21</f>
        <v/>
      </c>
      <c r="AL81" s="134">
        <f>'C6 · Commercial'!AL21</f>
        <v/>
      </c>
      <c r="AM81" s="134">
        <f>'C6 · Commercial'!AM21</f>
        <v/>
      </c>
    </row>
    <row r="82">
      <c r="B82" s="133" t="inlineStr">
        <is>
          <t>kpi.com.media_sales</t>
        </is>
      </c>
      <c r="C82" s="133" t="inlineStr">
        <is>
          <t>SUM</t>
        </is>
      </c>
      <c r="D82" s="134">
        <f>'C6 · Commercial'!D22</f>
        <v/>
      </c>
      <c r="E82" s="134">
        <f>'C6 · Commercial'!E22</f>
        <v/>
      </c>
      <c r="F82" s="134">
        <f>'C6 · Commercial'!F22</f>
        <v/>
      </c>
      <c r="G82" s="134">
        <f>'C6 · Commercial'!G22</f>
        <v/>
      </c>
      <c r="H82" s="134">
        <f>'C6 · Commercial'!H22</f>
        <v/>
      </c>
      <c r="I82" s="134">
        <f>'C6 · Commercial'!I22</f>
        <v/>
      </c>
      <c r="J82" s="134">
        <f>'C6 · Commercial'!J22</f>
        <v/>
      </c>
      <c r="K82" s="134">
        <f>'C6 · Commercial'!K22</f>
        <v/>
      </c>
      <c r="L82" s="134">
        <f>'C6 · Commercial'!L22</f>
        <v/>
      </c>
      <c r="M82" s="134">
        <f>'C6 · Commercial'!M22</f>
        <v/>
      </c>
      <c r="N82" s="134">
        <f>'C6 · Commercial'!N22</f>
        <v/>
      </c>
      <c r="O82" s="134">
        <f>'C6 · Commercial'!O22</f>
        <v/>
      </c>
      <c r="P82" s="134">
        <f>'C6 · Commercial'!P22</f>
        <v/>
      </c>
      <c r="Q82" s="134">
        <f>'C6 · Commercial'!Q22</f>
        <v/>
      </c>
      <c r="R82" s="134">
        <f>'C6 · Commercial'!R22</f>
        <v/>
      </c>
      <c r="S82" s="134">
        <f>'C6 · Commercial'!S22</f>
        <v/>
      </c>
      <c r="T82" s="134">
        <f>'C6 · Commercial'!T22</f>
        <v/>
      </c>
      <c r="U82" s="134">
        <f>'C6 · Commercial'!U22</f>
        <v/>
      </c>
      <c r="V82" s="134">
        <f>'C6 · Commercial'!V22</f>
        <v/>
      </c>
      <c r="W82" s="134">
        <f>'C6 · Commercial'!W22</f>
        <v/>
      </c>
      <c r="X82" s="134">
        <f>'C6 · Commercial'!X22</f>
        <v/>
      </c>
      <c r="Y82" s="134">
        <f>'C6 · Commercial'!Y22</f>
        <v/>
      </c>
      <c r="Z82" s="134">
        <f>'C6 · Commercial'!Z22</f>
        <v/>
      </c>
      <c r="AA82" s="134">
        <f>'C6 · Commercial'!AA22</f>
        <v/>
      </c>
      <c r="AB82" s="134">
        <f>'C6 · Commercial'!AB22</f>
        <v/>
      </c>
      <c r="AC82" s="134">
        <f>'C6 · Commercial'!AC22</f>
        <v/>
      </c>
      <c r="AD82" s="134">
        <f>'C6 · Commercial'!AD22</f>
        <v/>
      </c>
      <c r="AE82" s="134">
        <f>'C6 · Commercial'!AE22</f>
        <v/>
      </c>
      <c r="AF82" s="134">
        <f>'C6 · Commercial'!AF22</f>
        <v/>
      </c>
      <c r="AG82" s="134">
        <f>'C6 · Commercial'!AG22</f>
        <v/>
      </c>
      <c r="AH82" s="134">
        <f>'C6 · Commercial'!AH22</f>
        <v/>
      </c>
      <c r="AI82" s="134">
        <f>'C6 · Commercial'!AI22</f>
        <v/>
      </c>
      <c r="AJ82" s="134">
        <f>'C6 · Commercial'!AJ22</f>
        <v/>
      </c>
      <c r="AK82" s="134">
        <f>'C6 · Commercial'!AK22</f>
        <v/>
      </c>
      <c r="AL82" s="134">
        <f>'C6 · Commercial'!AL22</f>
        <v/>
      </c>
      <c r="AM82" s="134">
        <f>'C6 · Commercial'!AM22</f>
        <v/>
      </c>
    </row>
    <row r="83">
      <c r="B83" s="133" t="inlineStr">
        <is>
          <t>kpi.com.partnership_rev</t>
        </is>
      </c>
      <c r="C83" s="133" t="inlineStr">
        <is>
          <t>SUM</t>
        </is>
      </c>
      <c r="D83" s="134">
        <f>'C6 · Commercial'!D23</f>
        <v/>
      </c>
      <c r="E83" s="134">
        <f>'C6 · Commercial'!E23</f>
        <v/>
      </c>
      <c r="F83" s="134">
        <f>'C6 · Commercial'!F23</f>
        <v/>
      </c>
      <c r="G83" s="134">
        <f>'C6 · Commercial'!G23</f>
        <v/>
      </c>
      <c r="H83" s="134">
        <f>'C6 · Commercial'!H23</f>
        <v/>
      </c>
      <c r="I83" s="134">
        <f>'C6 · Commercial'!I23</f>
        <v/>
      </c>
      <c r="J83" s="134">
        <f>'C6 · Commercial'!J23</f>
        <v/>
      </c>
      <c r="K83" s="134">
        <f>'C6 · Commercial'!K23</f>
        <v/>
      </c>
      <c r="L83" s="134">
        <f>'C6 · Commercial'!L23</f>
        <v/>
      </c>
      <c r="M83" s="134">
        <f>'C6 · Commercial'!M23</f>
        <v/>
      </c>
      <c r="N83" s="134">
        <f>'C6 · Commercial'!N23</f>
        <v/>
      </c>
      <c r="O83" s="134">
        <f>'C6 · Commercial'!O23</f>
        <v/>
      </c>
      <c r="P83" s="134">
        <f>'C6 · Commercial'!P23</f>
        <v/>
      </c>
      <c r="Q83" s="134">
        <f>'C6 · Commercial'!Q23</f>
        <v/>
      </c>
      <c r="R83" s="134">
        <f>'C6 · Commercial'!R23</f>
        <v/>
      </c>
      <c r="S83" s="134">
        <f>'C6 · Commercial'!S23</f>
        <v/>
      </c>
      <c r="T83" s="134">
        <f>'C6 · Commercial'!T23</f>
        <v/>
      </c>
      <c r="U83" s="134">
        <f>'C6 · Commercial'!U23</f>
        <v/>
      </c>
      <c r="V83" s="134">
        <f>'C6 · Commercial'!V23</f>
        <v/>
      </c>
      <c r="W83" s="134">
        <f>'C6 · Commercial'!W23</f>
        <v/>
      </c>
      <c r="X83" s="134">
        <f>'C6 · Commercial'!X23</f>
        <v/>
      </c>
      <c r="Y83" s="134">
        <f>'C6 · Commercial'!Y23</f>
        <v/>
      </c>
      <c r="Z83" s="134">
        <f>'C6 · Commercial'!Z23</f>
        <v/>
      </c>
      <c r="AA83" s="134">
        <f>'C6 · Commercial'!AA23</f>
        <v/>
      </c>
      <c r="AB83" s="134">
        <f>'C6 · Commercial'!AB23</f>
        <v/>
      </c>
      <c r="AC83" s="134">
        <f>'C6 · Commercial'!AC23</f>
        <v/>
      </c>
      <c r="AD83" s="134">
        <f>'C6 · Commercial'!AD23</f>
        <v/>
      </c>
      <c r="AE83" s="134">
        <f>'C6 · Commercial'!AE23</f>
        <v/>
      </c>
      <c r="AF83" s="134">
        <f>'C6 · Commercial'!AF23</f>
        <v/>
      </c>
      <c r="AG83" s="134">
        <f>'C6 · Commercial'!AG23</f>
        <v/>
      </c>
      <c r="AH83" s="134">
        <f>'C6 · Commercial'!AH23</f>
        <v/>
      </c>
      <c r="AI83" s="134">
        <f>'C6 · Commercial'!AI23</f>
        <v/>
      </c>
      <c r="AJ83" s="134">
        <f>'C6 · Commercial'!AJ23</f>
        <v/>
      </c>
      <c r="AK83" s="134">
        <f>'C6 · Commercial'!AK23</f>
        <v/>
      </c>
      <c r="AL83" s="134">
        <f>'C6 · Commercial'!AL23</f>
        <v/>
      </c>
      <c r="AM83" s="134">
        <f>'C6 · Commercial'!AM23</f>
        <v/>
      </c>
    </row>
    <row r="84">
      <c r="B84" s="133" t="inlineStr">
        <is>
          <t>kpi.com.activations</t>
        </is>
      </c>
      <c r="C84" s="133" t="inlineStr">
        <is>
          <t>SUM</t>
        </is>
      </c>
      <c r="D84" s="134">
        <f>'C6 · Commercial'!D24</f>
        <v/>
      </c>
      <c r="E84" s="134">
        <f>'C6 · Commercial'!E24</f>
        <v/>
      </c>
      <c r="F84" s="134">
        <f>'C6 · Commercial'!F24</f>
        <v/>
      </c>
      <c r="G84" s="134">
        <f>'C6 · Commercial'!G24</f>
        <v/>
      </c>
      <c r="H84" s="134">
        <f>'C6 · Commercial'!H24</f>
        <v/>
      </c>
      <c r="I84" s="134">
        <f>'C6 · Commercial'!I24</f>
        <v/>
      </c>
      <c r="J84" s="134">
        <f>'C6 · Commercial'!J24</f>
        <v/>
      </c>
      <c r="K84" s="134">
        <f>'C6 · Commercial'!K24</f>
        <v/>
      </c>
      <c r="L84" s="134">
        <f>'C6 · Commercial'!L24</f>
        <v/>
      </c>
      <c r="M84" s="134">
        <f>'C6 · Commercial'!M24</f>
        <v/>
      </c>
      <c r="N84" s="134">
        <f>'C6 · Commercial'!N24</f>
        <v/>
      </c>
      <c r="O84" s="134">
        <f>'C6 · Commercial'!O24</f>
        <v/>
      </c>
      <c r="P84" s="134">
        <f>'C6 · Commercial'!P24</f>
        <v/>
      </c>
      <c r="Q84" s="134">
        <f>'C6 · Commercial'!Q24</f>
        <v/>
      </c>
      <c r="R84" s="134">
        <f>'C6 · Commercial'!R24</f>
        <v/>
      </c>
      <c r="S84" s="134">
        <f>'C6 · Commercial'!S24</f>
        <v/>
      </c>
      <c r="T84" s="134">
        <f>'C6 · Commercial'!T24</f>
        <v/>
      </c>
      <c r="U84" s="134">
        <f>'C6 · Commercial'!U24</f>
        <v/>
      </c>
      <c r="V84" s="134">
        <f>'C6 · Commercial'!V24</f>
        <v/>
      </c>
      <c r="W84" s="134">
        <f>'C6 · Commercial'!W24</f>
        <v/>
      </c>
      <c r="X84" s="134">
        <f>'C6 · Commercial'!X24</f>
        <v/>
      </c>
      <c r="Y84" s="134">
        <f>'C6 · Commercial'!Y24</f>
        <v/>
      </c>
      <c r="Z84" s="134">
        <f>'C6 · Commercial'!Z24</f>
        <v/>
      </c>
      <c r="AA84" s="134">
        <f>'C6 · Commercial'!AA24</f>
        <v/>
      </c>
      <c r="AB84" s="134">
        <f>'C6 · Commercial'!AB24</f>
        <v/>
      </c>
      <c r="AC84" s="134">
        <f>'C6 · Commercial'!AC24</f>
        <v/>
      </c>
      <c r="AD84" s="134">
        <f>'C6 · Commercial'!AD24</f>
        <v/>
      </c>
      <c r="AE84" s="134">
        <f>'C6 · Commercial'!AE24</f>
        <v/>
      </c>
      <c r="AF84" s="134">
        <f>'C6 · Commercial'!AF24</f>
        <v/>
      </c>
      <c r="AG84" s="134">
        <f>'C6 · Commercial'!AG24</f>
        <v/>
      </c>
      <c r="AH84" s="134">
        <f>'C6 · Commercial'!AH24</f>
        <v/>
      </c>
      <c r="AI84" s="134">
        <f>'C6 · Commercial'!AI24</f>
        <v/>
      </c>
      <c r="AJ84" s="134">
        <f>'C6 · Commercial'!AJ24</f>
        <v/>
      </c>
      <c r="AK84" s="134">
        <f>'C6 · Commercial'!AK24</f>
        <v/>
      </c>
      <c r="AL84" s="134">
        <f>'C6 · Commercial'!AL24</f>
        <v/>
      </c>
      <c r="AM84" s="134">
        <f>'C6 · Commercial'!AM24</f>
        <v/>
      </c>
    </row>
    <row r="85">
      <c r="B85" s="133" t="inlineStr">
        <is>
          <t>kpi.com.activation_rev</t>
        </is>
      </c>
      <c r="C85" s="133" t="inlineStr">
        <is>
          <t>SUM</t>
        </is>
      </c>
      <c r="D85" s="134">
        <f>'C6 · Commercial'!D25</f>
        <v/>
      </c>
      <c r="E85" s="134">
        <f>'C6 · Commercial'!E25</f>
        <v/>
      </c>
      <c r="F85" s="134">
        <f>'C6 · Commercial'!F25</f>
        <v/>
      </c>
      <c r="G85" s="134">
        <f>'C6 · Commercial'!G25</f>
        <v/>
      </c>
      <c r="H85" s="134">
        <f>'C6 · Commercial'!H25</f>
        <v/>
      </c>
      <c r="I85" s="134">
        <f>'C6 · Commercial'!I25</f>
        <v/>
      </c>
      <c r="J85" s="134">
        <f>'C6 · Commercial'!J25</f>
        <v/>
      </c>
      <c r="K85" s="134">
        <f>'C6 · Commercial'!K25</f>
        <v/>
      </c>
      <c r="L85" s="134">
        <f>'C6 · Commercial'!L25</f>
        <v/>
      </c>
      <c r="M85" s="134">
        <f>'C6 · Commercial'!M25</f>
        <v/>
      </c>
      <c r="N85" s="134">
        <f>'C6 · Commercial'!N25</f>
        <v/>
      </c>
      <c r="O85" s="134">
        <f>'C6 · Commercial'!O25</f>
        <v/>
      </c>
      <c r="P85" s="134">
        <f>'C6 · Commercial'!P25</f>
        <v/>
      </c>
      <c r="Q85" s="134">
        <f>'C6 · Commercial'!Q25</f>
        <v/>
      </c>
      <c r="R85" s="134">
        <f>'C6 · Commercial'!R25</f>
        <v/>
      </c>
      <c r="S85" s="134">
        <f>'C6 · Commercial'!S25</f>
        <v/>
      </c>
      <c r="T85" s="134">
        <f>'C6 · Commercial'!T25</f>
        <v/>
      </c>
      <c r="U85" s="134">
        <f>'C6 · Commercial'!U25</f>
        <v/>
      </c>
      <c r="V85" s="134">
        <f>'C6 · Commercial'!V25</f>
        <v/>
      </c>
      <c r="W85" s="134">
        <f>'C6 · Commercial'!W25</f>
        <v/>
      </c>
      <c r="X85" s="134">
        <f>'C6 · Commercial'!X25</f>
        <v/>
      </c>
      <c r="Y85" s="134">
        <f>'C6 · Commercial'!Y25</f>
        <v/>
      </c>
      <c r="Z85" s="134">
        <f>'C6 · Commercial'!Z25</f>
        <v/>
      </c>
      <c r="AA85" s="134">
        <f>'C6 · Commercial'!AA25</f>
        <v/>
      </c>
      <c r="AB85" s="134">
        <f>'C6 · Commercial'!AB25</f>
        <v/>
      </c>
      <c r="AC85" s="134">
        <f>'C6 · Commercial'!AC25</f>
        <v/>
      </c>
      <c r="AD85" s="134">
        <f>'C6 · Commercial'!AD25</f>
        <v/>
      </c>
      <c r="AE85" s="134">
        <f>'C6 · Commercial'!AE25</f>
        <v/>
      </c>
      <c r="AF85" s="134">
        <f>'C6 · Commercial'!AF25</f>
        <v/>
      </c>
      <c r="AG85" s="134">
        <f>'C6 · Commercial'!AG25</f>
        <v/>
      </c>
      <c r="AH85" s="134">
        <f>'C6 · Commercial'!AH25</f>
        <v/>
      </c>
      <c r="AI85" s="134">
        <f>'C6 · Commercial'!AI25</f>
        <v/>
      </c>
      <c r="AJ85" s="134">
        <f>'C6 · Commercial'!AJ25</f>
        <v/>
      </c>
      <c r="AK85" s="134">
        <f>'C6 · Commercial'!AK25</f>
        <v/>
      </c>
      <c r="AL85" s="134">
        <f>'C6 · Commercial'!AL25</f>
        <v/>
      </c>
      <c r="AM85" s="134">
        <f>'C6 · Commercial'!AM25</f>
        <v/>
      </c>
    </row>
    <row r="86">
      <c r="B86" s="133" t="inlineStr">
        <is>
          <t>kpi.com.discount</t>
        </is>
      </c>
      <c r="C86" s="133" t="inlineStr">
        <is>
          <t>RATIO</t>
        </is>
      </c>
      <c r="D86" s="135">
        <f>'C6 · Commercial'!D26</f>
        <v/>
      </c>
      <c r="E86" s="135">
        <f>'C6 · Commercial'!E26</f>
        <v/>
      </c>
      <c r="F86" s="135">
        <f>'C6 · Commercial'!F26</f>
        <v/>
      </c>
      <c r="G86" s="135">
        <f>'C6 · Commercial'!G26</f>
        <v/>
      </c>
      <c r="H86" s="135">
        <f>'C6 · Commercial'!H26</f>
        <v/>
      </c>
      <c r="I86" s="135">
        <f>'C6 · Commercial'!I26</f>
        <v/>
      </c>
      <c r="J86" s="135">
        <f>'C6 · Commercial'!J26</f>
        <v/>
      </c>
      <c r="K86" s="135">
        <f>'C6 · Commercial'!K26</f>
        <v/>
      </c>
      <c r="L86" s="135">
        <f>'C6 · Commercial'!L26</f>
        <v/>
      </c>
      <c r="M86" s="135">
        <f>'C6 · Commercial'!M26</f>
        <v/>
      </c>
      <c r="N86" s="135">
        <f>'C6 · Commercial'!N26</f>
        <v/>
      </c>
      <c r="O86" s="135">
        <f>'C6 · Commercial'!O26</f>
        <v/>
      </c>
      <c r="P86" s="135">
        <f>'C6 · Commercial'!P26</f>
        <v/>
      </c>
      <c r="Q86" s="135">
        <f>'C6 · Commercial'!Q26</f>
        <v/>
      </c>
      <c r="R86" s="135">
        <f>'C6 · Commercial'!R26</f>
        <v/>
      </c>
      <c r="S86" s="135">
        <f>'C6 · Commercial'!S26</f>
        <v/>
      </c>
      <c r="T86" s="135">
        <f>'C6 · Commercial'!T26</f>
        <v/>
      </c>
      <c r="U86" s="135">
        <f>'C6 · Commercial'!U26</f>
        <v/>
      </c>
      <c r="V86" s="135">
        <f>'C6 · Commercial'!V26</f>
        <v/>
      </c>
      <c r="W86" s="135">
        <f>'C6 · Commercial'!W26</f>
        <v/>
      </c>
      <c r="X86" s="135">
        <f>'C6 · Commercial'!X26</f>
        <v/>
      </c>
      <c r="Y86" s="135">
        <f>'C6 · Commercial'!Y26</f>
        <v/>
      </c>
      <c r="Z86" s="135">
        <f>'C6 · Commercial'!Z26</f>
        <v/>
      </c>
      <c r="AA86" s="135">
        <f>'C6 · Commercial'!AA26</f>
        <v/>
      </c>
      <c r="AB86" s="135">
        <f>'C6 · Commercial'!AB26</f>
        <v/>
      </c>
      <c r="AC86" s="135">
        <f>'C6 · Commercial'!AC26</f>
        <v/>
      </c>
      <c r="AD86" s="135">
        <f>'C6 · Commercial'!AD26</f>
        <v/>
      </c>
      <c r="AE86" s="135">
        <f>'C6 · Commercial'!AE26</f>
        <v/>
      </c>
      <c r="AF86" s="135">
        <f>'C6 · Commercial'!AF26</f>
        <v/>
      </c>
      <c r="AG86" s="135">
        <f>'C6 · Commercial'!AG26</f>
        <v/>
      </c>
      <c r="AH86" s="135">
        <f>'C6 · Commercial'!AH26</f>
        <v/>
      </c>
      <c r="AI86" s="135">
        <f>'C6 · Commercial'!AI26</f>
        <v/>
      </c>
      <c r="AJ86" s="135">
        <f>'C6 · Commercial'!AJ26</f>
        <v/>
      </c>
      <c r="AK86" s="135">
        <f>'C6 · Commercial'!AK26</f>
        <v/>
      </c>
      <c r="AL86" s="135">
        <f>'C6 · Commercial'!AL26</f>
        <v/>
      </c>
      <c r="AM86" s="135">
        <f>'C6 · Commercial'!AM26</f>
        <v/>
      </c>
    </row>
    <row r="87">
      <c r="B87" s="133" t="inlineStr">
        <is>
          <t>kpi.hsse.incidents</t>
        </is>
      </c>
      <c r="C87" s="133" t="inlineStr">
        <is>
          <t>SUM</t>
        </is>
      </c>
      <c r="D87" s="134">
        <f>'C7 · HSSE'!D8</f>
        <v/>
      </c>
      <c r="E87" s="134">
        <f>'C7 · HSSE'!E8</f>
        <v/>
      </c>
      <c r="F87" s="134">
        <f>'C7 · HSSE'!F8</f>
        <v/>
      </c>
      <c r="G87" s="134">
        <f>'C7 · HSSE'!G8</f>
        <v/>
      </c>
      <c r="H87" s="134">
        <f>'C7 · HSSE'!H8</f>
        <v/>
      </c>
      <c r="I87" s="134">
        <f>'C7 · HSSE'!I8</f>
        <v/>
      </c>
      <c r="J87" s="134">
        <f>'C7 · HSSE'!J8</f>
        <v/>
      </c>
      <c r="K87" s="134">
        <f>'C7 · HSSE'!K8</f>
        <v/>
      </c>
      <c r="L87" s="134">
        <f>'C7 · HSSE'!L8</f>
        <v/>
      </c>
      <c r="M87" s="134">
        <f>'C7 · HSSE'!M8</f>
        <v/>
      </c>
      <c r="N87" s="134">
        <f>'C7 · HSSE'!N8</f>
        <v/>
      </c>
      <c r="O87" s="134">
        <f>'C7 · HSSE'!O8</f>
        <v/>
      </c>
      <c r="P87" s="134">
        <f>'C7 · HSSE'!P8</f>
        <v/>
      </c>
      <c r="Q87" s="134">
        <f>'C7 · HSSE'!Q8</f>
        <v/>
      </c>
      <c r="R87" s="134">
        <f>'C7 · HSSE'!R8</f>
        <v/>
      </c>
      <c r="S87" s="134">
        <f>'C7 · HSSE'!S8</f>
        <v/>
      </c>
      <c r="T87" s="134">
        <f>'C7 · HSSE'!T8</f>
        <v/>
      </c>
      <c r="U87" s="134">
        <f>'C7 · HSSE'!U8</f>
        <v/>
      </c>
      <c r="V87" s="134">
        <f>'C7 · HSSE'!V8</f>
        <v/>
      </c>
      <c r="W87" s="134">
        <f>'C7 · HSSE'!W8</f>
        <v/>
      </c>
      <c r="X87" s="134">
        <f>'C7 · HSSE'!X8</f>
        <v/>
      </c>
      <c r="Y87" s="134">
        <f>'C7 · HSSE'!Y8</f>
        <v/>
      </c>
      <c r="Z87" s="134">
        <f>'C7 · HSSE'!Z8</f>
        <v/>
      </c>
      <c r="AA87" s="134">
        <f>'C7 · HSSE'!AA8</f>
        <v/>
      </c>
      <c r="AB87" s="134">
        <f>'C7 · HSSE'!AB8</f>
        <v/>
      </c>
      <c r="AC87" s="134">
        <f>'C7 · HSSE'!AC8</f>
        <v/>
      </c>
      <c r="AD87" s="134">
        <f>'C7 · HSSE'!AD8</f>
        <v/>
      </c>
      <c r="AE87" s="134">
        <f>'C7 · HSSE'!AE8</f>
        <v/>
      </c>
      <c r="AF87" s="134">
        <f>'C7 · HSSE'!AF8</f>
        <v/>
      </c>
      <c r="AG87" s="134">
        <f>'C7 · HSSE'!AG8</f>
        <v/>
      </c>
      <c r="AH87" s="134">
        <f>'C7 · HSSE'!AH8</f>
        <v/>
      </c>
      <c r="AI87" s="134">
        <f>'C7 · HSSE'!AI8</f>
        <v/>
      </c>
      <c r="AJ87" s="134">
        <f>'C7 · HSSE'!AJ8</f>
        <v/>
      </c>
      <c r="AK87" s="134">
        <f>'C7 · HSSE'!AK8</f>
        <v/>
      </c>
      <c r="AL87" s="134">
        <f>'C7 · HSSE'!AL8</f>
        <v/>
      </c>
      <c r="AM87" s="134">
        <f>'C7 · HSSE'!AM8</f>
        <v/>
      </c>
    </row>
    <row r="88">
      <c r="B88" s="133" t="inlineStr">
        <is>
          <t>kpi.hsse.incident_sev</t>
        </is>
      </c>
      <c r="C88" s="133" t="inlineStr">
        <is>
          <t>AVG</t>
        </is>
      </c>
      <c r="D88" s="134">
        <f>'C7 · HSSE'!D9</f>
        <v/>
      </c>
      <c r="E88" s="134">
        <f>'C7 · HSSE'!E9</f>
        <v/>
      </c>
      <c r="F88" s="134">
        <f>'C7 · HSSE'!F9</f>
        <v/>
      </c>
      <c r="G88" s="134">
        <f>'C7 · HSSE'!G9</f>
        <v/>
      </c>
      <c r="H88" s="134">
        <f>'C7 · HSSE'!H9</f>
        <v/>
      </c>
      <c r="I88" s="134">
        <f>'C7 · HSSE'!I9</f>
        <v/>
      </c>
      <c r="J88" s="134">
        <f>'C7 · HSSE'!J9</f>
        <v/>
      </c>
      <c r="K88" s="134">
        <f>'C7 · HSSE'!K9</f>
        <v/>
      </c>
      <c r="L88" s="134">
        <f>'C7 · HSSE'!L9</f>
        <v/>
      </c>
      <c r="M88" s="134">
        <f>'C7 · HSSE'!M9</f>
        <v/>
      </c>
      <c r="N88" s="134">
        <f>'C7 · HSSE'!N9</f>
        <v/>
      </c>
      <c r="O88" s="134">
        <f>'C7 · HSSE'!O9</f>
        <v/>
      </c>
      <c r="P88" s="134">
        <f>'C7 · HSSE'!P9</f>
        <v/>
      </c>
      <c r="Q88" s="134">
        <f>'C7 · HSSE'!Q9</f>
        <v/>
      </c>
      <c r="R88" s="134">
        <f>'C7 · HSSE'!R9</f>
        <v/>
      </c>
      <c r="S88" s="134">
        <f>'C7 · HSSE'!S9</f>
        <v/>
      </c>
      <c r="T88" s="134">
        <f>'C7 · HSSE'!T9</f>
        <v/>
      </c>
      <c r="U88" s="134">
        <f>'C7 · HSSE'!U9</f>
        <v/>
      </c>
      <c r="V88" s="134">
        <f>'C7 · HSSE'!V9</f>
        <v/>
      </c>
      <c r="W88" s="134">
        <f>'C7 · HSSE'!W9</f>
        <v/>
      </c>
      <c r="X88" s="134">
        <f>'C7 · HSSE'!X9</f>
        <v/>
      </c>
      <c r="Y88" s="134">
        <f>'C7 · HSSE'!Y9</f>
        <v/>
      </c>
      <c r="Z88" s="134">
        <f>'C7 · HSSE'!Z9</f>
        <v/>
      </c>
      <c r="AA88" s="134">
        <f>'C7 · HSSE'!AA9</f>
        <v/>
      </c>
      <c r="AB88" s="134">
        <f>'C7 · HSSE'!AB9</f>
        <v/>
      </c>
      <c r="AC88" s="134">
        <f>'C7 · HSSE'!AC9</f>
        <v/>
      </c>
      <c r="AD88" s="134">
        <f>'C7 · HSSE'!AD9</f>
        <v/>
      </c>
      <c r="AE88" s="134">
        <f>'C7 · HSSE'!AE9</f>
        <v/>
      </c>
      <c r="AF88" s="134">
        <f>'C7 · HSSE'!AF9</f>
        <v/>
      </c>
      <c r="AG88" s="134">
        <f>'C7 · HSSE'!AG9</f>
        <v/>
      </c>
      <c r="AH88" s="134">
        <f>'C7 · HSSE'!AH9</f>
        <v/>
      </c>
      <c r="AI88" s="134">
        <f>'C7 · HSSE'!AI9</f>
        <v/>
      </c>
      <c r="AJ88" s="134">
        <f>'C7 · HSSE'!AJ9</f>
        <v/>
      </c>
      <c r="AK88" s="134">
        <f>'C7 · HSSE'!AK9</f>
        <v/>
      </c>
      <c r="AL88" s="134">
        <f>'C7 · HSSE'!AL9</f>
        <v/>
      </c>
      <c r="AM88" s="134">
        <f>'C7 · HSSE'!AM9</f>
        <v/>
      </c>
    </row>
    <row r="89">
      <c r="B89" s="133" t="inlineStr">
        <is>
          <t>kpi.hsse.tf</t>
        </is>
      </c>
      <c r="C89" s="133" t="inlineStr">
        <is>
          <t>RATIO</t>
        </is>
      </c>
      <c r="D89" s="134">
        <f>'C7 · HSSE'!D10</f>
        <v/>
      </c>
      <c r="E89" s="134">
        <f>'C7 · HSSE'!E10</f>
        <v/>
      </c>
      <c r="F89" s="134">
        <f>'C7 · HSSE'!F10</f>
        <v/>
      </c>
      <c r="G89" s="134">
        <f>'C7 · HSSE'!G10</f>
        <v/>
      </c>
      <c r="H89" s="134">
        <f>'C7 · HSSE'!H10</f>
        <v/>
      </c>
      <c r="I89" s="134">
        <f>'C7 · HSSE'!I10</f>
        <v/>
      </c>
      <c r="J89" s="134">
        <f>'C7 · HSSE'!J10</f>
        <v/>
      </c>
      <c r="K89" s="134">
        <f>'C7 · HSSE'!K10</f>
        <v/>
      </c>
      <c r="L89" s="134">
        <f>'C7 · HSSE'!L10</f>
        <v/>
      </c>
      <c r="M89" s="134">
        <f>'C7 · HSSE'!M10</f>
        <v/>
      </c>
      <c r="N89" s="134">
        <f>'C7 · HSSE'!N10</f>
        <v/>
      </c>
      <c r="O89" s="134">
        <f>'C7 · HSSE'!O10</f>
        <v/>
      </c>
      <c r="P89" s="134">
        <f>'C7 · HSSE'!P10</f>
        <v/>
      </c>
      <c r="Q89" s="134">
        <f>'C7 · HSSE'!Q10</f>
        <v/>
      </c>
      <c r="R89" s="134">
        <f>'C7 · HSSE'!R10</f>
        <v/>
      </c>
      <c r="S89" s="134">
        <f>'C7 · HSSE'!S10</f>
        <v/>
      </c>
      <c r="T89" s="134">
        <f>'C7 · HSSE'!T10</f>
        <v/>
      </c>
      <c r="U89" s="134">
        <f>'C7 · HSSE'!U10</f>
        <v/>
      </c>
      <c r="V89" s="134">
        <f>'C7 · HSSE'!V10</f>
        <v/>
      </c>
      <c r="W89" s="134">
        <f>'C7 · HSSE'!W10</f>
        <v/>
      </c>
      <c r="X89" s="134">
        <f>'C7 · HSSE'!X10</f>
        <v/>
      </c>
      <c r="Y89" s="134">
        <f>'C7 · HSSE'!Y10</f>
        <v/>
      </c>
      <c r="Z89" s="134">
        <f>'C7 · HSSE'!Z10</f>
        <v/>
      </c>
      <c r="AA89" s="134">
        <f>'C7 · HSSE'!AA10</f>
        <v/>
      </c>
      <c r="AB89" s="134">
        <f>'C7 · HSSE'!AB10</f>
        <v/>
      </c>
      <c r="AC89" s="134">
        <f>'C7 · HSSE'!AC10</f>
        <v/>
      </c>
      <c r="AD89" s="134">
        <f>'C7 · HSSE'!AD10</f>
        <v/>
      </c>
      <c r="AE89" s="134">
        <f>'C7 · HSSE'!AE10</f>
        <v/>
      </c>
      <c r="AF89" s="134">
        <f>'C7 · HSSE'!AF10</f>
        <v/>
      </c>
      <c r="AG89" s="134">
        <f>'C7 · HSSE'!AG10</f>
        <v/>
      </c>
      <c r="AH89" s="134">
        <f>'C7 · HSSE'!AH10</f>
        <v/>
      </c>
      <c r="AI89" s="134">
        <f>'C7 · HSSE'!AI10</f>
        <v/>
      </c>
      <c r="AJ89" s="134">
        <f>'C7 · HSSE'!AJ10</f>
        <v/>
      </c>
      <c r="AK89" s="134">
        <f>'C7 · HSSE'!AK10</f>
        <v/>
      </c>
      <c r="AL89" s="134">
        <f>'C7 · HSSE'!AL10</f>
        <v/>
      </c>
      <c r="AM89" s="134">
        <f>'C7 · HSSE'!AM10</f>
        <v/>
      </c>
    </row>
    <row r="90">
      <c r="B90" s="133" t="inlineStr">
        <is>
          <t>kpi.hsse.tg</t>
        </is>
      </c>
      <c r="C90" s="133" t="inlineStr">
        <is>
          <t>RATIO</t>
        </is>
      </c>
      <c r="D90" s="134">
        <f>'C7 · HSSE'!D11</f>
        <v/>
      </c>
      <c r="E90" s="134">
        <f>'C7 · HSSE'!E11</f>
        <v/>
      </c>
      <c r="F90" s="134">
        <f>'C7 · HSSE'!F11</f>
        <v/>
      </c>
      <c r="G90" s="134">
        <f>'C7 · HSSE'!G11</f>
        <v/>
      </c>
      <c r="H90" s="134">
        <f>'C7 · HSSE'!H11</f>
        <v/>
      </c>
      <c r="I90" s="134">
        <f>'C7 · HSSE'!I11</f>
        <v/>
      </c>
      <c r="J90" s="134">
        <f>'C7 · HSSE'!J11</f>
        <v/>
      </c>
      <c r="K90" s="134">
        <f>'C7 · HSSE'!K11</f>
        <v/>
      </c>
      <c r="L90" s="134">
        <f>'C7 · HSSE'!L11</f>
        <v/>
      </c>
      <c r="M90" s="134">
        <f>'C7 · HSSE'!M11</f>
        <v/>
      </c>
      <c r="N90" s="134">
        <f>'C7 · HSSE'!N11</f>
        <v/>
      </c>
      <c r="O90" s="134">
        <f>'C7 · HSSE'!O11</f>
        <v/>
      </c>
      <c r="P90" s="134">
        <f>'C7 · HSSE'!P11</f>
        <v/>
      </c>
      <c r="Q90" s="134">
        <f>'C7 · HSSE'!Q11</f>
        <v/>
      </c>
      <c r="R90" s="134">
        <f>'C7 · HSSE'!R11</f>
        <v/>
      </c>
      <c r="S90" s="134">
        <f>'C7 · HSSE'!S11</f>
        <v/>
      </c>
      <c r="T90" s="134">
        <f>'C7 · HSSE'!T11</f>
        <v/>
      </c>
      <c r="U90" s="134">
        <f>'C7 · HSSE'!U11</f>
        <v/>
      </c>
      <c r="V90" s="134">
        <f>'C7 · HSSE'!V11</f>
        <v/>
      </c>
      <c r="W90" s="134">
        <f>'C7 · HSSE'!W11</f>
        <v/>
      </c>
      <c r="X90" s="134">
        <f>'C7 · HSSE'!X11</f>
        <v/>
      </c>
      <c r="Y90" s="134">
        <f>'C7 · HSSE'!Y11</f>
        <v/>
      </c>
      <c r="Z90" s="134">
        <f>'C7 · HSSE'!Z11</f>
        <v/>
      </c>
      <c r="AA90" s="134">
        <f>'C7 · HSSE'!AA11</f>
        <v/>
      </c>
      <c r="AB90" s="134">
        <f>'C7 · HSSE'!AB11</f>
        <v/>
      </c>
      <c r="AC90" s="134">
        <f>'C7 · HSSE'!AC11</f>
        <v/>
      </c>
      <c r="AD90" s="134">
        <f>'C7 · HSSE'!AD11</f>
        <v/>
      </c>
      <c r="AE90" s="134">
        <f>'C7 · HSSE'!AE11</f>
        <v/>
      </c>
      <c r="AF90" s="134">
        <f>'C7 · HSSE'!AF11</f>
        <v/>
      </c>
      <c r="AG90" s="134">
        <f>'C7 · HSSE'!AG11</f>
        <v/>
      </c>
      <c r="AH90" s="134">
        <f>'C7 · HSSE'!AH11</f>
        <v/>
      </c>
      <c r="AI90" s="134">
        <f>'C7 · HSSE'!AI11</f>
        <v/>
      </c>
      <c r="AJ90" s="134">
        <f>'C7 · HSSE'!AJ11</f>
        <v/>
      </c>
      <c r="AK90" s="134">
        <f>'C7 · HSSE'!AK11</f>
        <v/>
      </c>
      <c r="AL90" s="134">
        <f>'C7 · HSSE'!AL11</f>
        <v/>
      </c>
      <c r="AM90" s="134">
        <f>'C7 · HSSE'!AM11</f>
        <v/>
      </c>
    </row>
    <row r="91">
      <c r="B91" s="133" t="inlineStr">
        <is>
          <t>kpi.hsse.nearmiss</t>
        </is>
      </c>
      <c r="C91" s="133" t="inlineStr">
        <is>
          <t>SUM</t>
        </is>
      </c>
      <c r="D91" s="134">
        <f>'C7 · HSSE'!D12</f>
        <v/>
      </c>
      <c r="E91" s="134">
        <f>'C7 · HSSE'!E12</f>
        <v/>
      </c>
      <c r="F91" s="134">
        <f>'C7 · HSSE'!F12</f>
        <v/>
      </c>
      <c r="G91" s="134">
        <f>'C7 · HSSE'!G12</f>
        <v/>
      </c>
      <c r="H91" s="134">
        <f>'C7 · HSSE'!H12</f>
        <v/>
      </c>
      <c r="I91" s="134">
        <f>'C7 · HSSE'!I12</f>
        <v/>
      </c>
      <c r="J91" s="134">
        <f>'C7 · HSSE'!J12</f>
        <v/>
      </c>
      <c r="K91" s="134">
        <f>'C7 · HSSE'!K12</f>
        <v/>
      </c>
      <c r="L91" s="134">
        <f>'C7 · HSSE'!L12</f>
        <v/>
      </c>
      <c r="M91" s="134">
        <f>'C7 · HSSE'!M12</f>
        <v/>
      </c>
      <c r="N91" s="134">
        <f>'C7 · HSSE'!N12</f>
        <v/>
      </c>
      <c r="O91" s="134">
        <f>'C7 · HSSE'!O12</f>
        <v/>
      </c>
      <c r="P91" s="134">
        <f>'C7 · HSSE'!P12</f>
        <v/>
      </c>
      <c r="Q91" s="134">
        <f>'C7 · HSSE'!Q12</f>
        <v/>
      </c>
      <c r="R91" s="134">
        <f>'C7 · HSSE'!R12</f>
        <v/>
      </c>
      <c r="S91" s="134">
        <f>'C7 · HSSE'!S12</f>
        <v/>
      </c>
      <c r="T91" s="134">
        <f>'C7 · HSSE'!T12</f>
        <v/>
      </c>
      <c r="U91" s="134">
        <f>'C7 · HSSE'!U12</f>
        <v/>
      </c>
      <c r="V91" s="134">
        <f>'C7 · HSSE'!V12</f>
        <v/>
      </c>
      <c r="W91" s="134">
        <f>'C7 · HSSE'!W12</f>
        <v/>
      </c>
      <c r="X91" s="134">
        <f>'C7 · HSSE'!X12</f>
        <v/>
      </c>
      <c r="Y91" s="134">
        <f>'C7 · HSSE'!Y12</f>
        <v/>
      </c>
      <c r="Z91" s="134">
        <f>'C7 · HSSE'!Z12</f>
        <v/>
      </c>
      <c r="AA91" s="134">
        <f>'C7 · HSSE'!AA12</f>
        <v/>
      </c>
      <c r="AB91" s="134">
        <f>'C7 · HSSE'!AB12</f>
        <v/>
      </c>
      <c r="AC91" s="134">
        <f>'C7 · HSSE'!AC12</f>
        <v/>
      </c>
      <c r="AD91" s="134">
        <f>'C7 · HSSE'!AD12</f>
        <v/>
      </c>
      <c r="AE91" s="134">
        <f>'C7 · HSSE'!AE12</f>
        <v/>
      </c>
      <c r="AF91" s="134">
        <f>'C7 · HSSE'!AF12</f>
        <v/>
      </c>
      <c r="AG91" s="134">
        <f>'C7 · HSSE'!AG12</f>
        <v/>
      </c>
      <c r="AH91" s="134">
        <f>'C7 · HSSE'!AH12</f>
        <v/>
      </c>
      <c r="AI91" s="134">
        <f>'C7 · HSSE'!AI12</f>
        <v/>
      </c>
      <c r="AJ91" s="134">
        <f>'C7 · HSSE'!AJ12</f>
        <v/>
      </c>
      <c r="AK91" s="134">
        <f>'C7 · HSSE'!AK12</f>
        <v/>
      </c>
      <c r="AL91" s="134">
        <f>'C7 · HSSE'!AL12</f>
        <v/>
      </c>
      <c r="AM91" s="134">
        <f>'C7 · HSSE'!AM12</f>
        <v/>
      </c>
    </row>
    <row r="92">
      <c r="B92" s="133" t="inlineStr">
        <is>
          <t>kpi.hsse.days_no_lti</t>
        </is>
      </c>
      <c r="C92" s="133" t="inlineStr">
        <is>
          <t>LAST</t>
        </is>
      </c>
      <c r="D92" s="134">
        <f>'C7 · HSSE'!D13</f>
        <v/>
      </c>
      <c r="E92" s="134">
        <f>'C7 · HSSE'!E13</f>
        <v/>
      </c>
      <c r="F92" s="134">
        <f>'C7 · HSSE'!F13</f>
        <v/>
      </c>
      <c r="G92" s="134">
        <f>'C7 · HSSE'!G13</f>
        <v/>
      </c>
      <c r="H92" s="134">
        <f>'C7 · HSSE'!H13</f>
        <v/>
      </c>
      <c r="I92" s="134">
        <f>'C7 · HSSE'!I13</f>
        <v/>
      </c>
      <c r="J92" s="134">
        <f>'C7 · HSSE'!J13</f>
        <v/>
      </c>
      <c r="K92" s="134">
        <f>'C7 · HSSE'!K13</f>
        <v/>
      </c>
      <c r="L92" s="134">
        <f>'C7 · HSSE'!L13</f>
        <v/>
      </c>
      <c r="M92" s="134">
        <f>'C7 · HSSE'!M13</f>
        <v/>
      </c>
      <c r="N92" s="134">
        <f>'C7 · HSSE'!N13</f>
        <v/>
      </c>
      <c r="O92" s="134">
        <f>'C7 · HSSE'!O13</f>
        <v/>
      </c>
      <c r="P92" s="134">
        <f>'C7 · HSSE'!P13</f>
        <v/>
      </c>
      <c r="Q92" s="134">
        <f>'C7 · HSSE'!Q13</f>
        <v/>
      </c>
      <c r="R92" s="134">
        <f>'C7 · HSSE'!R13</f>
        <v/>
      </c>
      <c r="S92" s="134">
        <f>'C7 · HSSE'!S13</f>
        <v/>
      </c>
      <c r="T92" s="134">
        <f>'C7 · HSSE'!T13</f>
        <v/>
      </c>
      <c r="U92" s="134">
        <f>'C7 · HSSE'!U13</f>
        <v/>
      </c>
      <c r="V92" s="134">
        <f>'C7 · HSSE'!V13</f>
        <v/>
      </c>
      <c r="W92" s="134">
        <f>'C7 · HSSE'!W13</f>
        <v/>
      </c>
      <c r="X92" s="134">
        <f>'C7 · HSSE'!X13</f>
        <v/>
      </c>
      <c r="Y92" s="134">
        <f>'C7 · HSSE'!Y13</f>
        <v/>
      </c>
      <c r="Z92" s="134">
        <f>'C7 · HSSE'!Z13</f>
        <v/>
      </c>
      <c r="AA92" s="134">
        <f>'C7 · HSSE'!AA13</f>
        <v/>
      </c>
      <c r="AB92" s="134">
        <f>'C7 · HSSE'!AB13</f>
        <v/>
      </c>
      <c r="AC92" s="134">
        <f>'C7 · HSSE'!AC13</f>
        <v/>
      </c>
      <c r="AD92" s="134">
        <f>'C7 · HSSE'!AD13</f>
        <v/>
      </c>
      <c r="AE92" s="134">
        <f>'C7 · HSSE'!AE13</f>
        <v/>
      </c>
      <c r="AF92" s="134">
        <f>'C7 · HSSE'!AF13</f>
        <v/>
      </c>
      <c r="AG92" s="134">
        <f>'C7 · HSSE'!AG13</f>
        <v/>
      </c>
      <c r="AH92" s="134">
        <f>'C7 · HSSE'!AH13</f>
        <v/>
      </c>
      <c r="AI92" s="134">
        <f>'C7 · HSSE'!AI13</f>
        <v/>
      </c>
      <c r="AJ92" s="134">
        <f>'C7 · HSSE'!AJ13</f>
        <v/>
      </c>
      <c r="AK92" s="134">
        <f>'C7 · HSSE'!AK13</f>
        <v/>
      </c>
      <c r="AL92" s="134">
        <f>'C7 · HSSE'!AL13</f>
        <v/>
      </c>
      <c r="AM92" s="134">
        <f>'C7 · HSSE'!AM13</f>
        <v/>
      </c>
    </row>
    <row r="93">
      <c r="B93" s="133" t="inlineStr">
        <is>
          <t>kpi.hsse.evac_drills</t>
        </is>
      </c>
      <c r="C93" s="133" t="inlineStr">
        <is>
          <t>SUM</t>
        </is>
      </c>
      <c r="D93" s="134">
        <f>'C7 · HSSE'!D14</f>
        <v/>
      </c>
      <c r="E93" s="134">
        <f>'C7 · HSSE'!E14</f>
        <v/>
      </c>
      <c r="F93" s="134">
        <f>'C7 · HSSE'!F14</f>
        <v/>
      </c>
      <c r="G93" s="134">
        <f>'C7 · HSSE'!G14</f>
        <v/>
      </c>
      <c r="H93" s="134">
        <f>'C7 · HSSE'!H14</f>
        <v/>
      </c>
      <c r="I93" s="134">
        <f>'C7 · HSSE'!I14</f>
        <v/>
      </c>
      <c r="J93" s="134">
        <f>'C7 · HSSE'!J14</f>
        <v/>
      </c>
      <c r="K93" s="134">
        <f>'C7 · HSSE'!K14</f>
        <v/>
      </c>
      <c r="L93" s="134">
        <f>'C7 · HSSE'!L14</f>
        <v/>
      </c>
      <c r="M93" s="134">
        <f>'C7 · HSSE'!M14</f>
        <v/>
      </c>
      <c r="N93" s="134">
        <f>'C7 · HSSE'!N14</f>
        <v/>
      </c>
      <c r="O93" s="134">
        <f>'C7 · HSSE'!O14</f>
        <v/>
      </c>
      <c r="P93" s="134">
        <f>'C7 · HSSE'!P14</f>
        <v/>
      </c>
      <c r="Q93" s="134">
        <f>'C7 · HSSE'!Q14</f>
        <v/>
      </c>
      <c r="R93" s="134">
        <f>'C7 · HSSE'!R14</f>
        <v/>
      </c>
      <c r="S93" s="134">
        <f>'C7 · HSSE'!S14</f>
        <v/>
      </c>
      <c r="T93" s="134">
        <f>'C7 · HSSE'!T14</f>
        <v/>
      </c>
      <c r="U93" s="134">
        <f>'C7 · HSSE'!U14</f>
        <v/>
      </c>
      <c r="V93" s="134">
        <f>'C7 · HSSE'!V14</f>
        <v/>
      </c>
      <c r="W93" s="134">
        <f>'C7 · HSSE'!W14</f>
        <v/>
      </c>
      <c r="X93" s="134">
        <f>'C7 · HSSE'!X14</f>
        <v/>
      </c>
      <c r="Y93" s="134">
        <f>'C7 · HSSE'!Y14</f>
        <v/>
      </c>
      <c r="Z93" s="134">
        <f>'C7 · HSSE'!Z14</f>
        <v/>
      </c>
      <c r="AA93" s="134">
        <f>'C7 · HSSE'!AA14</f>
        <v/>
      </c>
      <c r="AB93" s="134">
        <f>'C7 · HSSE'!AB14</f>
        <v/>
      </c>
      <c r="AC93" s="134">
        <f>'C7 · HSSE'!AC14</f>
        <v/>
      </c>
      <c r="AD93" s="134">
        <f>'C7 · HSSE'!AD14</f>
        <v/>
      </c>
      <c r="AE93" s="134">
        <f>'C7 · HSSE'!AE14</f>
        <v/>
      </c>
      <c r="AF93" s="134">
        <f>'C7 · HSSE'!AF14</f>
        <v/>
      </c>
      <c r="AG93" s="134">
        <f>'C7 · HSSE'!AG14</f>
        <v/>
      </c>
      <c r="AH93" s="134">
        <f>'C7 · HSSE'!AH14</f>
        <v/>
      </c>
      <c r="AI93" s="134">
        <f>'C7 · HSSE'!AI14</f>
        <v/>
      </c>
      <c r="AJ93" s="134">
        <f>'C7 · HSSE'!AJ14</f>
        <v/>
      </c>
      <c r="AK93" s="134">
        <f>'C7 · HSSE'!AK14</f>
        <v/>
      </c>
      <c r="AL93" s="134">
        <f>'C7 · HSSE'!AL14</f>
        <v/>
      </c>
      <c r="AM93" s="134">
        <f>'C7 · HSSE'!AM14</f>
        <v/>
      </c>
    </row>
    <row r="94">
      <c r="B94" s="133" t="inlineStr">
        <is>
          <t>kpi.hsse.fire_conform</t>
        </is>
      </c>
      <c r="C94" s="133" t="inlineStr">
        <is>
          <t>AVG</t>
        </is>
      </c>
      <c r="D94" s="135">
        <f>'C7 · HSSE'!D15</f>
        <v/>
      </c>
      <c r="E94" s="135">
        <f>'C7 · HSSE'!E15</f>
        <v/>
      </c>
      <c r="F94" s="135">
        <f>'C7 · HSSE'!F15</f>
        <v/>
      </c>
      <c r="G94" s="135">
        <f>'C7 · HSSE'!G15</f>
        <v/>
      </c>
      <c r="H94" s="135">
        <f>'C7 · HSSE'!H15</f>
        <v/>
      </c>
      <c r="I94" s="135">
        <f>'C7 · HSSE'!I15</f>
        <v/>
      </c>
      <c r="J94" s="135">
        <f>'C7 · HSSE'!J15</f>
        <v/>
      </c>
      <c r="K94" s="135">
        <f>'C7 · HSSE'!K15</f>
        <v/>
      </c>
      <c r="L94" s="135">
        <f>'C7 · HSSE'!L15</f>
        <v/>
      </c>
      <c r="M94" s="135">
        <f>'C7 · HSSE'!M15</f>
        <v/>
      </c>
      <c r="N94" s="135">
        <f>'C7 · HSSE'!N15</f>
        <v/>
      </c>
      <c r="O94" s="135">
        <f>'C7 · HSSE'!O15</f>
        <v/>
      </c>
      <c r="P94" s="135">
        <f>'C7 · HSSE'!P15</f>
        <v/>
      </c>
      <c r="Q94" s="135">
        <f>'C7 · HSSE'!Q15</f>
        <v/>
      </c>
      <c r="R94" s="135">
        <f>'C7 · HSSE'!R15</f>
        <v/>
      </c>
      <c r="S94" s="135">
        <f>'C7 · HSSE'!S15</f>
        <v/>
      </c>
      <c r="T94" s="135">
        <f>'C7 · HSSE'!T15</f>
        <v/>
      </c>
      <c r="U94" s="135">
        <f>'C7 · HSSE'!U15</f>
        <v/>
      </c>
      <c r="V94" s="135">
        <f>'C7 · HSSE'!V15</f>
        <v/>
      </c>
      <c r="W94" s="135">
        <f>'C7 · HSSE'!W15</f>
        <v/>
      </c>
      <c r="X94" s="135">
        <f>'C7 · HSSE'!X15</f>
        <v/>
      </c>
      <c r="Y94" s="135">
        <f>'C7 · HSSE'!Y15</f>
        <v/>
      </c>
      <c r="Z94" s="135">
        <f>'C7 · HSSE'!Z15</f>
        <v/>
      </c>
      <c r="AA94" s="135">
        <f>'C7 · HSSE'!AA15</f>
        <v/>
      </c>
      <c r="AB94" s="135">
        <f>'C7 · HSSE'!AB15</f>
        <v/>
      </c>
      <c r="AC94" s="135">
        <f>'C7 · HSSE'!AC15</f>
        <v/>
      </c>
      <c r="AD94" s="135">
        <f>'C7 · HSSE'!AD15</f>
        <v/>
      </c>
      <c r="AE94" s="135">
        <f>'C7 · HSSE'!AE15</f>
        <v/>
      </c>
      <c r="AF94" s="135">
        <f>'C7 · HSSE'!AF15</f>
        <v/>
      </c>
      <c r="AG94" s="135">
        <f>'C7 · HSSE'!AG15</f>
        <v/>
      </c>
      <c r="AH94" s="135">
        <f>'C7 · HSSE'!AH15</f>
        <v/>
      </c>
      <c r="AI94" s="135">
        <f>'C7 · HSSE'!AI15</f>
        <v/>
      </c>
      <c r="AJ94" s="135">
        <f>'C7 · HSSE'!AJ15</f>
        <v/>
      </c>
      <c r="AK94" s="135">
        <f>'C7 · HSSE'!AK15</f>
        <v/>
      </c>
      <c r="AL94" s="135">
        <f>'C7 · HSSE'!AL15</f>
        <v/>
      </c>
      <c r="AM94" s="135">
        <f>'C7 · HSSE'!AM15</f>
        <v/>
      </c>
    </row>
    <row r="95">
      <c r="B95" s="133" t="inlineStr">
        <is>
          <t>kpi.hsse.fire_alarms</t>
        </is>
      </c>
      <c r="C95" s="133" t="inlineStr">
        <is>
          <t>SUM</t>
        </is>
      </c>
      <c r="D95" s="134">
        <f>'C7 · HSSE'!D16</f>
        <v/>
      </c>
      <c r="E95" s="134">
        <f>'C7 · HSSE'!E16</f>
        <v/>
      </c>
      <c r="F95" s="134">
        <f>'C7 · HSSE'!F16</f>
        <v/>
      </c>
      <c r="G95" s="134">
        <f>'C7 · HSSE'!G16</f>
        <v/>
      </c>
      <c r="H95" s="134">
        <f>'C7 · HSSE'!H16</f>
        <v/>
      </c>
      <c r="I95" s="134">
        <f>'C7 · HSSE'!I16</f>
        <v/>
      </c>
      <c r="J95" s="134">
        <f>'C7 · HSSE'!J16</f>
        <v/>
      </c>
      <c r="K95" s="134">
        <f>'C7 · HSSE'!K16</f>
        <v/>
      </c>
      <c r="L95" s="134">
        <f>'C7 · HSSE'!L16</f>
        <v/>
      </c>
      <c r="M95" s="134">
        <f>'C7 · HSSE'!M16</f>
        <v/>
      </c>
      <c r="N95" s="134">
        <f>'C7 · HSSE'!N16</f>
        <v/>
      </c>
      <c r="O95" s="134">
        <f>'C7 · HSSE'!O16</f>
        <v/>
      </c>
      <c r="P95" s="134">
        <f>'C7 · HSSE'!P16</f>
        <v/>
      </c>
      <c r="Q95" s="134">
        <f>'C7 · HSSE'!Q16</f>
        <v/>
      </c>
      <c r="R95" s="134">
        <f>'C7 · HSSE'!R16</f>
        <v/>
      </c>
      <c r="S95" s="134">
        <f>'C7 · HSSE'!S16</f>
        <v/>
      </c>
      <c r="T95" s="134">
        <f>'C7 · HSSE'!T16</f>
        <v/>
      </c>
      <c r="U95" s="134">
        <f>'C7 · HSSE'!U16</f>
        <v/>
      </c>
      <c r="V95" s="134">
        <f>'C7 · HSSE'!V16</f>
        <v/>
      </c>
      <c r="W95" s="134">
        <f>'C7 · HSSE'!W16</f>
        <v/>
      </c>
      <c r="X95" s="134">
        <f>'C7 · HSSE'!X16</f>
        <v/>
      </c>
      <c r="Y95" s="134">
        <f>'C7 · HSSE'!Y16</f>
        <v/>
      </c>
      <c r="Z95" s="134">
        <f>'C7 · HSSE'!Z16</f>
        <v/>
      </c>
      <c r="AA95" s="134">
        <f>'C7 · HSSE'!AA16</f>
        <v/>
      </c>
      <c r="AB95" s="134">
        <f>'C7 · HSSE'!AB16</f>
        <v/>
      </c>
      <c r="AC95" s="134">
        <f>'C7 · HSSE'!AC16</f>
        <v/>
      </c>
      <c r="AD95" s="134">
        <f>'C7 · HSSE'!AD16</f>
        <v/>
      </c>
      <c r="AE95" s="134">
        <f>'C7 · HSSE'!AE16</f>
        <v/>
      </c>
      <c r="AF95" s="134">
        <f>'C7 · HSSE'!AF16</f>
        <v/>
      </c>
      <c r="AG95" s="134">
        <f>'C7 · HSSE'!AG16</f>
        <v/>
      </c>
      <c r="AH95" s="134">
        <f>'C7 · HSSE'!AH16</f>
        <v/>
      </c>
      <c r="AI95" s="134">
        <f>'C7 · HSSE'!AI16</f>
        <v/>
      </c>
      <c r="AJ95" s="134">
        <f>'C7 · HSSE'!AJ16</f>
        <v/>
      </c>
      <c r="AK95" s="134">
        <f>'C7 · HSSE'!AK16</f>
        <v/>
      </c>
      <c r="AL95" s="134">
        <f>'C7 · HSSE'!AL16</f>
        <v/>
      </c>
      <c r="AM95" s="134">
        <f>'C7 · HSSE'!AM16</f>
        <v/>
      </c>
    </row>
    <row r="96">
      <c r="B96" s="133" t="inlineStr">
        <is>
          <t>kpi.hsse.evac_time</t>
        </is>
      </c>
      <c r="C96" s="133" t="inlineStr">
        <is>
          <t>AVG</t>
        </is>
      </c>
      <c r="D96" s="134">
        <f>'C7 · HSSE'!D17</f>
        <v/>
      </c>
      <c r="E96" s="134">
        <f>'C7 · HSSE'!E17</f>
        <v/>
      </c>
      <c r="F96" s="134">
        <f>'C7 · HSSE'!F17</f>
        <v/>
      </c>
      <c r="G96" s="134">
        <f>'C7 · HSSE'!G17</f>
        <v/>
      </c>
      <c r="H96" s="134">
        <f>'C7 · HSSE'!H17</f>
        <v/>
      </c>
      <c r="I96" s="134">
        <f>'C7 · HSSE'!I17</f>
        <v/>
      </c>
      <c r="J96" s="134">
        <f>'C7 · HSSE'!J17</f>
        <v/>
      </c>
      <c r="K96" s="134">
        <f>'C7 · HSSE'!K17</f>
        <v/>
      </c>
      <c r="L96" s="134">
        <f>'C7 · HSSE'!L17</f>
        <v/>
      </c>
      <c r="M96" s="134">
        <f>'C7 · HSSE'!M17</f>
        <v/>
      </c>
      <c r="N96" s="134">
        <f>'C7 · HSSE'!N17</f>
        <v/>
      </c>
      <c r="O96" s="134">
        <f>'C7 · HSSE'!O17</f>
        <v/>
      </c>
      <c r="P96" s="134">
        <f>'C7 · HSSE'!P17</f>
        <v/>
      </c>
      <c r="Q96" s="134">
        <f>'C7 · HSSE'!Q17</f>
        <v/>
      </c>
      <c r="R96" s="134">
        <f>'C7 · HSSE'!R17</f>
        <v/>
      </c>
      <c r="S96" s="134">
        <f>'C7 · HSSE'!S17</f>
        <v/>
      </c>
      <c r="T96" s="134">
        <f>'C7 · HSSE'!T17</f>
        <v/>
      </c>
      <c r="U96" s="134">
        <f>'C7 · HSSE'!U17</f>
        <v/>
      </c>
      <c r="V96" s="134">
        <f>'C7 · HSSE'!V17</f>
        <v/>
      </c>
      <c r="W96" s="134">
        <f>'C7 · HSSE'!W17</f>
        <v/>
      </c>
      <c r="X96" s="134">
        <f>'C7 · HSSE'!X17</f>
        <v/>
      </c>
      <c r="Y96" s="134">
        <f>'C7 · HSSE'!Y17</f>
        <v/>
      </c>
      <c r="Z96" s="134">
        <f>'C7 · HSSE'!Z17</f>
        <v/>
      </c>
      <c r="AA96" s="134">
        <f>'C7 · HSSE'!AA17</f>
        <v/>
      </c>
      <c r="AB96" s="134">
        <f>'C7 · HSSE'!AB17</f>
        <v/>
      </c>
      <c r="AC96" s="134">
        <f>'C7 · HSSE'!AC17</f>
        <v/>
      </c>
      <c r="AD96" s="134">
        <f>'C7 · HSSE'!AD17</f>
        <v/>
      </c>
      <c r="AE96" s="134">
        <f>'C7 · HSSE'!AE17</f>
        <v/>
      </c>
      <c r="AF96" s="134">
        <f>'C7 · HSSE'!AF17</f>
        <v/>
      </c>
      <c r="AG96" s="134">
        <f>'C7 · HSSE'!AG17</f>
        <v/>
      </c>
      <c r="AH96" s="134">
        <f>'C7 · HSSE'!AH17</f>
        <v/>
      </c>
      <c r="AI96" s="134">
        <f>'C7 · HSSE'!AI17</f>
        <v/>
      </c>
      <c r="AJ96" s="134">
        <f>'C7 · HSSE'!AJ17</f>
        <v/>
      </c>
      <c r="AK96" s="134">
        <f>'C7 · HSSE'!AK17</f>
        <v/>
      </c>
      <c r="AL96" s="134">
        <f>'C7 · HSSE'!AL17</f>
        <v/>
      </c>
      <c r="AM96" s="134">
        <f>'C7 · HSSE'!AM17</f>
        <v/>
      </c>
    </row>
    <row r="97">
      <c r="B97" s="133" t="inlineStr">
        <is>
          <t>kpi.hsse.sec_interv</t>
        </is>
      </c>
      <c r="C97" s="133" t="inlineStr">
        <is>
          <t>SUM</t>
        </is>
      </c>
      <c r="D97" s="134">
        <f>'C7 · HSSE'!D18</f>
        <v/>
      </c>
      <c r="E97" s="134">
        <f>'C7 · HSSE'!E18</f>
        <v/>
      </c>
      <c r="F97" s="134">
        <f>'C7 · HSSE'!F18</f>
        <v/>
      </c>
      <c r="G97" s="134">
        <f>'C7 · HSSE'!G18</f>
        <v/>
      </c>
      <c r="H97" s="134">
        <f>'C7 · HSSE'!H18</f>
        <v/>
      </c>
      <c r="I97" s="134">
        <f>'C7 · HSSE'!I18</f>
        <v/>
      </c>
      <c r="J97" s="134">
        <f>'C7 · HSSE'!J18</f>
        <v/>
      </c>
      <c r="K97" s="134">
        <f>'C7 · HSSE'!K18</f>
        <v/>
      </c>
      <c r="L97" s="134">
        <f>'C7 · HSSE'!L18</f>
        <v/>
      </c>
      <c r="M97" s="134">
        <f>'C7 · HSSE'!M18</f>
        <v/>
      </c>
      <c r="N97" s="134">
        <f>'C7 · HSSE'!N18</f>
        <v/>
      </c>
      <c r="O97" s="134">
        <f>'C7 · HSSE'!O18</f>
        <v/>
      </c>
      <c r="P97" s="134">
        <f>'C7 · HSSE'!P18</f>
        <v/>
      </c>
      <c r="Q97" s="134">
        <f>'C7 · HSSE'!Q18</f>
        <v/>
      </c>
      <c r="R97" s="134">
        <f>'C7 · HSSE'!R18</f>
        <v/>
      </c>
      <c r="S97" s="134">
        <f>'C7 · HSSE'!S18</f>
        <v/>
      </c>
      <c r="T97" s="134">
        <f>'C7 · HSSE'!T18</f>
        <v/>
      </c>
      <c r="U97" s="134">
        <f>'C7 · HSSE'!U18</f>
        <v/>
      </c>
      <c r="V97" s="134">
        <f>'C7 · HSSE'!V18</f>
        <v/>
      </c>
      <c r="W97" s="134">
        <f>'C7 · HSSE'!W18</f>
        <v/>
      </c>
      <c r="X97" s="134">
        <f>'C7 · HSSE'!X18</f>
        <v/>
      </c>
      <c r="Y97" s="134">
        <f>'C7 · HSSE'!Y18</f>
        <v/>
      </c>
      <c r="Z97" s="134">
        <f>'C7 · HSSE'!Z18</f>
        <v/>
      </c>
      <c r="AA97" s="134">
        <f>'C7 · HSSE'!AA18</f>
        <v/>
      </c>
      <c r="AB97" s="134">
        <f>'C7 · HSSE'!AB18</f>
        <v/>
      </c>
      <c r="AC97" s="134">
        <f>'C7 · HSSE'!AC18</f>
        <v/>
      </c>
      <c r="AD97" s="134">
        <f>'C7 · HSSE'!AD18</f>
        <v/>
      </c>
      <c r="AE97" s="134">
        <f>'C7 · HSSE'!AE18</f>
        <v/>
      </c>
      <c r="AF97" s="134">
        <f>'C7 · HSSE'!AF18</f>
        <v/>
      </c>
      <c r="AG97" s="134">
        <f>'C7 · HSSE'!AG18</f>
        <v/>
      </c>
      <c r="AH97" s="134">
        <f>'C7 · HSSE'!AH18</f>
        <v/>
      </c>
      <c r="AI97" s="134">
        <f>'C7 · HSSE'!AI18</f>
        <v/>
      </c>
      <c r="AJ97" s="134">
        <f>'C7 · HSSE'!AJ18</f>
        <v/>
      </c>
      <c r="AK97" s="134">
        <f>'C7 · HSSE'!AK18</f>
        <v/>
      </c>
      <c r="AL97" s="134">
        <f>'C7 · HSSE'!AL18</f>
        <v/>
      </c>
      <c r="AM97" s="134">
        <f>'C7 · HSSE'!AM18</f>
        <v/>
      </c>
    </row>
    <row r="98">
      <c r="B98" s="133" t="inlineStr">
        <is>
          <t>kpi.hsse.theft</t>
        </is>
      </c>
      <c r="C98" s="133" t="inlineStr">
        <is>
          <t>SUM</t>
        </is>
      </c>
      <c r="D98" s="134">
        <f>'C7 · HSSE'!D19</f>
        <v/>
      </c>
      <c r="E98" s="134">
        <f>'C7 · HSSE'!E19</f>
        <v/>
      </c>
      <c r="F98" s="134">
        <f>'C7 · HSSE'!F19</f>
        <v/>
      </c>
      <c r="G98" s="134">
        <f>'C7 · HSSE'!G19</f>
        <v/>
      </c>
      <c r="H98" s="134">
        <f>'C7 · HSSE'!H19</f>
        <v/>
      </c>
      <c r="I98" s="134">
        <f>'C7 · HSSE'!I19</f>
        <v/>
      </c>
      <c r="J98" s="134">
        <f>'C7 · HSSE'!J19</f>
        <v/>
      </c>
      <c r="K98" s="134">
        <f>'C7 · HSSE'!K19</f>
        <v/>
      </c>
      <c r="L98" s="134">
        <f>'C7 · HSSE'!L19</f>
        <v/>
      </c>
      <c r="M98" s="134">
        <f>'C7 · HSSE'!M19</f>
        <v/>
      </c>
      <c r="N98" s="134">
        <f>'C7 · HSSE'!N19</f>
        <v/>
      </c>
      <c r="O98" s="134">
        <f>'C7 · HSSE'!O19</f>
        <v/>
      </c>
      <c r="P98" s="134">
        <f>'C7 · HSSE'!P19</f>
        <v/>
      </c>
      <c r="Q98" s="134">
        <f>'C7 · HSSE'!Q19</f>
        <v/>
      </c>
      <c r="R98" s="134">
        <f>'C7 · HSSE'!R19</f>
        <v/>
      </c>
      <c r="S98" s="134">
        <f>'C7 · HSSE'!S19</f>
        <v/>
      </c>
      <c r="T98" s="134">
        <f>'C7 · HSSE'!T19</f>
        <v/>
      </c>
      <c r="U98" s="134">
        <f>'C7 · HSSE'!U19</f>
        <v/>
      </c>
      <c r="V98" s="134">
        <f>'C7 · HSSE'!V19</f>
        <v/>
      </c>
      <c r="W98" s="134">
        <f>'C7 · HSSE'!W19</f>
        <v/>
      </c>
      <c r="X98" s="134">
        <f>'C7 · HSSE'!X19</f>
        <v/>
      </c>
      <c r="Y98" s="134">
        <f>'C7 · HSSE'!Y19</f>
        <v/>
      </c>
      <c r="Z98" s="134">
        <f>'C7 · HSSE'!Z19</f>
        <v/>
      </c>
      <c r="AA98" s="134">
        <f>'C7 · HSSE'!AA19</f>
        <v/>
      </c>
      <c r="AB98" s="134">
        <f>'C7 · HSSE'!AB19</f>
        <v/>
      </c>
      <c r="AC98" s="134">
        <f>'C7 · HSSE'!AC19</f>
        <v/>
      </c>
      <c r="AD98" s="134">
        <f>'C7 · HSSE'!AD19</f>
        <v/>
      </c>
      <c r="AE98" s="134">
        <f>'C7 · HSSE'!AE19</f>
        <v/>
      </c>
      <c r="AF98" s="134">
        <f>'C7 · HSSE'!AF19</f>
        <v/>
      </c>
      <c r="AG98" s="134">
        <f>'C7 · HSSE'!AG19</f>
        <v/>
      </c>
      <c r="AH98" s="134">
        <f>'C7 · HSSE'!AH19</f>
        <v/>
      </c>
      <c r="AI98" s="134">
        <f>'C7 · HSSE'!AI19</f>
        <v/>
      </c>
      <c r="AJ98" s="134">
        <f>'C7 · HSSE'!AJ19</f>
        <v/>
      </c>
      <c r="AK98" s="134">
        <f>'C7 · HSSE'!AK19</f>
        <v/>
      </c>
      <c r="AL98" s="134">
        <f>'C7 · HSSE'!AL19</f>
        <v/>
      </c>
      <c r="AM98" s="134">
        <f>'C7 · HSSE'!AM19</f>
        <v/>
      </c>
    </row>
    <row r="99">
      <c r="B99" s="133" t="inlineStr">
        <is>
          <t>kpi.hsse.cctv</t>
        </is>
      </c>
      <c r="C99" s="133" t="inlineStr">
        <is>
          <t>AVG</t>
        </is>
      </c>
      <c r="D99" s="135">
        <f>'C7 · HSSE'!D20</f>
        <v/>
      </c>
      <c r="E99" s="135">
        <f>'C7 · HSSE'!E20</f>
        <v/>
      </c>
      <c r="F99" s="135">
        <f>'C7 · HSSE'!F20</f>
        <v/>
      </c>
      <c r="G99" s="135">
        <f>'C7 · HSSE'!G20</f>
        <v/>
      </c>
      <c r="H99" s="135">
        <f>'C7 · HSSE'!H20</f>
        <v/>
      </c>
      <c r="I99" s="135">
        <f>'C7 · HSSE'!I20</f>
        <v/>
      </c>
      <c r="J99" s="135">
        <f>'C7 · HSSE'!J20</f>
        <v/>
      </c>
      <c r="K99" s="135">
        <f>'C7 · HSSE'!K20</f>
        <v/>
      </c>
      <c r="L99" s="135">
        <f>'C7 · HSSE'!L20</f>
        <v/>
      </c>
      <c r="M99" s="135">
        <f>'C7 · HSSE'!M20</f>
        <v/>
      </c>
      <c r="N99" s="135">
        <f>'C7 · HSSE'!N20</f>
        <v/>
      </c>
      <c r="O99" s="135">
        <f>'C7 · HSSE'!O20</f>
        <v/>
      </c>
      <c r="P99" s="135">
        <f>'C7 · HSSE'!P20</f>
        <v/>
      </c>
      <c r="Q99" s="135">
        <f>'C7 · HSSE'!Q20</f>
        <v/>
      </c>
      <c r="R99" s="135">
        <f>'C7 · HSSE'!R20</f>
        <v/>
      </c>
      <c r="S99" s="135">
        <f>'C7 · HSSE'!S20</f>
        <v/>
      </c>
      <c r="T99" s="135">
        <f>'C7 · HSSE'!T20</f>
        <v/>
      </c>
      <c r="U99" s="135">
        <f>'C7 · HSSE'!U20</f>
        <v/>
      </c>
      <c r="V99" s="135">
        <f>'C7 · HSSE'!V20</f>
        <v/>
      </c>
      <c r="W99" s="135">
        <f>'C7 · HSSE'!W20</f>
        <v/>
      </c>
      <c r="X99" s="135">
        <f>'C7 · HSSE'!X20</f>
        <v/>
      </c>
      <c r="Y99" s="135">
        <f>'C7 · HSSE'!Y20</f>
        <v/>
      </c>
      <c r="Z99" s="135">
        <f>'C7 · HSSE'!Z20</f>
        <v/>
      </c>
      <c r="AA99" s="135">
        <f>'C7 · HSSE'!AA20</f>
        <v/>
      </c>
      <c r="AB99" s="135">
        <f>'C7 · HSSE'!AB20</f>
        <v/>
      </c>
      <c r="AC99" s="135">
        <f>'C7 · HSSE'!AC20</f>
        <v/>
      </c>
      <c r="AD99" s="135">
        <f>'C7 · HSSE'!AD20</f>
        <v/>
      </c>
      <c r="AE99" s="135">
        <f>'C7 · HSSE'!AE20</f>
        <v/>
      </c>
      <c r="AF99" s="135">
        <f>'C7 · HSSE'!AF20</f>
        <v/>
      </c>
      <c r="AG99" s="135">
        <f>'C7 · HSSE'!AG20</f>
        <v/>
      </c>
      <c r="AH99" s="135">
        <f>'C7 · HSSE'!AH20</f>
        <v/>
      </c>
      <c r="AI99" s="135">
        <f>'C7 · HSSE'!AI20</f>
        <v/>
      </c>
      <c r="AJ99" s="135">
        <f>'C7 · HSSE'!AJ20</f>
        <v/>
      </c>
      <c r="AK99" s="135">
        <f>'C7 · HSSE'!AK20</f>
        <v/>
      </c>
      <c r="AL99" s="135">
        <f>'C7 · HSSE'!AL20</f>
        <v/>
      </c>
      <c r="AM99" s="135">
        <f>'C7 · HSSE'!AM20</f>
        <v/>
      </c>
    </row>
    <row r="100">
      <c r="B100" s="133" t="inlineStr">
        <is>
          <t>kpi.hsse.guards</t>
        </is>
      </c>
      <c r="C100" s="133" t="inlineStr">
        <is>
          <t>LAST</t>
        </is>
      </c>
      <c r="D100" s="134">
        <f>'C7 · HSSE'!D21</f>
        <v/>
      </c>
      <c r="E100" s="134">
        <f>'C7 · HSSE'!E21</f>
        <v/>
      </c>
      <c r="F100" s="134">
        <f>'C7 · HSSE'!F21</f>
        <v/>
      </c>
      <c r="G100" s="134">
        <f>'C7 · HSSE'!G21</f>
        <v/>
      </c>
      <c r="H100" s="134">
        <f>'C7 · HSSE'!H21</f>
        <v/>
      </c>
      <c r="I100" s="134">
        <f>'C7 · HSSE'!I21</f>
        <v/>
      </c>
      <c r="J100" s="134">
        <f>'C7 · HSSE'!J21</f>
        <v/>
      </c>
      <c r="K100" s="134">
        <f>'C7 · HSSE'!K21</f>
        <v/>
      </c>
      <c r="L100" s="134">
        <f>'C7 · HSSE'!L21</f>
        <v/>
      </c>
      <c r="M100" s="134">
        <f>'C7 · HSSE'!M21</f>
        <v/>
      </c>
      <c r="N100" s="134">
        <f>'C7 · HSSE'!N21</f>
        <v/>
      </c>
      <c r="O100" s="134">
        <f>'C7 · HSSE'!O21</f>
        <v/>
      </c>
      <c r="P100" s="134">
        <f>'C7 · HSSE'!P21</f>
        <v/>
      </c>
      <c r="Q100" s="134">
        <f>'C7 · HSSE'!Q21</f>
        <v/>
      </c>
      <c r="R100" s="134">
        <f>'C7 · HSSE'!R21</f>
        <v/>
      </c>
      <c r="S100" s="134">
        <f>'C7 · HSSE'!S21</f>
        <v/>
      </c>
      <c r="T100" s="134">
        <f>'C7 · HSSE'!T21</f>
        <v/>
      </c>
      <c r="U100" s="134">
        <f>'C7 · HSSE'!U21</f>
        <v/>
      </c>
      <c r="V100" s="134">
        <f>'C7 · HSSE'!V21</f>
        <v/>
      </c>
      <c r="W100" s="134">
        <f>'C7 · HSSE'!W21</f>
        <v/>
      </c>
      <c r="X100" s="134">
        <f>'C7 · HSSE'!X21</f>
        <v/>
      </c>
      <c r="Y100" s="134">
        <f>'C7 · HSSE'!Y21</f>
        <v/>
      </c>
      <c r="Z100" s="134">
        <f>'C7 · HSSE'!Z21</f>
        <v/>
      </c>
      <c r="AA100" s="134">
        <f>'C7 · HSSE'!AA21</f>
        <v/>
      </c>
      <c r="AB100" s="134">
        <f>'C7 · HSSE'!AB21</f>
        <v/>
      </c>
      <c r="AC100" s="134">
        <f>'C7 · HSSE'!AC21</f>
        <v/>
      </c>
      <c r="AD100" s="134">
        <f>'C7 · HSSE'!AD21</f>
        <v/>
      </c>
      <c r="AE100" s="134">
        <f>'C7 · HSSE'!AE21</f>
        <v/>
      </c>
      <c r="AF100" s="134">
        <f>'C7 · HSSE'!AF21</f>
        <v/>
      </c>
      <c r="AG100" s="134">
        <f>'C7 · HSSE'!AG21</f>
        <v/>
      </c>
      <c r="AH100" s="134">
        <f>'C7 · HSSE'!AH21</f>
        <v/>
      </c>
      <c r="AI100" s="134">
        <f>'C7 · HSSE'!AI21</f>
        <v/>
      </c>
      <c r="AJ100" s="134">
        <f>'C7 · HSSE'!AJ21</f>
        <v/>
      </c>
      <c r="AK100" s="134">
        <f>'C7 · HSSE'!AK21</f>
        <v/>
      </c>
      <c r="AL100" s="134">
        <f>'C7 · HSSE'!AL21</f>
        <v/>
      </c>
      <c r="AM100" s="134">
        <f>'C7 · HSSE'!AM21</f>
        <v/>
      </c>
    </row>
    <row r="101">
      <c r="B101" s="133" t="inlineStr">
        <is>
          <t>kpi.hsse.risks_id</t>
        </is>
      </c>
      <c r="C101" s="133" t="inlineStr">
        <is>
          <t>SUM</t>
        </is>
      </c>
      <c r="D101" s="134">
        <f>'C7 · HSSE'!D22</f>
        <v/>
      </c>
      <c r="E101" s="134">
        <f>'C7 · HSSE'!E22</f>
        <v/>
      </c>
      <c r="F101" s="134">
        <f>'C7 · HSSE'!F22</f>
        <v/>
      </c>
      <c r="G101" s="134">
        <f>'C7 · HSSE'!G22</f>
        <v/>
      </c>
      <c r="H101" s="134">
        <f>'C7 · HSSE'!H22</f>
        <v/>
      </c>
      <c r="I101" s="134">
        <f>'C7 · HSSE'!I22</f>
        <v/>
      </c>
      <c r="J101" s="134">
        <f>'C7 · HSSE'!J22</f>
        <v/>
      </c>
      <c r="K101" s="134">
        <f>'C7 · HSSE'!K22</f>
        <v/>
      </c>
      <c r="L101" s="134">
        <f>'C7 · HSSE'!L22</f>
        <v/>
      </c>
      <c r="M101" s="134">
        <f>'C7 · HSSE'!M22</f>
        <v/>
      </c>
      <c r="N101" s="134">
        <f>'C7 · HSSE'!N22</f>
        <v/>
      </c>
      <c r="O101" s="134">
        <f>'C7 · HSSE'!O22</f>
        <v/>
      </c>
      <c r="P101" s="134">
        <f>'C7 · HSSE'!P22</f>
        <v/>
      </c>
      <c r="Q101" s="134">
        <f>'C7 · HSSE'!Q22</f>
        <v/>
      </c>
      <c r="R101" s="134">
        <f>'C7 · HSSE'!R22</f>
        <v/>
      </c>
      <c r="S101" s="134">
        <f>'C7 · HSSE'!S22</f>
        <v/>
      </c>
      <c r="T101" s="134">
        <f>'C7 · HSSE'!T22</f>
        <v/>
      </c>
      <c r="U101" s="134">
        <f>'C7 · HSSE'!U22</f>
        <v/>
      </c>
      <c r="V101" s="134">
        <f>'C7 · HSSE'!V22</f>
        <v/>
      </c>
      <c r="W101" s="134">
        <f>'C7 · HSSE'!W22</f>
        <v/>
      </c>
      <c r="X101" s="134">
        <f>'C7 · HSSE'!X22</f>
        <v/>
      </c>
      <c r="Y101" s="134">
        <f>'C7 · HSSE'!Y22</f>
        <v/>
      </c>
      <c r="Z101" s="134">
        <f>'C7 · HSSE'!Z22</f>
        <v/>
      </c>
      <c r="AA101" s="134">
        <f>'C7 · HSSE'!AA22</f>
        <v/>
      </c>
      <c r="AB101" s="134">
        <f>'C7 · HSSE'!AB22</f>
        <v/>
      </c>
      <c r="AC101" s="134">
        <f>'C7 · HSSE'!AC22</f>
        <v/>
      </c>
      <c r="AD101" s="134">
        <f>'C7 · HSSE'!AD22</f>
        <v/>
      </c>
      <c r="AE101" s="134">
        <f>'C7 · HSSE'!AE22</f>
        <v/>
      </c>
      <c r="AF101" s="134">
        <f>'C7 · HSSE'!AF22</f>
        <v/>
      </c>
      <c r="AG101" s="134">
        <f>'C7 · HSSE'!AG22</f>
        <v/>
      </c>
      <c r="AH101" s="134">
        <f>'C7 · HSSE'!AH22</f>
        <v/>
      </c>
      <c r="AI101" s="134">
        <f>'C7 · HSSE'!AI22</f>
        <v/>
      </c>
      <c r="AJ101" s="134">
        <f>'C7 · HSSE'!AJ22</f>
        <v/>
      </c>
      <c r="AK101" s="134">
        <f>'C7 · HSSE'!AK22</f>
        <v/>
      </c>
      <c r="AL101" s="134">
        <f>'C7 · HSSE'!AL22</f>
        <v/>
      </c>
      <c r="AM101" s="134">
        <f>'C7 · HSSE'!AM22</f>
        <v/>
      </c>
    </row>
    <row r="102">
      <c r="B102" s="133" t="inlineStr">
        <is>
          <t>kpi.hsse.risks_treated</t>
        </is>
      </c>
      <c r="C102" s="133" t="inlineStr">
        <is>
          <t>AVG</t>
        </is>
      </c>
      <c r="D102" s="135">
        <f>'C7 · HSSE'!D23</f>
        <v/>
      </c>
      <c r="E102" s="135">
        <f>'C7 · HSSE'!E23</f>
        <v/>
      </c>
      <c r="F102" s="135">
        <f>'C7 · HSSE'!F23</f>
        <v/>
      </c>
      <c r="G102" s="135">
        <f>'C7 · HSSE'!G23</f>
        <v/>
      </c>
      <c r="H102" s="135">
        <f>'C7 · HSSE'!H23</f>
        <v/>
      </c>
      <c r="I102" s="135">
        <f>'C7 · HSSE'!I23</f>
        <v/>
      </c>
      <c r="J102" s="135">
        <f>'C7 · HSSE'!J23</f>
        <v/>
      </c>
      <c r="K102" s="135">
        <f>'C7 · HSSE'!K23</f>
        <v/>
      </c>
      <c r="L102" s="135">
        <f>'C7 · HSSE'!L23</f>
        <v/>
      </c>
      <c r="M102" s="135">
        <f>'C7 · HSSE'!M23</f>
        <v/>
      </c>
      <c r="N102" s="135">
        <f>'C7 · HSSE'!N23</f>
        <v/>
      </c>
      <c r="O102" s="135">
        <f>'C7 · HSSE'!O23</f>
        <v/>
      </c>
      <c r="P102" s="135">
        <f>'C7 · HSSE'!P23</f>
        <v/>
      </c>
      <c r="Q102" s="135">
        <f>'C7 · HSSE'!Q23</f>
        <v/>
      </c>
      <c r="R102" s="135">
        <f>'C7 · HSSE'!R23</f>
        <v/>
      </c>
      <c r="S102" s="135">
        <f>'C7 · HSSE'!S23</f>
        <v/>
      </c>
      <c r="T102" s="135">
        <f>'C7 · HSSE'!T23</f>
        <v/>
      </c>
      <c r="U102" s="135">
        <f>'C7 · HSSE'!U23</f>
        <v/>
      </c>
      <c r="V102" s="135">
        <f>'C7 · HSSE'!V23</f>
        <v/>
      </c>
      <c r="W102" s="135">
        <f>'C7 · HSSE'!W23</f>
        <v/>
      </c>
      <c r="X102" s="135">
        <f>'C7 · HSSE'!X23</f>
        <v/>
      </c>
      <c r="Y102" s="135">
        <f>'C7 · HSSE'!Y23</f>
        <v/>
      </c>
      <c r="Z102" s="135">
        <f>'C7 · HSSE'!Z23</f>
        <v/>
      </c>
      <c r="AA102" s="135">
        <f>'C7 · HSSE'!AA23</f>
        <v/>
      </c>
      <c r="AB102" s="135">
        <f>'C7 · HSSE'!AB23</f>
        <v/>
      </c>
      <c r="AC102" s="135">
        <f>'C7 · HSSE'!AC23</f>
        <v/>
      </c>
      <c r="AD102" s="135">
        <f>'C7 · HSSE'!AD23</f>
        <v/>
      </c>
      <c r="AE102" s="135">
        <f>'C7 · HSSE'!AE23</f>
        <v/>
      </c>
      <c r="AF102" s="135">
        <f>'C7 · HSSE'!AF23</f>
        <v/>
      </c>
      <c r="AG102" s="135">
        <f>'C7 · HSSE'!AG23</f>
        <v/>
      </c>
      <c r="AH102" s="135">
        <f>'C7 · HSSE'!AH23</f>
        <v/>
      </c>
      <c r="AI102" s="135">
        <f>'C7 · HSSE'!AI23</f>
        <v/>
      </c>
      <c r="AJ102" s="135">
        <f>'C7 · HSSE'!AJ23</f>
        <v/>
      </c>
      <c r="AK102" s="135">
        <f>'C7 · HSSE'!AK23</f>
        <v/>
      </c>
      <c r="AL102" s="135">
        <f>'C7 · HSSE'!AL23</f>
        <v/>
      </c>
      <c r="AM102" s="135">
        <f>'C7 · HSSE'!AM23</f>
        <v/>
      </c>
    </row>
    <row r="103">
      <c r="B103" s="133" t="inlineStr">
        <is>
          <t>kpi.hsse.action_close</t>
        </is>
      </c>
      <c r="C103" s="133" t="inlineStr">
        <is>
          <t>AVG</t>
        </is>
      </c>
      <c r="D103" s="135">
        <f>'C7 · HSSE'!D24</f>
        <v/>
      </c>
      <c r="E103" s="135">
        <f>'C7 · HSSE'!E24</f>
        <v/>
      </c>
      <c r="F103" s="135">
        <f>'C7 · HSSE'!F24</f>
        <v/>
      </c>
      <c r="G103" s="135">
        <f>'C7 · HSSE'!G24</f>
        <v/>
      </c>
      <c r="H103" s="135">
        <f>'C7 · HSSE'!H24</f>
        <v/>
      </c>
      <c r="I103" s="135">
        <f>'C7 · HSSE'!I24</f>
        <v/>
      </c>
      <c r="J103" s="135">
        <f>'C7 · HSSE'!J24</f>
        <v/>
      </c>
      <c r="K103" s="135">
        <f>'C7 · HSSE'!K24</f>
        <v/>
      </c>
      <c r="L103" s="135">
        <f>'C7 · HSSE'!L24</f>
        <v/>
      </c>
      <c r="M103" s="135">
        <f>'C7 · HSSE'!M24</f>
        <v/>
      </c>
      <c r="N103" s="135">
        <f>'C7 · HSSE'!N24</f>
        <v/>
      </c>
      <c r="O103" s="135">
        <f>'C7 · HSSE'!O24</f>
        <v/>
      </c>
      <c r="P103" s="135">
        <f>'C7 · HSSE'!P24</f>
        <v/>
      </c>
      <c r="Q103" s="135">
        <f>'C7 · HSSE'!Q24</f>
        <v/>
      </c>
      <c r="R103" s="135">
        <f>'C7 · HSSE'!R24</f>
        <v/>
      </c>
      <c r="S103" s="135">
        <f>'C7 · HSSE'!S24</f>
        <v/>
      </c>
      <c r="T103" s="135">
        <f>'C7 · HSSE'!T24</f>
        <v/>
      </c>
      <c r="U103" s="135">
        <f>'C7 · HSSE'!U24</f>
        <v/>
      </c>
      <c r="V103" s="135">
        <f>'C7 · HSSE'!V24</f>
        <v/>
      </c>
      <c r="W103" s="135">
        <f>'C7 · HSSE'!W24</f>
        <v/>
      </c>
      <c r="X103" s="135">
        <f>'C7 · HSSE'!X24</f>
        <v/>
      </c>
      <c r="Y103" s="135">
        <f>'C7 · HSSE'!Y24</f>
        <v/>
      </c>
      <c r="Z103" s="135">
        <f>'C7 · HSSE'!Z24</f>
        <v/>
      </c>
      <c r="AA103" s="135">
        <f>'C7 · HSSE'!AA24</f>
        <v/>
      </c>
      <c r="AB103" s="135">
        <f>'C7 · HSSE'!AB24</f>
        <v/>
      </c>
      <c r="AC103" s="135">
        <f>'C7 · HSSE'!AC24</f>
        <v/>
      </c>
      <c r="AD103" s="135">
        <f>'C7 · HSSE'!AD24</f>
        <v/>
      </c>
      <c r="AE103" s="135">
        <f>'C7 · HSSE'!AE24</f>
        <v/>
      </c>
      <c r="AF103" s="135">
        <f>'C7 · HSSE'!AF24</f>
        <v/>
      </c>
      <c r="AG103" s="135">
        <f>'C7 · HSSE'!AG24</f>
        <v/>
      </c>
      <c r="AH103" s="135">
        <f>'C7 · HSSE'!AH24</f>
        <v/>
      </c>
      <c r="AI103" s="135">
        <f>'C7 · HSSE'!AI24</f>
        <v/>
      </c>
      <c r="AJ103" s="135">
        <f>'C7 · HSSE'!AJ24</f>
        <v/>
      </c>
      <c r="AK103" s="135">
        <f>'C7 · HSSE'!AK24</f>
        <v/>
      </c>
      <c r="AL103" s="135">
        <f>'C7 · HSSE'!AL24</f>
        <v/>
      </c>
      <c r="AM103" s="135">
        <f>'C7 · HSSE'!AM24</f>
        <v/>
      </c>
    </row>
    <row r="104">
      <c r="B104" s="133" t="inlineStr">
        <is>
          <t>kpi.hsse.audits</t>
        </is>
      </c>
      <c r="C104" s="133" t="inlineStr">
        <is>
          <t>SUM</t>
        </is>
      </c>
      <c r="D104" s="134">
        <f>'C7 · HSSE'!D25</f>
        <v/>
      </c>
      <c r="E104" s="134">
        <f>'C7 · HSSE'!E25</f>
        <v/>
      </c>
      <c r="F104" s="134">
        <f>'C7 · HSSE'!F25</f>
        <v/>
      </c>
      <c r="G104" s="134">
        <f>'C7 · HSSE'!G25</f>
        <v/>
      </c>
      <c r="H104" s="134">
        <f>'C7 · HSSE'!H25</f>
        <v/>
      </c>
      <c r="I104" s="134">
        <f>'C7 · HSSE'!I25</f>
        <v/>
      </c>
      <c r="J104" s="134">
        <f>'C7 · HSSE'!J25</f>
        <v/>
      </c>
      <c r="K104" s="134">
        <f>'C7 · HSSE'!K25</f>
        <v/>
      </c>
      <c r="L104" s="134">
        <f>'C7 · HSSE'!L25</f>
        <v/>
      </c>
      <c r="M104" s="134">
        <f>'C7 · HSSE'!M25</f>
        <v/>
      </c>
      <c r="N104" s="134">
        <f>'C7 · HSSE'!N25</f>
        <v/>
      </c>
      <c r="O104" s="134">
        <f>'C7 · HSSE'!O25</f>
        <v/>
      </c>
      <c r="P104" s="134">
        <f>'C7 · HSSE'!P25</f>
        <v/>
      </c>
      <c r="Q104" s="134">
        <f>'C7 · HSSE'!Q25</f>
        <v/>
      </c>
      <c r="R104" s="134">
        <f>'C7 · HSSE'!R25</f>
        <v/>
      </c>
      <c r="S104" s="134">
        <f>'C7 · HSSE'!S25</f>
        <v/>
      </c>
      <c r="T104" s="134">
        <f>'C7 · HSSE'!T25</f>
        <v/>
      </c>
      <c r="U104" s="134">
        <f>'C7 · HSSE'!U25</f>
        <v/>
      </c>
      <c r="V104" s="134">
        <f>'C7 · HSSE'!V25</f>
        <v/>
      </c>
      <c r="W104" s="134">
        <f>'C7 · HSSE'!W25</f>
        <v/>
      </c>
      <c r="X104" s="134">
        <f>'C7 · HSSE'!X25</f>
        <v/>
      </c>
      <c r="Y104" s="134">
        <f>'C7 · HSSE'!Y25</f>
        <v/>
      </c>
      <c r="Z104" s="134">
        <f>'C7 · HSSE'!Z25</f>
        <v/>
      </c>
      <c r="AA104" s="134">
        <f>'C7 · HSSE'!AA25</f>
        <v/>
      </c>
      <c r="AB104" s="134">
        <f>'C7 · HSSE'!AB25</f>
        <v/>
      </c>
      <c r="AC104" s="134">
        <f>'C7 · HSSE'!AC25</f>
        <v/>
      </c>
      <c r="AD104" s="134">
        <f>'C7 · HSSE'!AD25</f>
        <v/>
      </c>
      <c r="AE104" s="134">
        <f>'C7 · HSSE'!AE25</f>
        <v/>
      </c>
      <c r="AF104" s="134">
        <f>'C7 · HSSE'!AF25</f>
        <v/>
      </c>
      <c r="AG104" s="134">
        <f>'C7 · HSSE'!AG25</f>
        <v/>
      </c>
      <c r="AH104" s="134">
        <f>'C7 · HSSE'!AH25</f>
        <v/>
      </c>
      <c r="AI104" s="134">
        <f>'C7 · HSSE'!AI25</f>
        <v/>
      </c>
      <c r="AJ104" s="134">
        <f>'C7 · HSSE'!AJ25</f>
        <v/>
      </c>
      <c r="AK104" s="134">
        <f>'C7 · HSSE'!AK25</f>
        <v/>
      </c>
      <c r="AL104" s="134">
        <f>'C7 · HSSE'!AL25</f>
        <v/>
      </c>
      <c r="AM104" s="134">
        <f>'C7 · HSSE'!AM25</f>
        <v/>
      </c>
    </row>
    <row r="105">
      <c r="B105" s="133" t="inlineStr">
        <is>
          <t>kpi.hsse.train_cover</t>
        </is>
      </c>
      <c r="C105" s="133" t="inlineStr">
        <is>
          <t>AVG</t>
        </is>
      </c>
      <c r="D105" s="135">
        <f>'C7 · HSSE'!D26</f>
        <v/>
      </c>
      <c r="E105" s="135">
        <f>'C7 · HSSE'!E26</f>
        <v/>
      </c>
      <c r="F105" s="135">
        <f>'C7 · HSSE'!F26</f>
        <v/>
      </c>
      <c r="G105" s="135">
        <f>'C7 · HSSE'!G26</f>
        <v/>
      </c>
      <c r="H105" s="135">
        <f>'C7 · HSSE'!H26</f>
        <v/>
      </c>
      <c r="I105" s="135">
        <f>'C7 · HSSE'!I26</f>
        <v/>
      </c>
      <c r="J105" s="135">
        <f>'C7 · HSSE'!J26</f>
        <v/>
      </c>
      <c r="K105" s="135">
        <f>'C7 · HSSE'!K26</f>
        <v/>
      </c>
      <c r="L105" s="135">
        <f>'C7 · HSSE'!L26</f>
        <v/>
      </c>
      <c r="M105" s="135">
        <f>'C7 · HSSE'!M26</f>
        <v/>
      </c>
      <c r="N105" s="135">
        <f>'C7 · HSSE'!N26</f>
        <v/>
      </c>
      <c r="O105" s="135">
        <f>'C7 · HSSE'!O26</f>
        <v/>
      </c>
      <c r="P105" s="135">
        <f>'C7 · HSSE'!P26</f>
        <v/>
      </c>
      <c r="Q105" s="135">
        <f>'C7 · HSSE'!Q26</f>
        <v/>
      </c>
      <c r="R105" s="135">
        <f>'C7 · HSSE'!R26</f>
        <v/>
      </c>
      <c r="S105" s="135">
        <f>'C7 · HSSE'!S26</f>
        <v/>
      </c>
      <c r="T105" s="135">
        <f>'C7 · HSSE'!T26</f>
        <v/>
      </c>
      <c r="U105" s="135">
        <f>'C7 · HSSE'!U26</f>
        <v/>
      </c>
      <c r="V105" s="135">
        <f>'C7 · HSSE'!V26</f>
        <v/>
      </c>
      <c r="W105" s="135">
        <f>'C7 · HSSE'!W26</f>
        <v/>
      </c>
      <c r="X105" s="135">
        <f>'C7 · HSSE'!X26</f>
        <v/>
      </c>
      <c r="Y105" s="135">
        <f>'C7 · HSSE'!Y26</f>
        <v/>
      </c>
      <c r="Z105" s="135">
        <f>'C7 · HSSE'!Z26</f>
        <v/>
      </c>
      <c r="AA105" s="135">
        <f>'C7 · HSSE'!AA26</f>
        <v/>
      </c>
      <c r="AB105" s="135">
        <f>'C7 · HSSE'!AB26</f>
        <v/>
      </c>
      <c r="AC105" s="135">
        <f>'C7 · HSSE'!AC26</f>
        <v/>
      </c>
      <c r="AD105" s="135">
        <f>'C7 · HSSE'!AD26</f>
        <v/>
      </c>
      <c r="AE105" s="135">
        <f>'C7 · HSSE'!AE26</f>
        <v/>
      </c>
      <c r="AF105" s="135">
        <f>'C7 · HSSE'!AF26</f>
        <v/>
      </c>
      <c r="AG105" s="135">
        <f>'C7 · HSSE'!AG26</f>
        <v/>
      </c>
      <c r="AH105" s="135">
        <f>'C7 · HSSE'!AH26</f>
        <v/>
      </c>
      <c r="AI105" s="135">
        <f>'C7 · HSSE'!AI26</f>
        <v/>
      </c>
      <c r="AJ105" s="135">
        <f>'C7 · HSSE'!AJ26</f>
        <v/>
      </c>
      <c r="AK105" s="135">
        <f>'C7 · HSSE'!AK26</f>
        <v/>
      </c>
      <c r="AL105" s="135">
        <f>'C7 · HSSE'!AL26</f>
        <v/>
      </c>
      <c r="AM105" s="135">
        <f>'C7 · HSSE'!AM26</f>
        <v/>
      </c>
    </row>
    <row r="106">
      <c r="B106" s="133" t="inlineStr">
        <is>
          <t>kpi.fac.prev_corr</t>
        </is>
      </c>
      <c r="C106" s="133" t="inlineStr">
        <is>
          <t>AVG</t>
        </is>
      </c>
      <c r="D106" s="135">
        <f>'C8 · Facility'!D8</f>
        <v/>
      </c>
      <c r="E106" s="135">
        <f>'C8 · Facility'!E8</f>
        <v/>
      </c>
      <c r="F106" s="135">
        <f>'C8 · Facility'!F8</f>
        <v/>
      </c>
      <c r="G106" s="135">
        <f>'C8 · Facility'!G8</f>
        <v/>
      </c>
      <c r="H106" s="135">
        <f>'C8 · Facility'!H8</f>
        <v/>
      </c>
      <c r="I106" s="135">
        <f>'C8 · Facility'!I8</f>
        <v/>
      </c>
      <c r="J106" s="135">
        <f>'C8 · Facility'!J8</f>
        <v/>
      </c>
      <c r="K106" s="135">
        <f>'C8 · Facility'!K8</f>
        <v/>
      </c>
      <c r="L106" s="135">
        <f>'C8 · Facility'!L8</f>
        <v/>
      </c>
      <c r="M106" s="135">
        <f>'C8 · Facility'!M8</f>
        <v/>
      </c>
      <c r="N106" s="135">
        <f>'C8 · Facility'!N8</f>
        <v/>
      </c>
      <c r="O106" s="135">
        <f>'C8 · Facility'!O8</f>
        <v/>
      </c>
      <c r="P106" s="135">
        <f>'C8 · Facility'!P8</f>
        <v/>
      </c>
      <c r="Q106" s="135">
        <f>'C8 · Facility'!Q8</f>
        <v/>
      </c>
      <c r="R106" s="135">
        <f>'C8 · Facility'!R8</f>
        <v/>
      </c>
      <c r="S106" s="135">
        <f>'C8 · Facility'!S8</f>
        <v/>
      </c>
      <c r="T106" s="135">
        <f>'C8 · Facility'!T8</f>
        <v/>
      </c>
      <c r="U106" s="135">
        <f>'C8 · Facility'!U8</f>
        <v/>
      </c>
      <c r="V106" s="135">
        <f>'C8 · Facility'!V8</f>
        <v/>
      </c>
      <c r="W106" s="135">
        <f>'C8 · Facility'!W8</f>
        <v/>
      </c>
      <c r="X106" s="135">
        <f>'C8 · Facility'!X8</f>
        <v/>
      </c>
      <c r="Y106" s="135">
        <f>'C8 · Facility'!Y8</f>
        <v/>
      </c>
      <c r="Z106" s="135">
        <f>'C8 · Facility'!Z8</f>
        <v/>
      </c>
      <c r="AA106" s="135">
        <f>'C8 · Facility'!AA8</f>
        <v/>
      </c>
      <c r="AB106" s="135">
        <f>'C8 · Facility'!AB8</f>
        <v/>
      </c>
      <c r="AC106" s="135">
        <f>'C8 · Facility'!AC8</f>
        <v/>
      </c>
      <c r="AD106" s="135">
        <f>'C8 · Facility'!AD8</f>
        <v/>
      </c>
      <c r="AE106" s="135">
        <f>'C8 · Facility'!AE8</f>
        <v/>
      </c>
      <c r="AF106" s="135">
        <f>'C8 · Facility'!AF8</f>
        <v/>
      </c>
      <c r="AG106" s="135">
        <f>'C8 · Facility'!AG8</f>
        <v/>
      </c>
      <c r="AH106" s="135">
        <f>'C8 · Facility'!AH8</f>
        <v/>
      </c>
      <c r="AI106" s="135">
        <f>'C8 · Facility'!AI8</f>
        <v/>
      </c>
      <c r="AJ106" s="135">
        <f>'C8 · Facility'!AJ8</f>
        <v/>
      </c>
      <c r="AK106" s="135">
        <f>'C8 · Facility'!AK8</f>
        <v/>
      </c>
      <c r="AL106" s="135">
        <f>'C8 · Facility'!AL8</f>
        <v/>
      </c>
      <c r="AM106" s="135">
        <f>'C8 · Facility'!AM8</f>
        <v/>
      </c>
    </row>
    <row r="107">
      <c r="B107" s="133" t="inlineStr">
        <is>
          <t>kpi.fac.wo_prev</t>
        </is>
      </c>
      <c r="C107" s="133" t="inlineStr">
        <is>
          <t>SUM</t>
        </is>
      </c>
      <c r="D107" s="134">
        <f>'C8 · Facility'!D9</f>
        <v/>
      </c>
      <c r="E107" s="134">
        <f>'C8 · Facility'!E9</f>
        <v/>
      </c>
      <c r="F107" s="134">
        <f>'C8 · Facility'!F9</f>
        <v/>
      </c>
      <c r="G107" s="134">
        <f>'C8 · Facility'!G9</f>
        <v/>
      </c>
      <c r="H107" s="134">
        <f>'C8 · Facility'!H9</f>
        <v/>
      </c>
      <c r="I107" s="134">
        <f>'C8 · Facility'!I9</f>
        <v/>
      </c>
      <c r="J107" s="134">
        <f>'C8 · Facility'!J9</f>
        <v/>
      </c>
      <c r="K107" s="134">
        <f>'C8 · Facility'!K9</f>
        <v/>
      </c>
      <c r="L107" s="134">
        <f>'C8 · Facility'!L9</f>
        <v/>
      </c>
      <c r="M107" s="134">
        <f>'C8 · Facility'!M9</f>
        <v/>
      </c>
      <c r="N107" s="134">
        <f>'C8 · Facility'!N9</f>
        <v/>
      </c>
      <c r="O107" s="134">
        <f>'C8 · Facility'!O9</f>
        <v/>
      </c>
      <c r="P107" s="134">
        <f>'C8 · Facility'!P9</f>
        <v/>
      </c>
      <c r="Q107" s="134">
        <f>'C8 · Facility'!Q9</f>
        <v/>
      </c>
      <c r="R107" s="134">
        <f>'C8 · Facility'!R9</f>
        <v/>
      </c>
      <c r="S107" s="134">
        <f>'C8 · Facility'!S9</f>
        <v/>
      </c>
      <c r="T107" s="134">
        <f>'C8 · Facility'!T9</f>
        <v/>
      </c>
      <c r="U107" s="134">
        <f>'C8 · Facility'!U9</f>
        <v/>
      </c>
      <c r="V107" s="134">
        <f>'C8 · Facility'!V9</f>
        <v/>
      </c>
      <c r="W107" s="134">
        <f>'C8 · Facility'!W9</f>
        <v/>
      </c>
      <c r="X107" s="134">
        <f>'C8 · Facility'!X9</f>
        <v/>
      </c>
      <c r="Y107" s="134">
        <f>'C8 · Facility'!Y9</f>
        <v/>
      </c>
      <c r="Z107" s="134">
        <f>'C8 · Facility'!Z9</f>
        <v/>
      </c>
      <c r="AA107" s="134">
        <f>'C8 · Facility'!AA9</f>
        <v/>
      </c>
      <c r="AB107" s="134">
        <f>'C8 · Facility'!AB9</f>
        <v/>
      </c>
      <c r="AC107" s="134">
        <f>'C8 · Facility'!AC9</f>
        <v/>
      </c>
      <c r="AD107" s="134">
        <f>'C8 · Facility'!AD9</f>
        <v/>
      </c>
      <c r="AE107" s="134">
        <f>'C8 · Facility'!AE9</f>
        <v/>
      </c>
      <c r="AF107" s="134">
        <f>'C8 · Facility'!AF9</f>
        <v/>
      </c>
      <c r="AG107" s="134">
        <f>'C8 · Facility'!AG9</f>
        <v/>
      </c>
      <c r="AH107" s="134">
        <f>'C8 · Facility'!AH9</f>
        <v/>
      </c>
      <c r="AI107" s="134">
        <f>'C8 · Facility'!AI9</f>
        <v/>
      </c>
      <c r="AJ107" s="134">
        <f>'C8 · Facility'!AJ9</f>
        <v/>
      </c>
      <c r="AK107" s="134">
        <f>'C8 · Facility'!AK9</f>
        <v/>
      </c>
      <c r="AL107" s="134">
        <f>'C8 · Facility'!AL9</f>
        <v/>
      </c>
      <c r="AM107" s="134">
        <f>'C8 · Facility'!AM9</f>
        <v/>
      </c>
    </row>
    <row r="108">
      <c r="B108" s="133" t="inlineStr">
        <is>
          <t>kpi.fac.wo_corr</t>
        </is>
      </c>
      <c r="C108" s="133" t="inlineStr">
        <is>
          <t>SUM</t>
        </is>
      </c>
      <c r="D108" s="134">
        <f>'C8 · Facility'!D10</f>
        <v/>
      </c>
      <c r="E108" s="134">
        <f>'C8 · Facility'!E10</f>
        <v/>
      </c>
      <c r="F108" s="134">
        <f>'C8 · Facility'!F10</f>
        <v/>
      </c>
      <c r="G108" s="134">
        <f>'C8 · Facility'!G10</f>
        <v/>
      </c>
      <c r="H108" s="134">
        <f>'C8 · Facility'!H10</f>
        <v/>
      </c>
      <c r="I108" s="134">
        <f>'C8 · Facility'!I10</f>
        <v/>
      </c>
      <c r="J108" s="134">
        <f>'C8 · Facility'!J10</f>
        <v/>
      </c>
      <c r="K108" s="134">
        <f>'C8 · Facility'!K10</f>
        <v/>
      </c>
      <c r="L108" s="134">
        <f>'C8 · Facility'!L10</f>
        <v/>
      </c>
      <c r="M108" s="134">
        <f>'C8 · Facility'!M10</f>
        <v/>
      </c>
      <c r="N108" s="134">
        <f>'C8 · Facility'!N10</f>
        <v/>
      </c>
      <c r="O108" s="134">
        <f>'C8 · Facility'!O10</f>
        <v/>
      </c>
      <c r="P108" s="134">
        <f>'C8 · Facility'!P10</f>
        <v/>
      </c>
      <c r="Q108" s="134">
        <f>'C8 · Facility'!Q10</f>
        <v/>
      </c>
      <c r="R108" s="134">
        <f>'C8 · Facility'!R10</f>
        <v/>
      </c>
      <c r="S108" s="134">
        <f>'C8 · Facility'!S10</f>
        <v/>
      </c>
      <c r="T108" s="134">
        <f>'C8 · Facility'!T10</f>
        <v/>
      </c>
      <c r="U108" s="134">
        <f>'C8 · Facility'!U10</f>
        <v/>
      </c>
      <c r="V108" s="134">
        <f>'C8 · Facility'!V10</f>
        <v/>
      </c>
      <c r="W108" s="134">
        <f>'C8 · Facility'!W10</f>
        <v/>
      </c>
      <c r="X108" s="134">
        <f>'C8 · Facility'!X10</f>
        <v/>
      </c>
      <c r="Y108" s="134">
        <f>'C8 · Facility'!Y10</f>
        <v/>
      </c>
      <c r="Z108" s="134">
        <f>'C8 · Facility'!Z10</f>
        <v/>
      </c>
      <c r="AA108" s="134">
        <f>'C8 · Facility'!AA10</f>
        <v/>
      </c>
      <c r="AB108" s="134">
        <f>'C8 · Facility'!AB10</f>
        <v/>
      </c>
      <c r="AC108" s="134">
        <f>'C8 · Facility'!AC10</f>
        <v/>
      </c>
      <c r="AD108" s="134">
        <f>'C8 · Facility'!AD10</f>
        <v/>
      </c>
      <c r="AE108" s="134">
        <f>'C8 · Facility'!AE10</f>
        <v/>
      </c>
      <c r="AF108" s="134">
        <f>'C8 · Facility'!AF10</f>
        <v/>
      </c>
      <c r="AG108" s="134">
        <f>'C8 · Facility'!AG10</f>
        <v/>
      </c>
      <c r="AH108" s="134">
        <f>'C8 · Facility'!AH10</f>
        <v/>
      </c>
      <c r="AI108" s="134">
        <f>'C8 · Facility'!AI10</f>
        <v/>
      </c>
      <c r="AJ108" s="134">
        <f>'C8 · Facility'!AJ10</f>
        <v/>
      </c>
      <c r="AK108" s="134">
        <f>'C8 · Facility'!AK10</f>
        <v/>
      </c>
      <c r="AL108" s="134">
        <f>'C8 · Facility'!AL10</f>
        <v/>
      </c>
      <c r="AM108" s="134">
        <f>'C8 · Facility'!AM10</f>
        <v/>
      </c>
    </row>
    <row r="109">
      <c r="B109" s="133" t="inlineStr">
        <is>
          <t>kpi.fac.ot_backlog</t>
        </is>
      </c>
      <c r="C109" s="133" t="inlineStr">
        <is>
          <t>LAST</t>
        </is>
      </c>
      <c r="D109" s="134">
        <f>'C8 · Facility'!D11</f>
        <v/>
      </c>
      <c r="E109" s="134">
        <f>'C8 · Facility'!E11</f>
        <v/>
      </c>
      <c r="F109" s="134">
        <f>'C8 · Facility'!F11</f>
        <v/>
      </c>
      <c r="G109" s="134">
        <f>'C8 · Facility'!G11</f>
        <v/>
      </c>
      <c r="H109" s="134">
        <f>'C8 · Facility'!H11</f>
        <v/>
      </c>
      <c r="I109" s="134">
        <f>'C8 · Facility'!I11</f>
        <v/>
      </c>
      <c r="J109" s="134">
        <f>'C8 · Facility'!J11</f>
        <v/>
      </c>
      <c r="K109" s="134">
        <f>'C8 · Facility'!K11</f>
        <v/>
      </c>
      <c r="L109" s="134">
        <f>'C8 · Facility'!L11</f>
        <v/>
      </c>
      <c r="M109" s="134">
        <f>'C8 · Facility'!M11</f>
        <v/>
      </c>
      <c r="N109" s="134">
        <f>'C8 · Facility'!N11</f>
        <v/>
      </c>
      <c r="O109" s="134">
        <f>'C8 · Facility'!O11</f>
        <v/>
      </c>
      <c r="P109" s="134">
        <f>'C8 · Facility'!P11</f>
        <v/>
      </c>
      <c r="Q109" s="134">
        <f>'C8 · Facility'!Q11</f>
        <v/>
      </c>
      <c r="R109" s="134">
        <f>'C8 · Facility'!R11</f>
        <v/>
      </c>
      <c r="S109" s="134">
        <f>'C8 · Facility'!S11</f>
        <v/>
      </c>
      <c r="T109" s="134">
        <f>'C8 · Facility'!T11</f>
        <v/>
      </c>
      <c r="U109" s="134">
        <f>'C8 · Facility'!U11</f>
        <v/>
      </c>
      <c r="V109" s="134">
        <f>'C8 · Facility'!V11</f>
        <v/>
      </c>
      <c r="W109" s="134">
        <f>'C8 · Facility'!W11</f>
        <v/>
      </c>
      <c r="X109" s="134">
        <f>'C8 · Facility'!X11</f>
        <v/>
      </c>
      <c r="Y109" s="134">
        <f>'C8 · Facility'!Y11</f>
        <v/>
      </c>
      <c r="Z109" s="134">
        <f>'C8 · Facility'!Z11</f>
        <v/>
      </c>
      <c r="AA109" s="134">
        <f>'C8 · Facility'!AA11</f>
        <v/>
      </c>
      <c r="AB109" s="134">
        <f>'C8 · Facility'!AB11</f>
        <v/>
      </c>
      <c r="AC109" s="134">
        <f>'C8 · Facility'!AC11</f>
        <v/>
      </c>
      <c r="AD109" s="134">
        <f>'C8 · Facility'!AD11</f>
        <v/>
      </c>
      <c r="AE109" s="134">
        <f>'C8 · Facility'!AE11</f>
        <v/>
      </c>
      <c r="AF109" s="134">
        <f>'C8 · Facility'!AF11</f>
        <v/>
      </c>
      <c r="AG109" s="134">
        <f>'C8 · Facility'!AG11</f>
        <v/>
      </c>
      <c r="AH109" s="134">
        <f>'C8 · Facility'!AH11</f>
        <v/>
      </c>
      <c r="AI109" s="134">
        <f>'C8 · Facility'!AI11</f>
        <v/>
      </c>
      <c r="AJ109" s="134">
        <f>'C8 · Facility'!AJ11</f>
        <v/>
      </c>
      <c r="AK109" s="134">
        <f>'C8 · Facility'!AK11</f>
        <v/>
      </c>
      <c r="AL109" s="134">
        <f>'C8 · Facility'!AL11</f>
        <v/>
      </c>
      <c r="AM109" s="134">
        <f>'C8 · Facility'!AM11</f>
        <v/>
      </c>
    </row>
    <row r="110">
      <c r="B110" s="133" t="inlineStr">
        <is>
          <t>kpi.fac.mttr</t>
        </is>
      </c>
      <c r="C110" s="133" t="inlineStr">
        <is>
          <t>AVG</t>
        </is>
      </c>
      <c r="D110" s="134">
        <f>'C8 · Facility'!D12</f>
        <v/>
      </c>
      <c r="E110" s="134">
        <f>'C8 · Facility'!E12</f>
        <v/>
      </c>
      <c r="F110" s="134">
        <f>'C8 · Facility'!F12</f>
        <v/>
      </c>
      <c r="G110" s="134">
        <f>'C8 · Facility'!G12</f>
        <v/>
      </c>
      <c r="H110" s="134">
        <f>'C8 · Facility'!H12</f>
        <v/>
      </c>
      <c r="I110" s="134">
        <f>'C8 · Facility'!I12</f>
        <v/>
      </c>
      <c r="J110" s="134">
        <f>'C8 · Facility'!J12</f>
        <v/>
      </c>
      <c r="K110" s="134">
        <f>'C8 · Facility'!K12</f>
        <v/>
      </c>
      <c r="L110" s="134">
        <f>'C8 · Facility'!L12</f>
        <v/>
      </c>
      <c r="M110" s="134">
        <f>'C8 · Facility'!M12</f>
        <v/>
      </c>
      <c r="N110" s="134">
        <f>'C8 · Facility'!N12</f>
        <v/>
      </c>
      <c r="O110" s="134">
        <f>'C8 · Facility'!O12</f>
        <v/>
      </c>
      <c r="P110" s="134">
        <f>'C8 · Facility'!P12</f>
        <v/>
      </c>
      <c r="Q110" s="134">
        <f>'C8 · Facility'!Q12</f>
        <v/>
      </c>
      <c r="R110" s="134">
        <f>'C8 · Facility'!R12</f>
        <v/>
      </c>
      <c r="S110" s="134">
        <f>'C8 · Facility'!S12</f>
        <v/>
      </c>
      <c r="T110" s="134">
        <f>'C8 · Facility'!T12</f>
        <v/>
      </c>
      <c r="U110" s="134">
        <f>'C8 · Facility'!U12</f>
        <v/>
      </c>
      <c r="V110" s="134">
        <f>'C8 · Facility'!V12</f>
        <v/>
      </c>
      <c r="W110" s="134">
        <f>'C8 · Facility'!W12</f>
        <v/>
      </c>
      <c r="X110" s="134">
        <f>'C8 · Facility'!X12</f>
        <v/>
      </c>
      <c r="Y110" s="134">
        <f>'C8 · Facility'!Y12</f>
        <v/>
      </c>
      <c r="Z110" s="134">
        <f>'C8 · Facility'!Z12</f>
        <v/>
      </c>
      <c r="AA110" s="134">
        <f>'C8 · Facility'!AA12</f>
        <v/>
      </c>
      <c r="AB110" s="134">
        <f>'C8 · Facility'!AB12</f>
        <v/>
      </c>
      <c r="AC110" s="134">
        <f>'C8 · Facility'!AC12</f>
        <v/>
      </c>
      <c r="AD110" s="134">
        <f>'C8 · Facility'!AD12</f>
        <v/>
      </c>
      <c r="AE110" s="134">
        <f>'C8 · Facility'!AE12</f>
        <v/>
      </c>
      <c r="AF110" s="134">
        <f>'C8 · Facility'!AF12</f>
        <v/>
      </c>
      <c r="AG110" s="134">
        <f>'C8 · Facility'!AG12</f>
        <v/>
      </c>
      <c r="AH110" s="134">
        <f>'C8 · Facility'!AH12</f>
        <v/>
      </c>
      <c r="AI110" s="134">
        <f>'C8 · Facility'!AI12</f>
        <v/>
      </c>
      <c r="AJ110" s="134">
        <f>'C8 · Facility'!AJ12</f>
        <v/>
      </c>
      <c r="AK110" s="134">
        <f>'C8 · Facility'!AK12</f>
        <v/>
      </c>
      <c r="AL110" s="134">
        <f>'C8 · Facility'!AL12</f>
        <v/>
      </c>
      <c r="AM110" s="134">
        <f>'C8 · Facility'!AM12</f>
        <v/>
      </c>
    </row>
    <row r="111">
      <c r="B111" s="133" t="inlineStr">
        <is>
          <t>kpi.fac.ot_opened</t>
        </is>
      </c>
      <c r="C111" s="133" t="inlineStr">
        <is>
          <t>SUM</t>
        </is>
      </c>
      <c r="D111" s="134">
        <f>'C8 · Facility'!D13</f>
        <v/>
      </c>
      <c r="E111" s="134">
        <f>'C8 · Facility'!E13</f>
        <v/>
      </c>
      <c r="F111" s="134">
        <f>'C8 · Facility'!F13</f>
        <v/>
      </c>
      <c r="G111" s="134">
        <f>'C8 · Facility'!G13</f>
        <v/>
      </c>
      <c r="H111" s="134">
        <f>'C8 · Facility'!H13</f>
        <v/>
      </c>
      <c r="I111" s="134">
        <f>'C8 · Facility'!I13</f>
        <v/>
      </c>
      <c r="J111" s="134">
        <f>'C8 · Facility'!J13</f>
        <v/>
      </c>
      <c r="K111" s="134">
        <f>'C8 · Facility'!K13</f>
        <v/>
      </c>
      <c r="L111" s="134">
        <f>'C8 · Facility'!L13</f>
        <v/>
      </c>
      <c r="M111" s="134">
        <f>'C8 · Facility'!M13</f>
        <v/>
      </c>
      <c r="N111" s="134">
        <f>'C8 · Facility'!N13</f>
        <v/>
      </c>
      <c r="O111" s="134">
        <f>'C8 · Facility'!O13</f>
        <v/>
      </c>
      <c r="P111" s="134">
        <f>'C8 · Facility'!P13</f>
        <v/>
      </c>
      <c r="Q111" s="134">
        <f>'C8 · Facility'!Q13</f>
        <v/>
      </c>
      <c r="R111" s="134">
        <f>'C8 · Facility'!R13</f>
        <v/>
      </c>
      <c r="S111" s="134">
        <f>'C8 · Facility'!S13</f>
        <v/>
      </c>
      <c r="T111" s="134">
        <f>'C8 · Facility'!T13</f>
        <v/>
      </c>
      <c r="U111" s="134">
        <f>'C8 · Facility'!U13</f>
        <v/>
      </c>
      <c r="V111" s="134">
        <f>'C8 · Facility'!V13</f>
        <v/>
      </c>
      <c r="W111" s="134">
        <f>'C8 · Facility'!W13</f>
        <v/>
      </c>
      <c r="X111" s="134">
        <f>'C8 · Facility'!X13</f>
        <v/>
      </c>
      <c r="Y111" s="134">
        <f>'C8 · Facility'!Y13</f>
        <v/>
      </c>
      <c r="Z111" s="134">
        <f>'C8 · Facility'!Z13</f>
        <v/>
      </c>
      <c r="AA111" s="134">
        <f>'C8 · Facility'!AA13</f>
        <v/>
      </c>
      <c r="AB111" s="134">
        <f>'C8 · Facility'!AB13</f>
        <v/>
      </c>
      <c r="AC111" s="134">
        <f>'C8 · Facility'!AC13</f>
        <v/>
      </c>
      <c r="AD111" s="134">
        <f>'C8 · Facility'!AD13</f>
        <v/>
      </c>
      <c r="AE111" s="134">
        <f>'C8 · Facility'!AE13</f>
        <v/>
      </c>
      <c r="AF111" s="134">
        <f>'C8 · Facility'!AF13</f>
        <v/>
      </c>
      <c r="AG111" s="134">
        <f>'C8 · Facility'!AG13</f>
        <v/>
      </c>
      <c r="AH111" s="134">
        <f>'C8 · Facility'!AH13</f>
        <v/>
      </c>
      <c r="AI111" s="134">
        <f>'C8 · Facility'!AI13</f>
        <v/>
      </c>
      <c r="AJ111" s="134">
        <f>'C8 · Facility'!AJ13</f>
        <v/>
      </c>
      <c r="AK111" s="134">
        <f>'C8 · Facility'!AK13</f>
        <v/>
      </c>
      <c r="AL111" s="134">
        <f>'C8 · Facility'!AL13</f>
        <v/>
      </c>
      <c r="AM111" s="134">
        <f>'C8 · Facility'!AM13</f>
        <v/>
      </c>
    </row>
    <row r="112">
      <c r="B112" s="133" t="inlineStr">
        <is>
          <t>kpi.fac.ot_closed</t>
        </is>
      </c>
      <c r="C112" s="133" t="inlineStr">
        <is>
          <t>SUM</t>
        </is>
      </c>
      <c r="D112" s="134">
        <f>'C8 · Facility'!D14</f>
        <v/>
      </c>
      <c r="E112" s="134">
        <f>'C8 · Facility'!E14</f>
        <v/>
      </c>
      <c r="F112" s="134">
        <f>'C8 · Facility'!F14</f>
        <v/>
      </c>
      <c r="G112" s="134">
        <f>'C8 · Facility'!G14</f>
        <v/>
      </c>
      <c r="H112" s="134">
        <f>'C8 · Facility'!H14</f>
        <v/>
      </c>
      <c r="I112" s="134">
        <f>'C8 · Facility'!I14</f>
        <v/>
      </c>
      <c r="J112" s="134">
        <f>'C8 · Facility'!J14</f>
        <v/>
      </c>
      <c r="K112" s="134">
        <f>'C8 · Facility'!K14</f>
        <v/>
      </c>
      <c r="L112" s="134">
        <f>'C8 · Facility'!L14</f>
        <v/>
      </c>
      <c r="M112" s="134">
        <f>'C8 · Facility'!M14</f>
        <v/>
      </c>
      <c r="N112" s="134">
        <f>'C8 · Facility'!N14</f>
        <v/>
      </c>
      <c r="O112" s="134">
        <f>'C8 · Facility'!O14</f>
        <v/>
      </c>
      <c r="P112" s="134">
        <f>'C8 · Facility'!P14</f>
        <v/>
      </c>
      <c r="Q112" s="134">
        <f>'C8 · Facility'!Q14</f>
        <v/>
      </c>
      <c r="R112" s="134">
        <f>'C8 · Facility'!R14</f>
        <v/>
      </c>
      <c r="S112" s="134">
        <f>'C8 · Facility'!S14</f>
        <v/>
      </c>
      <c r="T112" s="134">
        <f>'C8 · Facility'!T14</f>
        <v/>
      </c>
      <c r="U112" s="134">
        <f>'C8 · Facility'!U14</f>
        <v/>
      </c>
      <c r="V112" s="134">
        <f>'C8 · Facility'!V14</f>
        <v/>
      </c>
      <c r="W112" s="134">
        <f>'C8 · Facility'!W14</f>
        <v/>
      </c>
      <c r="X112" s="134">
        <f>'C8 · Facility'!X14</f>
        <v/>
      </c>
      <c r="Y112" s="134">
        <f>'C8 · Facility'!Y14</f>
        <v/>
      </c>
      <c r="Z112" s="134">
        <f>'C8 · Facility'!Z14</f>
        <v/>
      </c>
      <c r="AA112" s="134">
        <f>'C8 · Facility'!AA14</f>
        <v/>
      </c>
      <c r="AB112" s="134">
        <f>'C8 · Facility'!AB14</f>
        <v/>
      </c>
      <c r="AC112" s="134">
        <f>'C8 · Facility'!AC14</f>
        <v/>
      </c>
      <c r="AD112" s="134">
        <f>'C8 · Facility'!AD14</f>
        <v/>
      </c>
      <c r="AE112" s="134">
        <f>'C8 · Facility'!AE14</f>
        <v/>
      </c>
      <c r="AF112" s="134">
        <f>'C8 · Facility'!AF14</f>
        <v/>
      </c>
      <c r="AG112" s="134">
        <f>'C8 · Facility'!AG14</f>
        <v/>
      </c>
      <c r="AH112" s="134">
        <f>'C8 · Facility'!AH14</f>
        <v/>
      </c>
      <c r="AI112" s="134">
        <f>'C8 · Facility'!AI14</f>
        <v/>
      </c>
      <c r="AJ112" s="134">
        <f>'C8 · Facility'!AJ14</f>
        <v/>
      </c>
      <c r="AK112" s="134">
        <f>'C8 · Facility'!AK14</f>
        <v/>
      </c>
      <c r="AL112" s="134">
        <f>'C8 · Facility'!AL14</f>
        <v/>
      </c>
      <c r="AM112" s="134">
        <f>'C8 · Facility'!AM14</f>
        <v/>
      </c>
    </row>
    <row r="113">
      <c r="B113" s="133" t="inlineStr">
        <is>
          <t>kpi.fac.energy_int</t>
        </is>
      </c>
      <c r="C113" s="133" t="inlineStr">
        <is>
          <t>RATIO</t>
        </is>
      </c>
      <c r="D113" s="134">
        <f>'C8 · Facility'!D15</f>
        <v/>
      </c>
      <c r="E113" s="134">
        <f>'C8 · Facility'!E15</f>
        <v/>
      </c>
      <c r="F113" s="134">
        <f>'C8 · Facility'!F15</f>
        <v/>
      </c>
      <c r="G113" s="134">
        <f>'C8 · Facility'!G15</f>
        <v/>
      </c>
      <c r="H113" s="134">
        <f>'C8 · Facility'!H15</f>
        <v/>
      </c>
      <c r="I113" s="134">
        <f>'C8 · Facility'!I15</f>
        <v/>
      </c>
      <c r="J113" s="134">
        <f>'C8 · Facility'!J15</f>
        <v/>
      </c>
      <c r="K113" s="134">
        <f>'C8 · Facility'!K15</f>
        <v/>
      </c>
      <c r="L113" s="134">
        <f>'C8 · Facility'!L15</f>
        <v/>
      </c>
      <c r="M113" s="134">
        <f>'C8 · Facility'!M15</f>
        <v/>
      </c>
      <c r="N113" s="134">
        <f>'C8 · Facility'!N15</f>
        <v/>
      </c>
      <c r="O113" s="134">
        <f>'C8 · Facility'!O15</f>
        <v/>
      </c>
      <c r="P113" s="134">
        <f>'C8 · Facility'!P15</f>
        <v/>
      </c>
      <c r="Q113" s="134">
        <f>'C8 · Facility'!Q15</f>
        <v/>
      </c>
      <c r="R113" s="134">
        <f>'C8 · Facility'!R15</f>
        <v/>
      </c>
      <c r="S113" s="134">
        <f>'C8 · Facility'!S15</f>
        <v/>
      </c>
      <c r="T113" s="134">
        <f>'C8 · Facility'!T15</f>
        <v/>
      </c>
      <c r="U113" s="134">
        <f>'C8 · Facility'!U15</f>
        <v/>
      </c>
      <c r="V113" s="134">
        <f>'C8 · Facility'!V15</f>
        <v/>
      </c>
      <c r="W113" s="134">
        <f>'C8 · Facility'!W15</f>
        <v/>
      </c>
      <c r="X113" s="134">
        <f>'C8 · Facility'!X15</f>
        <v/>
      </c>
      <c r="Y113" s="134">
        <f>'C8 · Facility'!Y15</f>
        <v/>
      </c>
      <c r="Z113" s="134">
        <f>'C8 · Facility'!Z15</f>
        <v/>
      </c>
      <c r="AA113" s="134">
        <f>'C8 · Facility'!AA15</f>
        <v/>
      </c>
      <c r="AB113" s="134">
        <f>'C8 · Facility'!AB15</f>
        <v/>
      </c>
      <c r="AC113" s="134">
        <f>'C8 · Facility'!AC15</f>
        <v/>
      </c>
      <c r="AD113" s="134">
        <f>'C8 · Facility'!AD15</f>
        <v/>
      </c>
      <c r="AE113" s="134">
        <f>'C8 · Facility'!AE15</f>
        <v/>
      </c>
      <c r="AF113" s="134">
        <f>'C8 · Facility'!AF15</f>
        <v/>
      </c>
      <c r="AG113" s="134">
        <f>'C8 · Facility'!AG15</f>
        <v/>
      </c>
      <c r="AH113" s="134">
        <f>'C8 · Facility'!AH15</f>
        <v/>
      </c>
      <c r="AI113" s="134">
        <f>'C8 · Facility'!AI15</f>
        <v/>
      </c>
      <c r="AJ113" s="134">
        <f>'C8 · Facility'!AJ15</f>
        <v/>
      </c>
      <c r="AK113" s="134">
        <f>'C8 · Facility'!AK15</f>
        <v/>
      </c>
      <c r="AL113" s="134">
        <f>'C8 · Facility'!AL15</f>
        <v/>
      </c>
      <c r="AM113" s="134">
        <f>'C8 · Facility'!AM15</f>
        <v/>
      </c>
    </row>
    <row r="114">
      <c r="B114" s="133" t="inlineStr">
        <is>
          <t>kpi.fac.util_cost</t>
        </is>
      </c>
      <c r="C114" s="133" t="inlineStr">
        <is>
          <t>RATIO</t>
        </is>
      </c>
      <c r="D114" s="135">
        <f>'C8 · Facility'!D16</f>
        <v/>
      </c>
      <c r="E114" s="135">
        <f>'C8 · Facility'!E16</f>
        <v/>
      </c>
      <c r="F114" s="135">
        <f>'C8 · Facility'!F16</f>
        <v/>
      </c>
      <c r="G114" s="135">
        <f>'C8 · Facility'!G16</f>
        <v/>
      </c>
      <c r="H114" s="135">
        <f>'C8 · Facility'!H16</f>
        <v/>
      </c>
      <c r="I114" s="135">
        <f>'C8 · Facility'!I16</f>
        <v/>
      </c>
      <c r="J114" s="135">
        <f>'C8 · Facility'!J16</f>
        <v/>
      </c>
      <c r="K114" s="135">
        <f>'C8 · Facility'!K16</f>
        <v/>
      </c>
      <c r="L114" s="135">
        <f>'C8 · Facility'!L16</f>
        <v/>
      </c>
      <c r="M114" s="135">
        <f>'C8 · Facility'!M16</f>
        <v/>
      </c>
      <c r="N114" s="135">
        <f>'C8 · Facility'!N16</f>
        <v/>
      </c>
      <c r="O114" s="135">
        <f>'C8 · Facility'!O16</f>
        <v/>
      </c>
      <c r="P114" s="135">
        <f>'C8 · Facility'!P16</f>
        <v/>
      </c>
      <c r="Q114" s="135">
        <f>'C8 · Facility'!Q16</f>
        <v/>
      </c>
      <c r="R114" s="135">
        <f>'C8 · Facility'!R16</f>
        <v/>
      </c>
      <c r="S114" s="135">
        <f>'C8 · Facility'!S16</f>
        <v/>
      </c>
      <c r="T114" s="135">
        <f>'C8 · Facility'!T16</f>
        <v/>
      </c>
      <c r="U114" s="135">
        <f>'C8 · Facility'!U16</f>
        <v/>
      </c>
      <c r="V114" s="135">
        <f>'C8 · Facility'!V16</f>
        <v/>
      </c>
      <c r="W114" s="135">
        <f>'C8 · Facility'!W16</f>
        <v/>
      </c>
      <c r="X114" s="135">
        <f>'C8 · Facility'!X16</f>
        <v/>
      </c>
      <c r="Y114" s="135">
        <f>'C8 · Facility'!Y16</f>
        <v/>
      </c>
      <c r="Z114" s="135">
        <f>'C8 · Facility'!Z16</f>
        <v/>
      </c>
      <c r="AA114" s="135">
        <f>'C8 · Facility'!AA16</f>
        <v/>
      </c>
      <c r="AB114" s="135">
        <f>'C8 · Facility'!AB16</f>
        <v/>
      </c>
      <c r="AC114" s="135">
        <f>'C8 · Facility'!AC16</f>
        <v/>
      </c>
      <c r="AD114" s="135">
        <f>'C8 · Facility'!AD16</f>
        <v/>
      </c>
      <c r="AE114" s="135">
        <f>'C8 · Facility'!AE16</f>
        <v/>
      </c>
      <c r="AF114" s="135">
        <f>'C8 · Facility'!AF16</f>
        <v/>
      </c>
      <c r="AG114" s="135">
        <f>'C8 · Facility'!AG16</f>
        <v/>
      </c>
      <c r="AH114" s="135">
        <f>'C8 · Facility'!AH16</f>
        <v/>
      </c>
      <c r="AI114" s="135">
        <f>'C8 · Facility'!AI16</f>
        <v/>
      </c>
      <c r="AJ114" s="135">
        <f>'C8 · Facility'!AJ16</f>
        <v/>
      </c>
      <c r="AK114" s="135">
        <f>'C8 · Facility'!AK16</f>
        <v/>
      </c>
      <c r="AL114" s="135">
        <f>'C8 · Facility'!AL16</f>
        <v/>
      </c>
      <c r="AM114" s="135">
        <f>'C8 · Facility'!AM16</f>
        <v/>
      </c>
    </row>
    <row r="115">
      <c r="B115" s="133" t="inlineStr">
        <is>
          <t>kpi.fac.consumption</t>
        </is>
      </c>
      <c r="C115" s="133" t="inlineStr">
        <is>
          <t>SUM</t>
        </is>
      </c>
      <c r="D115" s="134">
        <f>'C8 · Facility'!D17</f>
        <v/>
      </c>
      <c r="E115" s="134">
        <f>'C8 · Facility'!E17</f>
        <v/>
      </c>
      <c r="F115" s="134">
        <f>'C8 · Facility'!F17</f>
        <v/>
      </c>
      <c r="G115" s="134">
        <f>'C8 · Facility'!G17</f>
        <v/>
      </c>
      <c r="H115" s="134">
        <f>'C8 · Facility'!H17</f>
        <v/>
      </c>
      <c r="I115" s="134">
        <f>'C8 · Facility'!I17</f>
        <v/>
      </c>
      <c r="J115" s="134">
        <f>'C8 · Facility'!J17</f>
        <v/>
      </c>
      <c r="K115" s="134">
        <f>'C8 · Facility'!K17</f>
        <v/>
      </c>
      <c r="L115" s="134">
        <f>'C8 · Facility'!L17</f>
        <v/>
      </c>
      <c r="M115" s="134">
        <f>'C8 · Facility'!M17</f>
        <v/>
      </c>
      <c r="N115" s="134">
        <f>'C8 · Facility'!N17</f>
        <v/>
      </c>
      <c r="O115" s="134">
        <f>'C8 · Facility'!O17</f>
        <v/>
      </c>
      <c r="P115" s="134">
        <f>'C8 · Facility'!P17</f>
        <v/>
      </c>
      <c r="Q115" s="134">
        <f>'C8 · Facility'!Q17</f>
        <v/>
      </c>
      <c r="R115" s="134">
        <f>'C8 · Facility'!R17</f>
        <v/>
      </c>
      <c r="S115" s="134">
        <f>'C8 · Facility'!S17</f>
        <v/>
      </c>
      <c r="T115" s="134">
        <f>'C8 · Facility'!T17</f>
        <v/>
      </c>
      <c r="U115" s="134">
        <f>'C8 · Facility'!U17</f>
        <v/>
      </c>
      <c r="V115" s="134">
        <f>'C8 · Facility'!V17</f>
        <v/>
      </c>
      <c r="W115" s="134">
        <f>'C8 · Facility'!W17</f>
        <v/>
      </c>
      <c r="X115" s="134">
        <f>'C8 · Facility'!X17</f>
        <v/>
      </c>
      <c r="Y115" s="134">
        <f>'C8 · Facility'!Y17</f>
        <v/>
      </c>
      <c r="Z115" s="134">
        <f>'C8 · Facility'!Z17</f>
        <v/>
      </c>
      <c r="AA115" s="134">
        <f>'C8 · Facility'!AA17</f>
        <v/>
      </c>
      <c r="AB115" s="134">
        <f>'C8 · Facility'!AB17</f>
        <v/>
      </c>
      <c r="AC115" s="134">
        <f>'C8 · Facility'!AC17</f>
        <v/>
      </c>
      <c r="AD115" s="134">
        <f>'C8 · Facility'!AD17</f>
        <v/>
      </c>
      <c r="AE115" s="134">
        <f>'C8 · Facility'!AE17</f>
        <v/>
      </c>
      <c r="AF115" s="134">
        <f>'C8 · Facility'!AF17</f>
        <v/>
      </c>
      <c r="AG115" s="134">
        <f>'C8 · Facility'!AG17</f>
        <v/>
      </c>
      <c r="AH115" s="134">
        <f>'C8 · Facility'!AH17</f>
        <v/>
      </c>
      <c r="AI115" s="134">
        <f>'C8 · Facility'!AI17</f>
        <v/>
      </c>
      <c r="AJ115" s="134">
        <f>'C8 · Facility'!AJ17</f>
        <v/>
      </c>
      <c r="AK115" s="134">
        <f>'C8 · Facility'!AK17</f>
        <v/>
      </c>
      <c r="AL115" s="134">
        <f>'C8 · Facility'!AL17</f>
        <v/>
      </c>
      <c r="AM115" s="134">
        <f>'C8 · Facility'!AM17</f>
        <v/>
      </c>
    </row>
    <row r="116">
      <c r="B116" s="133" t="inlineStr">
        <is>
          <t>kpi.fac.capex</t>
        </is>
      </c>
      <c r="C116" s="133" t="inlineStr">
        <is>
          <t>SUM</t>
        </is>
      </c>
      <c r="D116" s="134">
        <f>'C8 · Facility'!D18</f>
        <v/>
      </c>
      <c r="E116" s="134">
        <f>'C8 · Facility'!E18</f>
        <v/>
      </c>
      <c r="F116" s="134">
        <f>'C8 · Facility'!F18</f>
        <v/>
      </c>
      <c r="G116" s="134">
        <f>'C8 · Facility'!G18</f>
        <v/>
      </c>
      <c r="H116" s="134">
        <f>'C8 · Facility'!H18</f>
        <v/>
      </c>
      <c r="I116" s="134">
        <f>'C8 · Facility'!I18</f>
        <v/>
      </c>
      <c r="J116" s="134">
        <f>'C8 · Facility'!J18</f>
        <v/>
      </c>
      <c r="K116" s="134">
        <f>'C8 · Facility'!K18</f>
        <v/>
      </c>
      <c r="L116" s="134">
        <f>'C8 · Facility'!L18</f>
        <v/>
      </c>
      <c r="M116" s="134">
        <f>'C8 · Facility'!M18</f>
        <v/>
      </c>
      <c r="N116" s="134">
        <f>'C8 · Facility'!N18</f>
        <v/>
      </c>
      <c r="O116" s="134">
        <f>'C8 · Facility'!O18</f>
        <v/>
      </c>
      <c r="P116" s="134">
        <f>'C8 · Facility'!P18</f>
        <v/>
      </c>
      <c r="Q116" s="134">
        <f>'C8 · Facility'!Q18</f>
        <v/>
      </c>
      <c r="R116" s="134">
        <f>'C8 · Facility'!R18</f>
        <v/>
      </c>
      <c r="S116" s="134">
        <f>'C8 · Facility'!S18</f>
        <v/>
      </c>
      <c r="T116" s="134">
        <f>'C8 · Facility'!T18</f>
        <v/>
      </c>
      <c r="U116" s="134">
        <f>'C8 · Facility'!U18</f>
        <v/>
      </c>
      <c r="V116" s="134">
        <f>'C8 · Facility'!V18</f>
        <v/>
      </c>
      <c r="W116" s="134">
        <f>'C8 · Facility'!W18</f>
        <v/>
      </c>
      <c r="X116" s="134">
        <f>'C8 · Facility'!X18</f>
        <v/>
      </c>
      <c r="Y116" s="134">
        <f>'C8 · Facility'!Y18</f>
        <v/>
      </c>
      <c r="Z116" s="134">
        <f>'C8 · Facility'!Z18</f>
        <v/>
      </c>
      <c r="AA116" s="134">
        <f>'C8 · Facility'!AA18</f>
        <v/>
      </c>
      <c r="AB116" s="134">
        <f>'C8 · Facility'!AB18</f>
        <v/>
      </c>
      <c r="AC116" s="134">
        <f>'C8 · Facility'!AC18</f>
        <v/>
      </c>
      <c r="AD116" s="134">
        <f>'C8 · Facility'!AD18</f>
        <v/>
      </c>
      <c r="AE116" s="134">
        <f>'C8 · Facility'!AE18</f>
        <v/>
      </c>
      <c r="AF116" s="134">
        <f>'C8 · Facility'!AF18</f>
        <v/>
      </c>
      <c r="AG116" s="134">
        <f>'C8 · Facility'!AG18</f>
        <v/>
      </c>
      <c r="AH116" s="134">
        <f>'C8 · Facility'!AH18</f>
        <v/>
      </c>
      <c r="AI116" s="134">
        <f>'C8 · Facility'!AI18</f>
        <v/>
      </c>
      <c r="AJ116" s="134">
        <f>'C8 · Facility'!AJ18</f>
        <v/>
      </c>
      <c r="AK116" s="134">
        <f>'C8 · Facility'!AK18</f>
        <v/>
      </c>
      <c r="AL116" s="134">
        <f>'C8 · Facility'!AL18</f>
        <v/>
      </c>
      <c r="AM116" s="134">
        <f>'C8 · Facility'!AM18</f>
        <v/>
      </c>
    </row>
    <row r="117">
      <c r="B117" s="133" t="inlineStr">
        <is>
          <t>kpi.fac.capex_var</t>
        </is>
      </c>
      <c r="C117" s="133" t="inlineStr">
        <is>
          <t>RATIO</t>
        </is>
      </c>
      <c r="D117" s="135">
        <f>'C8 · Facility'!D19</f>
        <v/>
      </c>
      <c r="E117" s="135">
        <f>'C8 · Facility'!E19</f>
        <v/>
      </c>
      <c r="F117" s="135">
        <f>'C8 · Facility'!F19</f>
        <v/>
      </c>
      <c r="G117" s="135">
        <f>'C8 · Facility'!G19</f>
        <v/>
      </c>
      <c r="H117" s="135">
        <f>'C8 · Facility'!H19</f>
        <v/>
      </c>
      <c r="I117" s="135">
        <f>'C8 · Facility'!I19</f>
        <v/>
      </c>
      <c r="J117" s="135">
        <f>'C8 · Facility'!J19</f>
        <v/>
      </c>
      <c r="K117" s="135">
        <f>'C8 · Facility'!K19</f>
        <v/>
      </c>
      <c r="L117" s="135">
        <f>'C8 · Facility'!L19</f>
        <v/>
      </c>
      <c r="M117" s="135">
        <f>'C8 · Facility'!M19</f>
        <v/>
      </c>
      <c r="N117" s="135">
        <f>'C8 · Facility'!N19</f>
        <v/>
      </c>
      <c r="O117" s="135">
        <f>'C8 · Facility'!O19</f>
        <v/>
      </c>
      <c r="P117" s="135">
        <f>'C8 · Facility'!P19</f>
        <v/>
      </c>
      <c r="Q117" s="135">
        <f>'C8 · Facility'!Q19</f>
        <v/>
      </c>
      <c r="R117" s="135">
        <f>'C8 · Facility'!R19</f>
        <v/>
      </c>
      <c r="S117" s="135">
        <f>'C8 · Facility'!S19</f>
        <v/>
      </c>
      <c r="T117" s="135">
        <f>'C8 · Facility'!T19</f>
        <v/>
      </c>
      <c r="U117" s="135">
        <f>'C8 · Facility'!U19</f>
        <v/>
      </c>
      <c r="V117" s="135">
        <f>'C8 · Facility'!V19</f>
        <v/>
      </c>
      <c r="W117" s="135">
        <f>'C8 · Facility'!W19</f>
        <v/>
      </c>
      <c r="X117" s="135">
        <f>'C8 · Facility'!X19</f>
        <v/>
      </c>
      <c r="Y117" s="135">
        <f>'C8 · Facility'!Y19</f>
        <v/>
      </c>
      <c r="Z117" s="135">
        <f>'C8 · Facility'!Z19</f>
        <v/>
      </c>
      <c r="AA117" s="135">
        <f>'C8 · Facility'!AA19</f>
        <v/>
      </c>
      <c r="AB117" s="135">
        <f>'C8 · Facility'!AB19</f>
        <v/>
      </c>
      <c r="AC117" s="135">
        <f>'C8 · Facility'!AC19</f>
        <v/>
      </c>
      <c r="AD117" s="135">
        <f>'C8 · Facility'!AD19</f>
        <v/>
      </c>
      <c r="AE117" s="135">
        <f>'C8 · Facility'!AE19</f>
        <v/>
      </c>
      <c r="AF117" s="135">
        <f>'C8 · Facility'!AF19</f>
        <v/>
      </c>
      <c r="AG117" s="135">
        <f>'C8 · Facility'!AG19</f>
        <v/>
      </c>
      <c r="AH117" s="135">
        <f>'C8 · Facility'!AH19</f>
        <v/>
      </c>
      <c r="AI117" s="135">
        <f>'C8 · Facility'!AI19</f>
        <v/>
      </c>
      <c r="AJ117" s="135">
        <f>'C8 · Facility'!AJ19</f>
        <v/>
      </c>
      <c r="AK117" s="135">
        <f>'C8 · Facility'!AK19</f>
        <v/>
      </c>
      <c r="AL117" s="135">
        <f>'C8 · Facility'!AL19</f>
        <v/>
      </c>
      <c r="AM117" s="135">
        <f>'C8 · Facility'!AM19</f>
        <v/>
      </c>
    </row>
    <row r="118">
      <c r="B118" s="133" t="inlineStr">
        <is>
          <t>kpi.fac.capex_proj</t>
        </is>
      </c>
      <c r="C118" s="133" t="inlineStr">
        <is>
          <t>LAST</t>
        </is>
      </c>
      <c r="D118" s="134">
        <f>'C8 · Facility'!D20</f>
        <v/>
      </c>
      <c r="E118" s="134">
        <f>'C8 · Facility'!E20</f>
        <v/>
      </c>
      <c r="F118" s="134">
        <f>'C8 · Facility'!F20</f>
        <v/>
      </c>
      <c r="G118" s="134">
        <f>'C8 · Facility'!G20</f>
        <v/>
      </c>
      <c r="H118" s="134">
        <f>'C8 · Facility'!H20</f>
        <v/>
      </c>
      <c r="I118" s="134">
        <f>'C8 · Facility'!I20</f>
        <v/>
      </c>
      <c r="J118" s="134">
        <f>'C8 · Facility'!J20</f>
        <v/>
      </c>
      <c r="K118" s="134">
        <f>'C8 · Facility'!K20</f>
        <v/>
      </c>
      <c r="L118" s="134">
        <f>'C8 · Facility'!L20</f>
        <v/>
      </c>
      <c r="M118" s="134">
        <f>'C8 · Facility'!M20</f>
        <v/>
      </c>
      <c r="N118" s="134">
        <f>'C8 · Facility'!N20</f>
        <v/>
      </c>
      <c r="O118" s="134">
        <f>'C8 · Facility'!O20</f>
        <v/>
      </c>
      <c r="P118" s="134">
        <f>'C8 · Facility'!P20</f>
        <v/>
      </c>
      <c r="Q118" s="134">
        <f>'C8 · Facility'!Q20</f>
        <v/>
      </c>
      <c r="R118" s="134">
        <f>'C8 · Facility'!R20</f>
        <v/>
      </c>
      <c r="S118" s="134">
        <f>'C8 · Facility'!S20</f>
        <v/>
      </c>
      <c r="T118" s="134">
        <f>'C8 · Facility'!T20</f>
        <v/>
      </c>
      <c r="U118" s="134">
        <f>'C8 · Facility'!U20</f>
        <v/>
      </c>
      <c r="V118" s="134">
        <f>'C8 · Facility'!V20</f>
        <v/>
      </c>
      <c r="W118" s="134">
        <f>'C8 · Facility'!W20</f>
        <v/>
      </c>
      <c r="X118" s="134">
        <f>'C8 · Facility'!X20</f>
        <v/>
      </c>
      <c r="Y118" s="134">
        <f>'C8 · Facility'!Y20</f>
        <v/>
      </c>
      <c r="Z118" s="134">
        <f>'C8 · Facility'!Z20</f>
        <v/>
      </c>
      <c r="AA118" s="134">
        <f>'C8 · Facility'!AA20</f>
        <v/>
      </c>
      <c r="AB118" s="134">
        <f>'C8 · Facility'!AB20</f>
        <v/>
      </c>
      <c r="AC118" s="134">
        <f>'C8 · Facility'!AC20</f>
        <v/>
      </c>
      <c r="AD118" s="134">
        <f>'C8 · Facility'!AD20</f>
        <v/>
      </c>
      <c r="AE118" s="134">
        <f>'C8 · Facility'!AE20</f>
        <v/>
      </c>
      <c r="AF118" s="134">
        <f>'C8 · Facility'!AF20</f>
        <v/>
      </c>
      <c r="AG118" s="134">
        <f>'C8 · Facility'!AG20</f>
        <v/>
      </c>
      <c r="AH118" s="134">
        <f>'C8 · Facility'!AH20</f>
        <v/>
      </c>
      <c r="AI118" s="134">
        <f>'C8 · Facility'!AI20</f>
        <v/>
      </c>
      <c r="AJ118" s="134">
        <f>'C8 · Facility'!AJ20</f>
        <v/>
      </c>
      <c r="AK118" s="134">
        <f>'C8 · Facility'!AK20</f>
        <v/>
      </c>
      <c r="AL118" s="134">
        <f>'C8 · Facility'!AL20</f>
        <v/>
      </c>
      <c r="AM118" s="134">
        <f>'C8 · Facility'!AM20</f>
        <v/>
      </c>
    </row>
    <row r="119">
      <c r="B119" s="133" t="inlineStr">
        <is>
          <t>kpi.fac.inspections</t>
        </is>
      </c>
      <c r="C119" s="133" t="inlineStr">
        <is>
          <t>SUM</t>
        </is>
      </c>
      <c r="D119" s="134">
        <f>'C8 · Facility'!D21</f>
        <v/>
      </c>
      <c r="E119" s="134">
        <f>'C8 · Facility'!E21</f>
        <v/>
      </c>
      <c r="F119" s="134">
        <f>'C8 · Facility'!F21</f>
        <v/>
      </c>
      <c r="G119" s="134">
        <f>'C8 · Facility'!G21</f>
        <v/>
      </c>
      <c r="H119" s="134">
        <f>'C8 · Facility'!H21</f>
        <v/>
      </c>
      <c r="I119" s="134">
        <f>'C8 · Facility'!I21</f>
        <v/>
      </c>
      <c r="J119" s="134">
        <f>'C8 · Facility'!J21</f>
        <v/>
      </c>
      <c r="K119" s="134">
        <f>'C8 · Facility'!K21</f>
        <v/>
      </c>
      <c r="L119" s="134">
        <f>'C8 · Facility'!L21</f>
        <v/>
      </c>
      <c r="M119" s="134">
        <f>'C8 · Facility'!M21</f>
        <v/>
      </c>
      <c r="N119" s="134">
        <f>'C8 · Facility'!N21</f>
        <v/>
      </c>
      <c r="O119" s="134">
        <f>'C8 · Facility'!O21</f>
        <v/>
      </c>
      <c r="P119" s="134">
        <f>'C8 · Facility'!P21</f>
        <v/>
      </c>
      <c r="Q119" s="134">
        <f>'C8 · Facility'!Q21</f>
        <v/>
      </c>
      <c r="R119" s="134">
        <f>'C8 · Facility'!R21</f>
        <v/>
      </c>
      <c r="S119" s="134">
        <f>'C8 · Facility'!S21</f>
        <v/>
      </c>
      <c r="T119" s="134">
        <f>'C8 · Facility'!T21</f>
        <v/>
      </c>
      <c r="U119" s="134">
        <f>'C8 · Facility'!U21</f>
        <v/>
      </c>
      <c r="V119" s="134">
        <f>'C8 · Facility'!V21</f>
        <v/>
      </c>
      <c r="W119" s="134">
        <f>'C8 · Facility'!W21</f>
        <v/>
      </c>
      <c r="X119" s="134">
        <f>'C8 · Facility'!X21</f>
        <v/>
      </c>
      <c r="Y119" s="134">
        <f>'C8 · Facility'!Y21</f>
        <v/>
      </c>
      <c r="Z119" s="134">
        <f>'C8 · Facility'!Z21</f>
        <v/>
      </c>
      <c r="AA119" s="134">
        <f>'C8 · Facility'!AA21</f>
        <v/>
      </c>
      <c r="AB119" s="134">
        <f>'C8 · Facility'!AB21</f>
        <v/>
      </c>
      <c r="AC119" s="134">
        <f>'C8 · Facility'!AC21</f>
        <v/>
      </c>
      <c r="AD119" s="134">
        <f>'C8 · Facility'!AD21</f>
        <v/>
      </c>
      <c r="AE119" s="134">
        <f>'C8 · Facility'!AE21</f>
        <v/>
      </c>
      <c r="AF119" s="134">
        <f>'C8 · Facility'!AF21</f>
        <v/>
      </c>
      <c r="AG119" s="134">
        <f>'C8 · Facility'!AG21</f>
        <v/>
      </c>
      <c r="AH119" s="134">
        <f>'C8 · Facility'!AH21</f>
        <v/>
      </c>
      <c r="AI119" s="134">
        <f>'C8 · Facility'!AI21</f>
        <v/>
      </c>
      <c r="AJ119" s="134">
        <f>'C8 · Facility'!AJ21</f>
        <v/>
      </c>
      <c r="AK119" s="134">
        <f>'C8 · Facility'!AK21</f>
        <v/>
      </c>
      <c r="AL119" s="134">
        <f>'C8 · Facility'!AL21</f>
        <v/>
      </c>
      <c r="AM119" s="134">
        <f>'C8 · Facility'!AM21</f>
        <v/>
      </c>
    </row>
    <row r="120">
      <c r="B120" s="133" t="inlineStr">
        <is>
          <t>kpi.fac.insp_conform</t>
        </is>
      </c>
      <c r="C120" s="133" t="inlineStr">
        <is>
          <t>AVG</t>
        </is>
      </c>
      <c r="D120" s="135">
        <f>'C8 · Facility'!D22</f>
        <v/>
      </c>
      <c r="E120" s="135">
        <f>'C8 · Facility'!E22</f>
        <v/>
      </c>
      <c r="F120" s="135">
        <f>'C8 · Facility'!F22</f>
        <v/>
      </c>
      <c r="G120" s="135">
        <f>'C8 · Facility'!G22</f>
        <v/>
      </c>
      <c r="H120" s="135">
        <f>'C8 · Facility'!H22</f>
        <v/>
      </c>
      <c r="I120" s="135">
        <f>'C8 · Facility'!I22</f>
        <v/>
      </c>
      <c r="J120" s="135">
        <f>'C8 · Facility'!J22</f>
        <v/>
      </c>
      <c r="K120" s="135">
        <f>'C8 · Facility'!K22</f>
        <v/>
      </c>
      <c r="L120" s="135">
        <f>'C8 · Facility'!L22</f>
        <v/>
      </c>
      <c r="M120" s="135">
        <f>'C8 · Facility'!M22</f>
        <v/>
      </c>
      <c r="N120" s="135">
        <f>'C8 · Facility'!N22</f>
        <v/>
      </c>
      <c r="O120" s="135">
        <f>'C8 · Facility'!O22</f>
        <v/>
      </c>
      <c r="P120" s="135">
        <f>'C8 · Facility'!P22</f>
        <v/>
      </c>
      <c r="Q120" s="135">
        <f>'C8 · Facility'!Q22</f>
        <v/>
      </c>
      <c r="R120" s="135">
        <f>'C8 · Facility'!R22</f>
        <v/>
      </c>
      <c r="S120" s="135">
        <f>'C8 · Facility'!S22</f>
        <v/>
      </c>
      <c r="T120" s="135">
        <f>'C8 · Facility'!T22</f>
        <v/>
      </c>
      <c r="U120" s="135">
        <f>'C8 · Facility'!U22</f>
        <v/>
      </c>
      <c r="V120" s="135">
        <f>'C8 · Facility'!V22</f>
        <v/>
      </c>
      <c r="W120" s="135">
        <f>'C8 · Facility'!W22</f>
        <v/>
      </c>
      <c r="X120" s="135">
        <f>'C8 · Facility'!X22</f>
        <v/>
      </c>
      <c r="Y120" s="135">
        <f>'C8 · Facility'!Y22</f>
        <v/>
      </c>
      <c r="Z120" s="135">
        <f>'C8 · Facility'!Z22</f>
        <v/>
      </c>
      <c r="AA120" s="135">
        <f>'C8 · Facility'!AA22</f>
        <v/>
      </c>
      <c r="AB120" s="135">
        <f>'C8 · Facility'!AB22</f>
        <v/>
      </c>
      <c r="AC120" s="135">
        <f>'C8 · Facility'!AC22</f>
        <v/>
      </c>
      <c r="AD120" s="135">
        <f>'C8 · Facility'!AD22</f>
        <v/>
      </c>
      <c r="AE120" s="135">
        <f>'C8 · Facility'!AE22</f>
        <v/>
      </c>
      <c r="AF120" s="135">
        <f>'C8 · Facility'!AF22</f>
        <v/>
      </c>
      <c r="AG120" s="135">
        <f>'C8 · Facility'!AG22</f>
        <v/>
      </c>
      <c r="AH120" s="135">
        <f>'C8 · Facility'!AH22</f>
        <v/>
      </c>
      <c r="AI120" s="135">
        <f>'C8 · Facility'!AI22</f>
        <v/>
      </c>
      <c r="AJ120" s="135">
        <f>'C8 · Facility'!AJ22</f>
        <v/>
      </c>
      <c r="AK120" s="135">
        <f>'C8 · Facility'!AK22</f>
        <v/>
      </c>
      <c r="AL120" s="135">
        <f>'C8 · Facility'!AL22</f>
        <v/>
      </c>
      <c r="AM120" s="135">
        <f>'C8 · Facility'!AM22</f>
        <v/>
      </c>
    </row>
    <row r="121">
      <c r="B121" s="133" t="inlineStr">
        <is>
          <t>kpi.fac.nonconform</t>
        </is>
      </c>
      <c r="C121" s="133" t="inlineStr">
        <is>
          <t>SUM</t>
        </is>
      </c>
      <c r="D121" s="134">
        <f>'C8 · Facility'!D23</f>
        <v/>
      </c>
      <c r="E121" s="134">
        <f>'C8 · Facility'!E23</f>
        <v/>
      </c>
      <c r="F121" s="134">
        <f>'C8 · Facility'!F23</f>
        <v/>
      </c>
      <c r="G121" s="134">
        <f>'C8 · Facility'!G23</f>
        <v/>
      </c>
      <c r="H121" s="134">
        <f>'C8 · Facility'!H23</f>
        <v/>
      </c>
      <c r="I121" s="134">
        <f>'C8 · Facility'!I23</f>
        <v/>
      </c>
      <c r="J121" s="134">
        <f>'C8 · Facility'!J23</f>
        <v/>
      </c>
      <c r="K121" s="134">
        <f>'C8 · Facility'!K23</f>
        <v/>
      </c>
      <c r="L121" s="134">
        <f>'C8 · Facility'!L23</f>
        <v/>
      </c>
      <c r="M121" s="134">
        <f>'C8 · Facility'!M23</f>
        <v/>
      </c>
      <c r="N121" s="134">
        <f>'C8 · Facility'!N23</f>
        <v/>
      </c>
      <c r="O121" s="134">
        <f>'C8 · Facility'!O23</f>
        <v/>
      </c>
      <c r="P121" s="134">
        <f>'C8 · Facility'!P23</f>
        <v/>
      </c>
      <c r="Q121" s="134">
        <f>'C8 · Facility'!Q23</f>
        <v/>
      </c>
      <c r="R121" s="134">
        <f>'C8 · Facility'!R23</f>
        <v/>
      </c>
      <c r="S121" s="134">
        <f>'C8 · Facility'!S23</f>
        <v/>
      </c>
      <c r="T121" s="134">
        <f>'C8 · Facility'!T23</f>
        <v/>
      </c>
      <c r="U121" s="134">
        <f>'C8 · Facility'!U23</f>
        <v/>
      </c>
      <c r="V121" s="134">
        <f>'C8 · Facility'!V23</f>
        <v/>
      </c>
      <c r="W121" s="134">
        <f>'C8 · Facility'!W23</f>
        <v/>
      </c>
      <c r="X121" s="134">
        <f>'C8 · Facility'!X23</f>
        <v/>
      </c>
      <c r="Y121" s="134">
        <f>'C8 · Facility'!Y23</f>
        <v/>
      </c>
      <c r="Z121" s="134">
        <f>'C8 · Facility'!Z23</f>
        <v/>
      </c>
      <c r="AA121" s="134">
        <f>'C8 · Facility'!AA23</f>
        <v/>
      </c>
      <c r="AB121" s="134">
        <f>'C8 · Facility'!AB23</f>
        <v/>
      </c>
      <c r="AC121" s="134">
        <f>'C8 · Facility'!AC23</f>
        <v/>
      </c>
      <c r="AD121" s="134">
        <f>'C8 · Facility'!AD23</f>
        <v/>
      </c>
      <c r="AE121" s="134">
        <f>'C8 · Facility'!AE23</f>
        <v/>
      </c>
      <c r="AF121" s="134">
        <f>'C8 · Facility'!AF23</f>
        <v/>
      </c>
      <c r="AG121" s="134">
        <f>'C8 · Facility'!AG23</f>
        <v/>
      </c>
      <c r="AH121" s="134">
        <f>'C8 · Facility'!AH23</f>
        <v/>
      </c>
      <c r="AI121" s="134">
        <f>'C8 · Facility'!AI23</f>
        <v/>
      </c>
      <c r="AJ121" s="134">
        <f>'C8 · Facility'!AJ23</f>
        <v/>
      </c>
      <c r="AK121" s="134">
        <f>'C8 · Facility'!AK23</f>
        <v/>
      </c>
      <c r="AL121" s="134">
        <f>'C8 · Facility'!AL23</f>
        <v/>
      </c>
      <c r="AM121" s="134">
        <f>'C8 · Facility'!AM23</f>
        <v/>
      </c>
    </row>
    <row r="122">
      <c r="B122" s="133" t="inlineStr">
        <is>
          <t>kpi.fac.cleanliness</t>
        </is>
      </c>
      <c r="C122" s="133" t="inlineStr">
        <is>
          <t>AVG</t>
        </is>
      </c>
      <c r="D122" s="134">
        <f>'C8 · Facility'!D24</f>
        <v/>
      </c>
      <c r="E122" s="134">
        <f>'C8 · Facility'!E24</f>
        <v/>
      </c>
      <c r="F122" s="134">
        <f>'C8 · Facility'!F24</f>
        <v/>
      </c>
      <c r="G122" s="134">
        <f>'C8 · Facility'!G24</f>
        <v/>
      </c>
      <c r="H122" s="134">
        <f>'C8 · Facility'!H24</f>
        <v/>
      </c>
      <c r="I122" s="134">
        <f>'C8 · Facility'!I24</f>
        <v/>
      </c>
      <c r="J122" s="134">
        <f>'C8 · Facility'!J24</f>
        <v/>
      </c>
      <c r="K122" s="134">
        <f>'C8 · Facility'!K24</f>
        <v/>
      </c>
      <c r="L122" s="134">
        <f>'C8 · Facility'!L24</f>
        <v/>
      </c>
      <c r="M122" s="134">
        <f>'C8 · Facility'!M24</f>
        <v/>
      </c>
      <c r="N122" s="134">
        <f>'C8 · Facility'!N24</f>
        <v/>
      </c>
      <c r="O122" s="134">
        <f>'C8 · Facility'!O24</f>
        <v/>
      </c>
      <c r="P122" s="134">
        <f>'C8 · Facility'!P24</f>
        <v/>
      </c>
      <c r="Q122" s="134">
        <f>'C8 · Facility'!Q24</f>
        <v/>
      </c>
      <c r="R122" s="134">
        <f>'C8 · Facility'!R24</f>
        <v/>
      </c>
      <c r="S122" s="134">
        <f>'C8 · Facility'!S24</f>
        <v/>
      </c>
      <c r="T122" s="134">
        <f>'C8 · Facility'!T24</f>
        <v/>
      </c>
      <c r="U122" s="134">
        <f>'C8 · Facility'!U24</f>
        <v/>
      </c>
      <c r="V122" s="134">
        <f>'C8 · Facility'!V24</f>
        <v/>
      </c>
      <c r="W122" s="134">
        <f>'C8 · Facility'!W24</f>
        <v/>
      </c>
      <c r="X122" s="134">
        <f>'C8 · Facility'!X24</f>
        <v/>
      </c>
      <c r="Y122" s="134">
        <f>'C8 · Facility'!Y24</f>
        <v/>
      </c>
      <c r="Z122" s="134">
        <f>'C8 · Facility'!Z24</f>
        <v/>
      </c>
      <c r="AA122" s="134">
        <f>'C8 · Facility'!AA24</f>
        <v/>
      </c>
      <c r="AB122" s="134">
        <f>'C8 · Facility'!AB24</f>
        <v/>
      </c>
      <c r="AC122" s="134">
        <f>'C8 · Facility'!AC24</f>
        <v/>
      </c>
      <c r="AD122" s="134">
        <f>'C8 · Facility'!AD24</f>
        <v/>
      </c>
      <c r="AE122" s="134">
        <f>'C8 · Facility'!AE24</f>
        <v/>
      </c>
      <c r="AF122" s="134">
        <f>'C8 · Facility'!AF24</f>
        <v/>
      </c>
      <c r="AG122" s="134">
        <f>'C8 · Facility'!AG24</f>
        <v/>
      </c>
      <c r="AH122" s="134">
        <f>'C8 · Facility'!AH24</f>
        <v/>
      </c>
      <c r="AI122" s="134">
        <f>'C8 · Facility'!AI24</f>
        <v/>
      </c>
      <c r="AJ122" s="134">
        <f>'C8 · Facility'!AJ24</f>
        <v/>
      </c>
      <c r="AK122" s="134">
        <f>'C8 · Facility'!AK24</f>
        <v/>
      </c>
      <c r="AL122" s="134">
        <f>'C8 · Facility'!AL24</f>
        <v/>
      </c>
      <c r="AM122" s="134">
        <f>'C8 · Facility'!AM24</f>
        <v/>
      </c>
    </row>
    <row r="123">
      <c r="B123" s="133" t="inlineStr">
        <is>
          <t>kpi.fac.hygiene_audits</t>
        </is>
      </c>
      <c r="C123" s="133" t="inlineStr">
        <is>
          <t>SUM</t>
        </is>
      </c>
      <c r="D123" s="134">
        <f>'C8 · Facility'!D25</f>
        <v/>
      </c>
      <c r="E123" s="134">
        <f>'C8 · Facility'!E25</f>
        <v/>
      </c>
      <c r="F123" s="134">
        <f>'C8 · Facility'!F25</f>
        <v/>
      </c>
      <c r="G123" s="134">
        <f>'C8 · Facility'!G25</f>
        <v/>
      </c>
      <c r="H123" s="134">
        <f>'C8 · Facility'!H25</f>
        <v/>
      </c>
      <c r="I123" s="134">
        <f>'C8 · Facility'!I25</f>
        <v/>
      </c>
      <c r="J123" s="134">
        <f>'C8 · Facility'!J25</f>
        <v/>
      </c>
      <c r="K123" s="134">
        <f>'C8 · Facility'!K25</f>
        <v/>
      </c>
      <c r="L123" s="134">
        <f>'C8 · Facility'!L25</f>
        <v/>
      </c>
      <c r="M123" s="134">
        <f>'C8 · Facility'!M25</f>
        <v/>
      </c>
      <c r="N123" s="134">
        <f>'C8 · Facility'!N25</f>
        <v/>
      </c>
      <c r="O123" s="134">
        <f>'C8 · Facility'!O25</f>
        <v/>
      </c>
      <c r="P123" s="134">
        <f>'C8 · Facility'!P25</f>
        <v/>
      </c>
      <c r="Q123" s="134">
        <f>'C8 · Facility'!Q25</f>
        <v/>
      </c>
      <c r="R123" s="134">
        <f>'C8 · Facility'!R25</f>
        <v/>
      </c>
      <c r="S123" s="134">
        <f>'C8 · Facility'!S25</f>
        <v/>
      </c>
      <c r="T123" s="134">
        <f>'C8 · Facility'!T25</f>
        <v/>
      </c>
      <c r="U123" s="134">
        <f>'C8 · Facility'!U25</f>
        <v/>
      </c>
      <c r="V123" s="134">
        <f>'C8 · Facility'!V25</f>
        <v/>
      </c>
      <c r="W123" s="134">
        <f>'C8 · Facility'!W25</f>
        <v/>
      </c>
      <c r="X123" s="134">
        <f>'C8 · Facility'!X25</f>
        <v/>
      </c>
      <c r="Y123" s="134">
        <f>'C8 · Facility'!Y25</f>
        <v/>
      </c>
      <c r="Z123" s="134">
        <f>'C8 · Facility'!Z25</f>
        <v/>
      </c>
      <c r="AA123" s="134">
        <f>'C8 · Facility'!AA25</f>
        <v/>
      </c>
      <c r="AB123" s="134">
        <f>'C8 · Facility'!AB25</f>
        <v/>
      </c>
      <c r="AC123" s="134">
        <f>'C8 · Facility'!AC25</f>
        <v/>
      </c>
      <c r="AD123" s="134">
        <f>'C8 · Facility'!AD25</f>
        <v/>
      </c>
      <c r="AE123" s="134">
        <f>'C8 · Facility'!AE25</f>
        <v/>
      </c>
      <c r="AF123" s="134">
        <f>'C8 · Facility'!AF25</f>
        <v/>
      </c>
      <c r="AG123" s="134">
        <f>'C8 · Facility'!AG25</f>
        <v/>
      </c>
      <c r="AH123" s="134">
        <f>'C8 · Facility'!AH25</f>
        <v/>
      </c>
      <c r="AI123" s="134">
        <f>'C8 · Facility'!AI25</f>
        <v/>
      </c>
      <c r="AJ123" s="134">
        <f>'C8 · Facility'!AJ25</f>
        <v/>
      </c>
      <c r="AK123" s="134">
        <f>'C8 · Facility'!AK25</f>
        <v/>
      </c>
      <c r="AL123" s="134">
        <f>'C8 · Facility'!AL25</f>
        <v/>
      </c>
      <c r="AM123" s="134">
        <f>'C8 · Facility'!AM25</f>
        <v/>
      </c>
    </row>
    <row r="124">
      <c r="B124" s="133" t="inlineStr">
        <is>
          <t>kpi.fac.clean_complaints</t>
        </is>
      </c>
      <c r="C124" s="133" t="inlineStr">
        <is>
          <t>SUM</t>
        </is>
      </c>
      <c r="D124" s="134">
        <f>'C8 · Facility'!D26</f>
        <v/>
      </c>
      <c r="E124" s="134">
        <f>'C8 · Facility'!E26</f>
        <v/>
      </c>
      <c r="F124" s="134">
        <f>'C8 · Facility'!F26</f>
        <v/>
      </c>
      <c r="G124" s="134">
        <f>'C8 · Facility'!G26</f>
        <v/>
      </c>
      <c r="H124" s="134">
        <f>'C8 · Facility'!H26</f>
        <v/>
      </c>
      <c r="I124" s="134">
        <f>'C8 · Facility'!I26</f>
        <v/>
      </c>
      <c r="J124" s="134">
        <f>'C8 · Facility'!J26</f>
        <v/>
      </c>
      <c r="K124" s="134">
        <f>'C8 · Facility'!K26</f>
        <v/>
      </c>
      <c r="L124" s="134">
        <f>'C8 · Facility'!L26</f>
        <v/>
      </c>
      <c r="M124" s="134">
        <f>'C8 · Facility'!M26</f>
        <v/>
      </c>
      <c r="N124" s="134">
        <f>'C8 · Facility'!N26</f>
        <v/>
      </c>
      <c r="O124" s="134">
        <f>'C8 · Facility'!O26</f>
        <v/>
      </c>
      <c r="P124" s="134">
        <f>'C8 · Facility'!P26</f>
        <v/>
      </c>
      <c r="Q124" s="134">
        <f>'C8 · Facility'!Q26</f>
        <v/>
      </c>
      <c r="R124" s="134">
        <f>'C8 · Facility'!R26</f>
        <v/>
      </c>
      <c r="S124" s="134">
        <f>'C8 · Facility'!S26</f>
        <v/>
      </c>
      <c r="T124" s="134">
        <f>'C8 · Facility'!T26</f>
        <v/>
      </c>
      <c r="U124" s="134">
        <f>'C8 · Facility'!U26</f>
        <v/>
      </c>
      <c r="V124" s="134">
        <f>'C8 · Facility'!V26</f>
        <v/>
      </c>
      <c r="W124" s="134">
        <f>'C8 · Facility'!W26</f>
        <v/>
      </c>
      <c r="X124" s="134">
        <f>'C8 · Facility'!X26</f>
        <v/>
      </c>
      <c r="Y124" s="134">
        <f>'C8 · Facility'!Y26</f>
        <v/>
      </c>
      <c r="Z124" s="134">
        <f>'C8 · Facility'!Z26</f>
        <v/>
      </c>
      <c r="AA124" s="134">
        <f>'C8 · Facility'!AA26</f>
        <v/>
      </c>
      <c r="AB124" s="134">
        <f>'C8 · Facility'!AB26</f>
        <v/>
      </c>
      <c r="AC124" s="134">
        <f>'C8 · Facility'!AC26</f>
        <v/>
      </c>
      <c r="AD124" s="134">
        <f>'C8 · Facility'!AD26</f>
        <v/>
      </c>
      <c r="AE124" s="134">
        <f>'C8 · Facility'!AE26</f>
        <v/>
      </c>
      <c r="AF124" s="134">
        <f>'C8 · Facility'!AF26</f>
        <v/>
      </c>
      <c r="AG124" s="134">
        <f>'C8 · Facility'!AG26</f>
        <v/>
      </c>
      <c r="AH124" s="134">
        <f>'C8 · Facility'!AH26</f>
        <v/>
      </c>
      <c r="AI124" s="134">
        <f>'C8 · Facility'!AI26</f>
        <v/>
      </c>
      <c r="AJ124" s="134">
        <f>'C8 · Facility'!AJ26</f>
        <v/>
      </c>
      <c r="AK124" s="134">
        <f>'C8 · Facility'!AK26</f>
        <v/>
      </c>
      <c r="AL124" s="134">
        <f>'C8 · Facility'!AL26</f>
        <v/>
      </c>
      <c r="AM124" s="134">
        <f>'C8 · Facility'!AM26</f>
        <v/>
      </c>
    </row>
    <row r="125">
      <c r="B125" s="133" t="inlineStr">
        <is>
          <t>kpi.fac.sla</t>
        </is>
      </c>
      <c r="C125" s="133" t="inlineStr">
        <is>
          <t>AVG</t>
        </is>
      </c>
      <c r="D125" s="135">
        <f>'C8 · Facility'!D27</f>
        <v/>
      </c>
      <c r="E125" s="135">
        <f>'C8 · Facility'!E27</f>
        <v/>
      </c>
      <c r="F125" s="135">
        <f>'C8 · Facility'!F27</f>
        <v/>
      </c>
      <c r="G125" s="135">
        <f>'C8 · Facility'!G27</f>
        <v/>
      </c>
      <c r="H125" s="135">
        <f>'C8 · Facility'!H27</f>
        <v/>
      </c>
      <c r="I125" s="135">
        <f>'C8 · Facility'!I27</f>
        <v/>
      </c>
      <c r="J125" s="135">
        <f>'C8 · Facility'!J27</f>
        <v/>
      </c>
      <c r="K125" s="135">
        <f>'C8 · Facility'!K27</f>
        <v/>
      </c>
      <c r="L125" s="135">
        <f>'C8 · Facility'!L27</f>
        <v/>
      </c>
      <c r="M125" s="135">
        <f>'C8 · Facility'!M27</f>
        <v/>
      </c>
      <c r="N125" s="135">
        <f>'C8 · Facility'!N27</f>
        <v/>
      </c>
      <c r="O125" s="135">
        <f>'C8 · Facility'!O27</f>
        <v/>
      </c>
      <c r="P125" s="135">
        <f>'C8 · Facility'!P27</f>
        <v/>
      </c>
      <c r="Q125" s="135">
        <f>'C8 · Facility'!Q27</f>
        <v/>
      </c>
      <c r="R125" s="135">
        <f>'C8 · Facility'!R27</f>
        <v/>
      </c>
      <c r="S125" s="135">
        <f>'C8 · Facility'!S27</f>
        <v/>
      </c>
      <c r="T125" s="135">
        <f>'C8 · Facility'!T27</f>
        <v/>
      </c>
      <c r="U125" s="135">
        <f>'C8 · Facility'!U27</f>
        <v/>
      </c>
      <c r="V125" s="135">
        <f>'C8 · Facility'!V27</f>
        <v/>
      </c>
      <c r="W125" s="135">
        <f>'C8 · Facility'!W27</f>
        <v/>
      </c>
      <c r="X125" s="135">
        <f>'C8 · Facility'!X27</f>
        <v/>
      </c>
      <c r="Y125" s="135">
        <f>'C8 · Facility'!Y27</f>
        <v/>
      </c>
      <c r="Z125" s="135">
        <f>'C8 · Facility'!Z27</f>
        <v/>
      </c>
      <c r="AA125" s="135">
        <f>'C8 · Facility'!AA27</f>
        <v/>
      </c>
      <c r="AB125" s="135">
        <f>'C8 · Facility'!AB27</f>
        <v/>
      </c>
      <c r="AC125" s="135">
        <f>'C8 · Facility'!AC27</f>
        <v/>
      </c>
      <c r="AD125" s="135">
        <f>'C8 · Facility'!AD27</f>
        <v/>
      </c>
      <c r="AE125" s="135">
        <f>'C8 · Facility'!AE27</f>
        <v/>
      </c>
      <c r="AF125" s="135">
        <f>'C8 · Facility'!AF27</f>
        <v/>
      </c>
      <c r="AG125" s="135">
        <f>'C8 · Facility'!AG27</f>
        <v/>
      </c>
      <c r="AH125" s="135">
        <f>'C8 · Facility'!AH27</f>
        <v/>
      </c>
      <c r="AI125" s="135">
        <f>'C8 · Facility'!AI27</f>
        <v/>
      </c>
      <c r="AJ125" s="135">
        <f>'C8 · Facility'!AJ27</f>
        <v/>
      </c>
      <c r="AK125" s="135">
        <f>'C8 · Facility'!AK27</f>
        <v/>
      </c>
      <c r="AL125" s="135">
        <f>'C8 · Facility'!AL27</f>
        <v/>
      </c>
      <c r="AM125" s="135">
        <f>'C8 · Facility'!AM27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S1:AG334"/>
  <sheetViews>
    <sheetView showGridLines="0" workbookViewId="0">
      <selection activeCell="A1" sqref="A1"/>
    </sheetView>
  </sheetViews>
  <sheetFormatPr baseColWidth="8" defaultRowHeight="15"/>
  <sheetData>
    <row r="1">
      <c r="S1">
        <f>IFERROR(IF((MATCH(P_END,HDR,0)-11+0)&lt;1,"",TEXT(INDEX(HDR,(MATCH(P_END,HDR,0)-11+0)),"mmm yy")),"")</f>
        <v/>
      </c>
      <c r="T1">
        <f>IFERROR(IF((MATCH(P_END,HDR,0)-11+1)&lt;1,"",TEXT(INDEX(HDR,(MATCH(P_END,HDR,0)-11+1)),"mmm yy")),"")</f>
        <v/>
      </c>
      <c r="U1">
        <f>IFERROR(IF((MATCH(P_END,HDR,0)-11+2)&lt;1,"",TEXT(INDEX(HDR,(MATCH(P_END,HDR,0)-11+2)),"mmm yy")),"")</f>
        <v/>
      </c>
      <c r="V1">
        <f>IFERROR(IF((MATCH(P_END,HDR,0)-11+3)&lt;1,"",TEXT(INDEX(HDR,(MATCH(P_END,HDR,0)-11+3)),"mmm yy")),"")</f>
        <v/>
      </c>
      <c r="W1">
        <f>IFERROR(IF((MATCH(P_END,HDR,0)-11+4)&lt;1,"",TEXT(INDEX(HDR,(MATCH(P_END,HDR,0)-11+4)),"mmm yy")),"")</f>
        <v/>
      </c>
      <c r="X1">
        <f>IFERROR(IF((MATCH(P_END,HDR,0)-11+5)&lt;1,"",TEXT(INDEX(HDR,(MATCH(P_END,HDR,0)-11+5)),"mmm yy")),"")</f>
        <v/>
      </c>
      <c r="Y1">
        <f>IFERROR(IF((MATCH(P_END,HDR,0)-11+6)&lt;1,"",TEXT(INDEX(HDR,(MATCH(P_END,HDR,0)-11+6)),"mmm yy")),"")</f>
        <v/>
      </c>
      <c r="Z1">
        <f>IFERROR(IF((MATCH(P_END,HDR,0)-11+7)&lt;1,"",TEXT(INDEX(HDR,(MATCH(P_END,HDR,0)-11+7)),"mmm yy")),"")</f>
        <v/>
      </c>
      <c r="AA1">
        <f>IFERROR(IF((MATCH(P_END,HDR,0)-11+8)&lt;1,"",TEXT(INDEX(HDR,(MATCH(P_END,HDR,0)-11+8)),"mmm yy")),"")</f>
        <v/>
      </c>
      <c r="AB1">
        <f>IFERROR(IF((MATCH(P_END,HDR,0)-11+9)&lt;1,"",TEXT(INDEX(HDR,(MATCH(P_END,HDR,0)-11+9)),"mmm yy")),"")</f>
        <v/>
      </c>
      <c r="AC1">
        <f>IFERROR(IF((MATCH(P_END,HDR,0)-11+10)&lt;1,"",TEXT(INDEX(HDR,(MATCH(P_END,HDR,0)-11+10)),"mmm yy")),"")</f>
        <v/>
      </c>
      <c r="AD1">
        <f>IFERROR(IF((MATCH(P_END,HDR,0)-11+11)&lt;1,"",TEXT(INDEX(HDR,(MATCH(P_END,HDR,0)-11+11)),"mmm yy")),"")</f>
        <v/>
      </c>
      <c r="AG1">
        <f>IFERROR((AVERAGEIFS('M3 · Base mensuelle'!$D$9:$AM$9,HDR,"&gt;="&amp;P_START,HDR,"&lt;="&amp;P_END)),"")</f>
        <v/>
      </c>
    </row>
    <row r="2">
      <c r="S2" s="136">
        <f>IFERROR(IF((MATCH(P_END,HDR,0)-11+0)&lt;1,NA(),INDEX('M3 · Base mensuelle'!$D$4:$AM$4,(MATCH(P_END,HDR,0)-11+0))),NA())</f>
        <v/>
      </c>
      <c r="T2" s="136">
        <f>IFERROR(IF((MATCH(P_END,HDR,0)-11+1)&lt;1,NA(),INDEX('M3 · Base mensuelle'!$D$4:$AM$4,(MATCH(P_END,HDR,0)-11+1))),NA())</f>
        <v/>
      </c>
      <c r="U2" s="136">
        <f>IFERROR(IF((MATCH(P_END,HDR,0)-11+2)&lt;1,NA(),INDEX('M3 · Base mensuelle'!$D$4:$AM$4,(MATCH(P_END,HDR,0)-11+2))),NA())</f>
        <v/>
      </c>
      <c r="V2" s="136">
        <f>IFERROR(IF((MATCH(P_END,HDR,0)-11+3)&lt;1,NA(),INDEX('M3 · Base mensuelle'!$D$4:$AM$4,(MATCH(P_END,HDR,0)-11+3))),NA())</f>
        <v/>
      </c>
      <c r="W2" s="136">
        <f>IFERROR(IF((MATCH(P_END,HDR,0)-11+4)&lt;1,NA(),INDEX('M3 · Base mensuelle'!$D$4:$AM$4,(MATCH(P_END,HDR,0)-11+4))),NA())</f>
        <v/>
      </c>
      <c r="X2" s="136">
        <f>IFERROR(IF((MATCH(P_END,HDR,0)-11+5)&lt;1,NA(),INDEX('M3 · Base mensuelle'!$D$4:$AM$4,(MATCH(P_END,HDR,0)-11+5))),NA())</f>
        <v/>
      </c>
      <c r="Y2" s="136">
        <f>IFERROR(IF((MATCH(P_END,HDR,0)-11+6)&lt;1,NA(),INDEX('M3 · Base mensuelle'!$D$4:$AM$4,(MATCH(P_END,HDR,0)-11+6))),NA())</f>
        <v/>
      </c>
      <c r="Z2" s="136">
        <f>IFERROR(IF((MATCH(P_END,HDR,0)-11+7)&lt;1,NA(),INDEX('M3 · Base mensuelle'!$D$4:$AM$4,(MATCH(P_END,HDR,0)-11+7))),NA())</f>
        <v/>
      </c>
      <c r="AA2" s="136">
        <f>IFERROR(IF((MATCH(P_END,HDR,0)-11+8)&lt;1,NA(),INDEX('M3 · Base mensuelle'!$D$4:$AM$4,(MATCH(P_END,HDR,0)-11+8))),NA())</f>
        <v/>
      </c>
      <c r="AB2" s="136">
        <f>IFERROR(IF((MATCH(P_END,HDR,0)-11+9)&lt;1,NA(),INDEX('M3 · Base mensuelle'!$D$4:$AM$4,(MATCH(P_END,HDR,0)-11+9))),NA())</f>
        <v/>
      </c>
      <c r="AC2" s="136">
        <f>IFERROR(IF((MATCH(P_END,HDR,0)-11+10)&lt;1,NA(),INDEX('M3 · Base mensuelle'!$D$4:$AM$4,(MATCH(P_END,HDR,0)-11+10))),NA())</f>
        <v/>
      </c>
      <c r="AD2" s="136">
        <f>IFERROR(IF((MATCH(P_END,HDR,0)-11+11)&lt;1,NA(),INDEX('M3 · Base mensuelle'!$D$4:$AM$4,(MATCH(P_END,HDR,0)-11+11))),NA())</f>
        <v/>
      </c>
      <c r="AG2">
        <f>MAX(0,1-'M5 · Données graphiques'!AG1)</f>
        <v/>
      </c>
    </row>
    <row r="4">
      <c r="S4">
        <f>IFERROR(IF((MATCH(P_END,HDR,0)-11+0)&lt;1,"",TEXT(INDEX(HDR,(MATCH(P_END,HDR,0)-11+0)),"mmm yy")),"")</f>
        <v/>
      </c>
      <c r="T4">
        <f>IFERROR(IF((MATCH(P_END,HDR,0)-11+1)&lt;1,"",TEXT(INDEX(HDR,(MATCH(P_END,HDR,0)-11+1)),"mmm yy")),"")</f>
        <v/>
      </c>
      <c r="U4">
        <f>IFERROR(IF((MATCH(P_END,HDR,0)-11+2)&lt;1,"",TEXT(INDEX(HDR,(MATCH(P_END,HDR,0)-11+2)),"mmm yy")),"")</f>
        <v/>
      </c>
      <c r="V4">
        <f>IFERROR(IF((MATCH(P_END,HDR,0)-11+3)&lt;1,"",TEXT(INDEX(HDR,(MATCH(P_END,HDR,0)-11+3)),"mmm yy")),"")</f>
        <v/>
      </c>
      <c r="W4">
        <f>IFERROR(IF((MATCH(P_END,HDR,0)-11+4)&lt;1,"",TEXT(INDEX(HDR,(MATCH(P_END,HDR,0)-11+4)),"mmm yy")),"")</f>
        <v/>
      </c>
      <c r="X4">
        <f>IFERROR(IF((MATCH(P_END,HDR,0)-11+5)&lt;1,"",TEXT(INDEX(HDR,(MATCH(P_END,HDR,0)-11+5)),"mmm yy")),"")</f>
        <v/>
      </c>
      <c r="Y4">
        <f>IFERROR(IF((MATCH(P_END,HDR,0)-11+6)&lt;1,"",TEXT(INDEX(HDR,(MATCH(P_END,HDR,0)-11+6)),"mmm yy")),"")</f>
        <v/>
      </c>
      <c r="Z4">
        <f>IFERROR(IF((MATCH(P_END,HDR,0)-11+7)&lt;1,"",TEXT(INDEX(HDR,(MATCH(P_END,HDR,0)-11+7)),"mmm yy")),"")</f>
        <v/>
      </c>
      <c r="AA4">
        <f>IFERROR(IF((MATCH(P_END,HDR,0)-11+8)&lt;1,"",TEXT(INDEX(HDR,(MATCH(P_END,HDR,0)-11+8)),"mmm yy")),"")</f>
        <v/>
      </c>
      <c r="AB4">
        <f>IFERROR(IF((MATCH(P_END,HDR,0)-11+9)&lt;1,"",TEXT(INDEX(HDR,(MATCH(P_END,HDR,0)-11+9)),"mmm yy")),"")</f>
        <v/>
      </c>
      <c r="AC4">
        <f>IFERROR(IF((MATCH(P_END,HDR,0)-11+10)&lt;1,"",TEXT(INDEX(HDR,(MATCH(P_END,HDR,0)-11+10)),"mmm yy")),"")</f>
        <v/>
      </c>
      <c r="AD4">
        <f>IFERROR(IF((MATCH(P_END,HDR,0)-11+11)&lt;1,"",TEXT(INDEX(HDR,(MATCH(P_END,HDR,0)-11+11)),"mmm yy")),"")</f>
        <v/>
      </c>
      <c r="AG4">
        <f>IFERROR((AVERAGEIFS('M3 · Base mensuelle'!$D$10:$AM$10,HDR,"&gt;="&amp;P_START,HDR,"&lt;="&amp;P_END)),"")</f>
        <v/>
      </c>
    </row>
    <row r="5">
      <c r="S5" s="137">
        <f>IFERROR(IF((MATCH(P_END,HDR,0)-11+0)&lt;1,NA(),INDEX('M3 · Base mensuelle'!$D$14:$AM$14,(MATCH(P_END,HDR,0)-11+0))),NA())</f>
        <v/>
      </c>
      <c r="T5" s="137">
        <f>IFERROR(IF((MATCH(P_END,HDR,0)-11+1)&lt;1,NA(),INDEX('M3 · Base mensuelle'!$D$14:$AM$14,(MATCH(P_END,HDR,0)-11+1))),NA())</f>
        <v/>
      </c>
      <c r="U5" s="137">
        <f>IFERROR(IF((MATCH(P_END,HDR,0)-11+2)&lt;1,NA(),INDEX('M3 · Base mensuelle'!$D$14:$AM$14,(MATCH(P_END,HDR,0)-11+2))),NA())</f>
        <v/>
      </c>
      <c r="V5" s="137">
        <f>IFERROR(IF((MATCH(P_END,HDR,0)-11+3)&lt;1,NA(),INDEX('M3 · Base mensuelle'!$D$14:$AM$14,(MATCH(P_END,HDR,0)-11+3))),NA())</f>
        <v/>
      </c>
      <c r="W5" s="137">
        <f>IFERROR(IF((MATCH(P_END,HDR,0)-11+4)&lt;1,NA(),INDEX('M3 · Base mensuelle'!$D$14:$AM$14,(MATCH(P_END,HDR,0)-11+4))),NA())</f>
        <v/>
      </c>
      <c r="X5" s="137">
        <f>IFERROR(IF((MATCH(P_END,HDR,0)-11+5)&lt;1,NA(),INDEX('M3 · Base mensuelle'!$D$14:$AM$14,(MATCH(P_END,HDR,0)-11+5))),NA())</f>
        <v/>
      </c>
      <c r="Y5" s="137">
        <f>IFERROR(IF((MATCH(P_END,HDR,0)-11+6)&lt;1,NA(),INDEX('M3 · Base mensuelle'!$D$14:$AM$14,(MATCH(P_END,HDR,0)-11+6))),NA())</f>
        <v/>
      </c>
      <c r="Z5" s="137">
        <f>IFERROR(IF((MATCH(P_END,HDR,0)-11+7)&lt;1,NA(),INDEX('M3 · Base mensuelle'!$D$14:$AM$14,(MATCH(P_END,HDR,0)-11+7))),NA())</f>
        <v/>
      </c>
      <c r="AA5" s="137">
        <f>IFERROR(IF((MATCH(P_END,HDR,0)-11+8)&lt;1,NA(),INDEX('M3 · Base mensuelle'!$D$14:$AM$14,(MATCH(P_END,HDR,0)-11+8))),NA())</f>
        <v/>
      </c>
      <c r="AB5" s="137">
        <f>IFERROR(IF((MATCH(P_END,HDR,0)-11+9)&lt;1,NA(),INDEX('M3 · Base mensuelle'!$D$14:$AM$14,(MATCH(P_END,HDR,0)-11+9))),NA())</f>
        <v/>
      </c>
      <c r="AC5" s="137">
        <f>IFERROR(IF((MATCH(P_END,HDR,0)-11+10)&lt;1,NA(),INDEX('M3 · Base mensuelle'!$D$14:$AM$14,(MATCH(P_END,HDR,0)-11+10))),NA())</f>
        <v/>
      </c>
      <c r="AD5" s="137">
        <f>IFERROR(IF((MATCH(P_END,HDR,0)-11+11)&lt;1,NA(),INDEX('M3 · Base mensuelle'!$D$14:$AM$14,(MATCH(P_END,HDR,0)-11+11))),NA())</f>
        <v/>
      </c>
      <c r="AG5">
        <f>MAX(0,1-'M5 · Données graphiques'!AG4)</f>
        <v/>
      </c>
    </row>
    <row r="7">
      <c r="S7">
        <f>IFERROR(IF((MATCH(P_END,HDR,0)-11+0)&lt;1,"",TEXT(INDEX(HDR,(MATCH(P_END,HDR,0)-11+0)),"mmm yy")),"")</f>
        <v/>
      </c>
      <c r="T7">
        <f>IFERROR(IF((MATCH(P_END,HDR,0)-11+1)&lt;1,"",TEXT(INDEX(HDR,(MATCH(P_END,HDR,0)-11+1)),"mmm yy")),"")</f>
        <v/>
      </c>
      <c r="U7">
        <f>IFERROR(IF((MATCH(P_END,HDR,0)-11+2)&lt;1,"",TEXT(INDEX(HDR,(MATCH(P_END,HDR,0)-11+2)),"mmm yy")),"")</f>
        <v/>
      </c>
      <c r="V7">
        <f>IFERROR(IF((MATCH(P_END,HDR,0)-11+3)&lt;1,"",TEXT(INDEX(HDR,(MATCH(P_END,HDR,0)-11+3)),"mmm yy")),"")</f>
        <v/>
      </c>
      <c r="W7">
        <f>IFERROR(IF((MATCH(P_END,HDR,0)-11+4)&lt;1,"",TEXT(INDEX(HDR,(MATCH(P_END,HDR,0)-11+4)),"mmm yy")),"")</f>
        <v/>
      </c>
      <c r="X7">
        <f>IFERROR(IF((MATCH(P_END,HDR,0)-11+5)&lt;1,"",TEXT(INDEX(HDR,(MATCH(P_END,HDR,0)-11+5)),"mmm yy")),"")</f>
        <v/>
      </c>
      <c r="Y7">
        <f>IFERROR(IF((MATCH(P_END,HDR,0)-11+6)&lt;1,"",TEXT(INDEX(HDR,(MATCH(P_END,HDR,0)-11+6)),"mmm yy")),"")</f>
        <v/>
      </c>
      <c r="Z7">
        <f>IFERROR(IF((MATCH(P_END,HDR,0)-11+7)&lt;1,"",TEXT(INDEX(HDR,(MATCH(P_END,HDR,0)-11+7)),"mmm yy")),"")</f>
        <v/>
      </c>
      <c r="AA7">
        <f>IFERROR(IF((MATCH(P_END,HDR,0)-11+8)&lt;1,"",TEXT(INDEX(HDR,(MATCH(P_END,HDR,0)-11+8)),"mmm yy")),"")</f>
        <v/>
      </c>
      <c r="AB7">
        <f>IFERROR(IF((MATCH(P_END,HDR,0)-11+9)&lt;1,"",TEXT(INDEX(HDR,(MATCH(P_END,HDR,0)-11+9)),"mmm yy")),"")</f>
        <v/>
      </c>
      <c r="AC7">
        <f>IFERROR(IF((MATCH(P_END,HDR,0)-11+10)&lt;1,"",TEXT(INDEX(HDR,(MATCH(P_END,HDR,0)-11+10)),"mmm yy")),"")</f>
        <v/>
      </c>
      <c r="AD7">
        <f>IFERROR(IF((MATCH(P_END,HDR,0)-11+11)&lt;1,"",TEXT(INDEX(HDR,(MATCH(P_END,HDR,0)-11+11)),"mmm yy")),"")</f>
        <v/>
      </c>
      <c r="AG7">
        <f>IFERROR((AVERAGEIFS('M3 · Base mensuelle'!$D$11:$AM$11,HDR,"&gt;="&amp;P_START,HDR,"&lt;="&amp;P_END)),"")</f>
        <v/>
      </c>
    </row>
    <row r="8">
      <c r="S8" s="136">
        <f>IFERROR(IF((MATCH(P_END,HDR,0)-11+0)&lt;1,NA(),INDEX('M3 · Base mensuelle'!$D$26:$AM$26,(MATCH(P_END,HDR,0)-11+0))),NA())</f>
        <v/>
      </c>
      <c r="T8" s="136">
        <f>IFERROR(IF((MATCH(P_END,HDR,0)-11+1)&lt;1,NA(),INDEX('M3 · Base mensuelle'!$D$26:$AM$26,(MATCH(P_END,HDR,0)-11+1))),NA())</f>
        <v/>
      </c>
      <c r="U8" s="136">
        <f>IFERROR(IF((MATCH(P_END,HDR,0)-11+2)&lt;1,NA(),INDEX('M3 · Base mensuelle'!$D$26:$AM$26,(MATCH(P_END,HDR,0)-11+2))),NA())</f>
        <v/>
      </c>
      <c r="V8" s="136">
        <f>IFERROR(IF((MATCH(P_END,HDR,0)-11+3)&lt;1,NA(),INDEX('M3 · Base mensuelle'!$D$26:$AM$26,(MATCH(P_END,HDR,0)-11+3))),NA())</f>
        <v/>
      </c>
      <c r="W8" s="136">
        <f>IFERROR(IF((MATCH(P_END,HDR,0)-11+4)&lt;1,NA(),INDEX('M3 · Base mensuelle'!$D$26:$AM$26,(MATCH(P_END,HDR,0)-11+4))),NA())</f>
        <v/>
      </c>
      <c r="X8" s="136">
        <f>IFERROR(IF((MATCH(P_END,HDR,0)-11+5)&lt;1,NA(),INDEX('M3 · Base mensuelle'!$D$26:$AM$26,(MATCH(P_END,HDR,0)-11+5))),NA())</f>
        <v/>
      </c>
      <c r="Y8" s="136">
        <f>IFERROR(IF((MATCH(P_END,HDR,0)-11+6)&lt;1,NA(),INDEX('M3 · Base mensuelle'!$D$26:$AM$26,(MATCH(P_END,HDR,0)-11+6))),NA())</f>
        <v/>
      </c>
      <c r="Z8" s="136">
        <f>IFERROR(IF((MATCH(P_END,HDR,0)-11+7)&lt;1,NA(),INDEX('M3 · Base mensuelle'!$D$26:$AM$26,(MATCH(P_END,HDR,0)-11+7))),NA())</f>
        <v/>
      </c>
      <c r="AA8" s="136">
        <f>IFERROR(IF((MATCH(P_END,HDR,0)-11+8)&lt;1,NA(),INDEX('M3 · Base mensuelle'!$D$26:$AM$26,(MATCH(P_END,HDR,0)-11+8))),NA())</f>
        <v/>
      </c>
      <c r="AB8" s="136">
        <f>IFERROR(IF((MATCH(P_END,HDR,0)-11+9)&lt;1,NA(),INDEX('M3 · Base mensuelle'!$D$26:$AM$26,(MATCH(P_END,HDR,0)-11+9))),NA())</f>
        <v/>
      </c>
      <c r="AC8" s="136">
        <f>IFERROR(IF((MATCH(P_END,HDR,0)-11+10)&lt;1,NA(),INDEX('M3 · Base mensuelle'!$D$26:$AM$26,(MATCH(P_END,HDR,0)-11+10))),NA())</f>
        <v/>
      </c>
      <c r="AD8" s="136">
        <f>IFERROR(IF((MATCH(P_END,HDR,0)-11+11)&lt;1,NA(),INDEX('M3 · Base mensuelle'!$D$26:$AM$26,(MATCH(P_END,HDR,0)-11+11))),NA())</f>
        <v/>
      </c>
      <c r="AG8">
        <f>MAX(0,1-'M5 · Données graphiques'!AG7)</f>
        <v/>
      </c>
    </row>
    <row r="10">
      <c r="S10">
        <f>IFERROR(IF((MATCH(P_END,HDR,0)-11+0)&lt;1,"",TEXT(INDEX(HDR,(MATCH(P_END,HDR,0)-11+0)),"mmm yy")),"")</f>
        <v/>
      </c>
      <c r="T10">
        <f>IFERROR(IF((MATCH(P_END,HDR,0)-11+1)&lt;1,"",TEXT(INDEX(HDR,(MATCH(P_END,HDR,0)-11+1)),"mmm yy")),"")</f>
        <v/>
      </c>
      <c r="U10">
        <f>IFERROR(IF((MATCH(P_END,HDR,0)-11+2)&lt;1,"",TEXT(INDEX(HDR,(MATCH(P_END,HDR,0)-11+2)),"mmm yy")),"")</f>
        <v/>
      </c>
      <c r="V10">
        <f>IFERROR(IF((MATCH(P_END,HDR,0)-11+3)&lt;1,"",TEXT(INDEX(HDR,(MATCH(P_END,HDR,0)-11+3)),"mmm yy")),"")</f>
        <v/>
      </c>
      <c r="W10">
        <f>IFERROR(IF((MATCH(P_END,HDR,0)-11+4)&lt;1,"",TEXT(INDEX(HDR,(MATCH(P_END,HDR,0)-11+4)),"mmm yy")),"")</f>
        <v/>
      </c>
      <c r="X10">
        <f>IFERROR(IF((MATCH(P_END,HDR,0)-11+5)&lt;1,"",TEXT(INDEX(HDR,(MATCH(P_END,HDR,0)-11+5)),"mmm yy")),"")</f>
        <v/>
      </c>
      <c r="Y10">
        <f>IFERROR(IF((MATCH(P_END,HDR,0)-11+6)&lt;1,"",TEXT(INDEX(HDR,(MATCH(P_END,HDR,0)-11+6)),"mmm yy")),"")</f>
        <v/>
      </c>
      <c r="Z10">
        <f>IFERROR(IF((MATCH(P_END,HDR,0)-11+7)&lt;1,"",TEXT(INDEX(HDR,(MATCH(P_END,HDR,0)-11+7)),"mmm yy")),"")</f>
        <v/>
      </c>
      <c r="AA10">
        <f>IFERROR(IF((MATCH(P_END,HDR,0)-11+8)&lt;1,"",TEXT(INDEX(HDR,(MATCH(P_END,HDR,0)-11+8)),"mmm yy")),"")</f>
        <v/>
      </c>
      <c r="AB10">
        <f>IFERROR(IF((MATCH(P_END,HDR,0)-11+9)&lt;1,"",TEXT(INDEX(HDR,(MATCH(P_END,HDR,0)-11+9)),"mmm yy")),"")</f>
        <v/>
      </c>
      <c r="AC10">
        <f>IFERROR(IF((MATCH(P_END,HDR,0)-11+10)&lt;1,"",TEXT(INDEX(HDR,(MATCH(P_END,HDR,0)-11+10)),"mmm yy")),"")</f>
        <v/>
      </c>
      <c r="AD10">
        <f>IFERROR(IF((MATCH(P_END,HDR,0)-11+11)&lt;1,"",TEXT(INDEX(HDR,(MATCH(P_END,HDR,0)-11+11)),"mmm yy")),"")</f>
        <v/>
      </c>
      <c r="AG10">
        <f>IFERROR((AVERAGEIFS('M3 · Base mensuelle'!$D$14:$AM$14,HDR,"&gt;="&amp;P_START,HDR,"&lt;="&amp;P_END)),"")</f>
        <v/>
      </c>
    </row>
    <row r="11">
      <c r="S11" s="136">
        <f>IFERROR(IF((MATCH(P_END,HDR,0)-11+0)&lt;1,NA(),INDEX('M3 · Base mensuelle'!$D$44:$AM$44,(MATCH(P_END,HDR,0)-11+0))),NA())</f>
        <v/>
      </c>
      <c r="T11" s="136">
        <f>IFERROR(IF((MATCH(P_END,HDR,0)-11+1)&lt;1,NA(),INDEX('M3 · Base mensuelle'!$D$44:$AM$44,(MATCH(P_END,HDR,0)-11+1))),NA())</f>
        <v/>
      </c>
      <c r="U11" s="136">
        <f>IFERROR(IF((MATCH(P_END,HDR,0)-11+2)&lt;1,NA(),INDEX('M3 · Base mensuelle'!$D$44:$AM$44,(MATCH(P_END,HDR,0)-11+2))),NA())</f>
        <v/>
      </c>
      <c r="V11" s="136">
        <f>IFERROR(IF((MATCH(P_END,HDR,0)-11+3)&lt;1,NA(),INDEX('M3 · Base mensuelle'!$D$44:$AM$44,(MATCH(P_END,HDR,0)-11+3))),NA())</f>
        <v/>
      </c>
      <c r="W11" s="136">
        <f>IFERROR(IF((MATCH(P_END,HDR,0)-11+4)&lt;1,NA(),INDEX('M3 · Base mensuelle'!$D$44:$AM$44,(MATCH(P_END,HDR,0)-11+4))),NA())</f>
        <v/>
      </c>
      <c r="X11" s="136">
        <f>IFERROR(IF((MATCH(P_END,HDR,0)-11+5)&lt;1,NA(),INDEX('M3 · Base mensuelle'!$D$44:$AM$44,(MATCH(P_END,HDR,0)-11+5))),NA())</f>
        <v/>
      </c>
      <c r="Y11" s="136">
        <f>IFERROR(IF((MATCH(P_END,HDR,0)-11+6)&lt;1,NA(),INDEX('M3 · Base mensuelle'!$D$44:$AM$44,(MATCH(P_END,HDR,0)-11+6))),NA())</f>
        <v/>
      </c>
      <c r="Z11" s="136">
        <f>IFERROR(IF((MATCH(P_END,HDR,0)-11+7)&lt;1,NA(),INDEX('M3 · Base mensuelle'!$D$44:$AM$44,(MATCH(P_END,HDR,0)-11+7))),NA())</f>
        <v/>
      </c>
      <c r="AA11" s="136">
        <f>IFERROR(IF((MATCH(P_END,HDR,0)-11+8)&lt;1,NA(),INDEX('M3 · Base mensuelle'!$D$44:$AM$44,(MATCH(P_END,HDR,0)-11+8))),NA())</f>
        <v/>
      </c>
      <c r="AB11" s="136">
        <f>IFERROR(IF((MATCH(P_END,HDR,0)-11+9)&lt;1,NA(),INDEX('M3 · Base mensuelle'!$D$44:$AM$44,(MATCH(P_END,HDR,0)-11+9))),NA())</f>
        <v/>
      </c>
      <c r="AC11" s="136">
        <f>IFERROR(IF((MATCH(P_END,HDR,0)-11+10)&lt;1,NA(),INDEX('M3 · Base mensuelle'!$D$44:$AM$44,(MATCH(P_END,HDR,0)-11+10))),NA())</f>
        <v/>
      </c>
      <c r="AD11" s="136">
        <f>IFERROR(IF((MATCH(P_END,HDR,0)-11+11)&lt;1,NA(),INDEX('M3 · Base mensuelle'!$D$44:$AM$44,(MATCH(P_END,HDR,0)-11+11))),NA())</f>
        <v/>
      </c>
      <c r="AG11">
        <f>MAX(0,1-'M5 · Données graphiques'!AG10)</f>
        <v/>
      </c>
    </row>
    <row r="13">
      <c r="S13">
        <f>IFERROR(IF((MATCH(P_END,HDR,0)-11+0)&lt;1,"",TEXT(INDEX(HDR,(MATCH(P_END,HDR,0)-11+0)),"mmm yy")),"")</f>
        <v/>
      </c>
      <c r="T13">
        <f>IFERROR(IF((MATCH(P_END,HDR,0)-11+1)&lt;1,"",TEXT(INDEX(HDR,(MATCH(P_END,HDR,0)-11+1)),"mmm yy")),"")</f>
        <v/>
      </c>
      <c r="U13">
        <f>IFERROR(IF((MATCH(P_END,HDR,0)-11+2)&lt;1,"",TEXT(INDEX(HDR,(MATCH(P_END,HDR,0)-11+2)),"mmm yy")),"")</f>
        <v/>
      </c>
      <c r="V13">
        <f>IFERROR(IF((MATCH(P_END,HDR,0)-11+3)&lt;1,"",TEXT(INDEX(HDR,(MATCH(P_END,HDR,0)-11+3)),"mmm yy")),"")</f>
        <v/>
      </c>
      <c r="W13">
        <f>IFERROR(IF((MATCH(P_END,HDR,0)-11+4)&lt;1,"",TEXT(INDEX(HDR,(MATCH(P_END,HDR,0)-11+4)),"mmm yy")),"")</f>
        <v/>
      </c>
      <c r="X13">
        <f>IFERROR(IF((MATCH(P_END,HDR,0)-11+5)&lt;1,"",TEXT(INDEX(HDR,(MATCH(P_END,HDR,0)-11+5)),"mmm yy")),"")</f>
        <v/>
      </c>
      <c r="Y13">
        <f>IFERROR(IF((MATCH(P_END,HDR,0)-11+6)&lt;1,"",TEXT(INDEX(HDR,(MATCH(P_END,HDR,0)-11+6)),"mmm yy")),"")</f>
        <v/>
      </c>
      <c r="Z13">
        <f>IFERROR(IF((MATCH(P_END,HDR,0)-11+7)&lt;1,"",TEXT(INDEX(HDR,(MATCH(P_END,HDR,0)-11+7)),"mmm yy")),"")</f>
        <v/>
      </c>
      <c r="AA13">
        <f>IFERROR(IF((MATCH(P_END,HDR,0)-11+8)&lt;1,"",TEXT(INDEX(HDR,(MATCH(P_END,HDR,0)-11+8)),"mmm yy")),"")</f>
        <v/>
      </c>
      <c r="AB13">
        <f>IFERROR(IF((MATCH(P_END,HDR,0)-11+9)&lt;1,"",TEXT(INDEX(HDR,(MATCH(P_END,HDR,0)-11+9)),"mmm yy")),"")</f>
        <v/>
      </c>
      <c r="AC13">
        <f>IFERROR(IF((MATCH(P_END,HDR,0)-11+10)&lt;1,"",TEXT(INDEX(HDR,(MATCH(P_END,HDR,0)-11+10)),"mmm yy")),"")</f>
        <v/>
      </c>
      <c r="AD13">
        <f>IFERROR(IF((MATCH(P_END,HDR,0)-11+11)&lt;1,"",TEXT(INDEX(HDR,(MATCH(P_END,HDR,0)-11+11)),"mmm yy")),"")</f>
        <v/>
      </c>
      <c r="AG13">
        <f>IFERROR((AVERAGEIFS('M3 · Base mensuelle'!$D$15:$AM$15,HDR,"&gt;="&amp;P_START,HDR,"&lt;="&amp;P_END)),"")</f>
        <v/>
      </c>
    </row>
    <row r="14">
      <c r="S14" s="136">
        <f>IFERROR(IF((MATCH(P_END,HDR,0)-11+0)&lt;1,NA(),INDEX('M3 · Base mensuelle'!$D$51:$AM$51,(MATCH(P_END,HDR,0)-11+0))),NA())</f>
        <v/>
      </c>
      <c r="T14" s="136">
        <f>IFERROR(IF((MATCH(P_END,HDR,0)-11+1)&lt;1,NA(),INDEX('M3 · Base mensuelle'!$D$51:$AM$51,(MATCH(P_END,HDR,0)-11+1))),NA())</f>
        <v/>
      </c>
      <c r="U14" s="136">
        <f>IFERROR(IF((MATCH(P_END,HDR,0)-11+2)&lt;1,NA(),INDEX('M3 · Base mensuelle'!$D$51:$AM$51,(MATCH(P_END,HDR,0)-11+2))),NA())</f>
        <v/>
      </c>
      <c r="V14" s="136">
        <f>IFERROR(IF((MATCH(P_END,HDR,0)-11+3)&lt;1,NA(),INDEX('M3 · Base mensuelle'!$D$51:$AM$51,(MATCH(P_END,HDR,0)-11+3))),NA())</f>
        <v/>
      </c>
      <c r="W14" s="136">
        <f>IFERROR(IF((MATCH(P_END,HDR,0)-11+4)&lt;1,NA(),INDEX('M3 · Base mensuelle'!$D$51:$AM$51,(MATCH(P_END,HDR,0)-11+4))),NA())</f>
        <v/>
      </c>
      <c r="X14" s="136">
        <f>IFERROR(IF((MATCH(P_END,HDR,0)-11+5)&lt;1,NA(),INDEX('M3 · Base mensuelle'!$D$51:$AM$51,(MATCH(P_END,HDR,0)-11+5))),NA())</f>
        <v/>
      </c>
      <c r="Y14" s="136">
        <f>IFERROR(IF((MATCH(P_END,HDR,0)-11+6)&lt;1,NA(),INDEX('M3 · Base mensuelle'!$D$51:$AM$51,(MATCH(P_END,HDR,0)-11+6))),NA())</f>
        <v/>
      </c>
      <c r="Z14" s="136">
        <f>IFERROR(IF((MATCH(P_END,HDR,0)-11+7)&lt;1,NA(),INDEX('M3 · Base mensuelle'!$D$51:$AM$51,(MATCH(P_END,HDR,0)-11+7))),NA())</f>
        <v/>
      </c>
      <c r="AA14" s="136">
        <f>IFERROR(IF((MATCH(P_END,HDR,0)-11+8)&lt;1,NA(),INDEX('M3 · Base mensuelle'!$D$51:$AM$51,(MATCH(P_END,HDR,0)-11+8))),NA())</f>
        <v/>
      </c>
      <c r="AB14" s="136">
        <f>IFERROR(IF((MATCH(P_END,HDR,0)-11+9)&lt;1,NA(),INDEX('M3 · Base mensuelle'!$D$51:$AM$51,(MATCH(P_END,HDR,0)-11+9))),NA())</f>
        <v/>
      </c>
      <c r="AC14" s="136">
        <f>IFERROR(IF((MATCH(P_END,HDR,0)-11+10)&lt;1,NA(),INDEX('M3 · Base mensuelle'!$D$51:$AM$51,(MATCH(P_END,HDR,0)-11+10))),NA())</f>
        <v/>
      </c>
      <c r="AD14" s="136">
        <f>IFERROR(IF((MATCH(P_END,HDR,0)-11+11)&lt;1,NA(),INDEX('M3 · Base mensuelle'!$D$51:$AM$51,(MATCH(P_END,HDR,0)-11+11))),NA())</f>
        <v/>
      </c>
      <c r="AG14">
        <f>MAX(0,1-'M5 · Données graphiques'!AG13)</f>
        <v/>
      </c>
    </row>
    <row r="16">
      <c r="S16">
        <f>IFERROR(IF((MATCH(P_END,HDR,0)-11+0)&lt;1,"",TEXT(INDEX(HDR,(MATCH(P_END,HDR,0)-11+0)),"mmm yy")),"")</f>
        <v/>
      </c>
      <c r="T16">
        <f>IFERROR(IF((MATCH(P_END,HDR,0)-11+1)&lt;1,"",TEXT(INDEX(HDR,(MATCH(P_END,HDR,0)-11+1)),"mmm yy")),"")</f>
        <v/>
      </c>
      <c r="U16">
        <f>IFERROR(IF((MATCH(P_END,HDR,0)-11+2)&lt;1,"",TEXT(INDEX(HDR,(MATCH(P_END,HDR,0)-11+2)),"mmm yy")),"")</f>
        <v/>
      </c>
      <c r="V16">
        <f>IFERROR(IF((MATCH(P_END,HDR,0)-11+3)&lt;1,"",TEXT(INDEX(HDR,(MATCH(P_END,HDR,0)-11+3)),"mmm yy")),"")</f>
        <v/>
      </c>
      <c r="W16">
        <f>IFERROR(IF((MATCH(P_END,HDR,0)-11+4)&lt;1,"",TEXT(INDEX(HDR,(MATCH(P_END,HDR,0)-11+4)),"mmm yy")),"")</f>
        <v/>
      </c>
      <c r="X16">
        <f>IFERROR(IF((MATCH(P_END,HDR,0)-11+5)&lt;1,"",TEXT(INDEX(HDR,(MATCH(P_END,HDR,0)-11+5)),"mmm yy")),"")</f>
        <v/>
      </c>
      <c r="Y16">
        <f>IFERROR(IF((MATCH(P_END,HDR,0)-11+6)&lt;1,"",TEXT(INDEX(HDR,(MATCH(P_END,HDR,0)-11+6)),"mmm yy")),"")</f>
        <v/>
      </c>
      <c r="Z16">
        <f>IFERROR(IF((MATCH(P_END,HDR,0)-11+7)&lt;1,"",TEXT(INDEX(HDR,(MATCH(P_END,HDR,0)-11+7)),"mmm yy")),"")</f>
        <v/>
      </c>
      <c r="AA16">
        <f>IFERROR(IF((MATCH(P_END,HDR,0)-11+8)&lt;1,"",TEXT(INDEX(HDR,(MATCH(P_END,HDR,0)-11+8)),"mmm yy")),"")</f>
        <v/>
      </c>
      <c r="AB16">
        <f>IFERROR(IF((MATCH(P_END,HDR,0)-11+9)&lt;1,"",TEXT(INDEX(HDR,(MATCH(P_END,HDR,0)-11+9)),"mmm yy")),"")</f>
        <v/>
      </c>
      <c r="AC16">
        <f>IFERROR(IF((MATCH(P_END,HDR,0)-11+10)&lt;1,"",TEXT(INDEX(HDR,(MATCH(P_END,HDR,0)-11+10)),"mmm yy")),"")</f>
        <v/>
      </c>
      <c r="AD16">
        <f>IFERROR(IF((MATCH(P_END,HDR,0)-11+11)&lt;1,"",TEXT(INDEX(HDR,(MATCH(P_END,HDR,0)-11+11)),"mmm yy")),"")</f>
        <v/>
      </c>
      <c r="AG16">
        <f>IFERROR((AVERAGEIFS('M3 · Base mensuelle'!$D$17:$AM$17,HDR,"&gt;="&amp;P_START,HDR,"&lt;="&amp;P_END)),"")</f>
        <v/>
      </c>
    </row>
    <row r="17">
      <c r="S17" s="136">
        <f>IFERROR(IF((MATCH(P_END,HDR,0)-11+0)&lt;1,NA(),INDEX('M3 · Base mensuelle'!$D$68:$AM$68,(MATCH(P_END,HDR,0)-11+0))),NA())</f>
        <v/>
      </c>
      <c r="T17" s="136">
        <f>IFERROR(IF((MATCH(P_END,HDR,0)-11+1)&lt;1,NA(),INDEX('M3 · Base mensuelle'!$D$68:$AM$68,(MATCH(P_END,HDR,0)-11+1))),NA())</f>
        <v/>
      </c>
      <c r="U17" s="136">
        <f>IFERROR(IF((MATCH(P_END,HDR,0)-11+2)&lt;1,NA(),INDEX('M3 · Base mensuelle'!$D$68:$AM$68,(MATCH(P_END,HDR,0)-11+2))),NA())</f>
        <v/>
      </c>
      <c r="V17" s="136">
        <f>IFERROR(IF((MATCH(P_END,HDR,0)-11+3)&lt;1,NA(),INDEX('M3 · Base mensuelle'!$D$68:$AM$68,(MATCH(P_END,HDR,0)-11+3))),NA())</f>
        <v/>
      </c>
      <c r="W17" s="136">
        <f>IFERROR(IF((MATCH(P_END,HDR,0)-11+4)&lt;1,NA(),INDEX('M3 · Base mensuelle'!$D$68:$AM$68,(MATCH(P_END,HDR,0)-11+4))),NA())</f>
        <v/>
      </c>
      <c r="X17" s="136">
        <f>IFERROR(IF((MATCH(P_END,HDR,0)-11+5)&lt;1,NA(),INDEX('M3 · Base mensuelle'!$D$68:$AM$68,(MATCH(P_END,HDR,0)-11+5))),NA())</f>
        <v/>
      </c>
      <c r="Y17" s="136">
        <f>IFERROR(IF((MATCH(P_END,HDR,0)-11+6)&lt;1,NA(),INDEX('M3 · Base mensuelle'!$D$68:$AM$68,(MATCH(P_END,HDR,0)-11+6))),NA())</f>
        <v/>
      </c>
      <c r="Z17" s="136">
        <f>IFERROR(IF((MATCH(P_END,HDR,0)-11+7)&lt;1,NA(),INDEX('M3 · Base mensuelle'!$D$68:$AM$68,(MATCH(P_END,HDR,0)-11+7))),NA())</f>
        <v/>
      </c>
      <c r="AA17" s="136">
        <f>IFERROR(IF((MATCH(P_END,HDR,0)-11+8)&lt;1,NA(),INDEX('M3 · Base mensuelle'!$D$68:$AM$68,(MATCH(P_END,HDR,0)-11+8))),NA())</f>
        <v/>
      </c>
      <c r="AB17" s="136">
        <f>IFERROR(IF((MATCH(P_END,HDR,0)-11+9)&lt;1,NA(),INDEX('M3 · Base mensuelle'!$D$68:$AM$68,(MATCH(P_END,HDR,0)-11+9))),NA())</f>
        <v/>
      </c>
      <c r="AC17" s="136">
        <f>IFERROR(IF((MATCH(P_END,HDR,0)-11+10)&lt;1,NA(),INDEX('M3 · Base mensuelle'!$D$68:$AM$68,(MATCH(P_END,HDR,0)-11+10))),NA())</f>
        <v/>
      </c>
      <c r="AD17" s="136">
        <f>IFERROR(IF((MATCH(P_END,HDR,0)-11+11)&lt;1,NA(),INDEX('M3 · Base mensuelle'!$D$68:$AM$68,(MATCH(P_END,HDR,0)-11+11))),NA())</f>
        <v/>
      </c>
      <c r="AG17">
        <f>MAX(0,1-'M5 · Données graphiques'!AG16)</f>
        <v/>
      </c>
    </row>
    <row r="19">
      <c r="S19">
        <f>IFERROR(IF((MATCH(P_END,HDR,0)-11+0)&lt;1,"",TEXT(INDEX(HDR,(MATCH(P_END,HDR,0)-11+0)),"mmm yy")),"")</f>
        <v/>
      </c>
      <c r="T19">
        <f>IFERROR(IF((MATCH(P_END,HDR,0)-11+1)&lt;1,"",TEXT(INDEX(HDR,(MATCH(P_END,HDR,0)-11+1)),"mmm yy")),"")</f>
        <v/>
      </c>
      <c r="U19">
        <f>IFERROR(IF((MATCH(P_END,HDR,0)-11+2)&lt;1,"",TEXT(INDEX(HDR,(MATCH(P_END,HDR,0)-11+2)),"mmm yy")),"")</f>
        <v/>
      </c>
      <c r="V19">
        <f>IFERROR(IF((MATCH(P_END,HDR,0)-11+3)&lt;1,"",TEXT(INDEX(HDR,(MATCH(P_END,HDR,0)-11+3)),"mmm yy")),"")</f>
        <v/>
      </c>
      <c r="W19">
        <f>IFERROR(IF((MATCH(P_END,HDR,0)-11+4)&lt;1,"",TEXT(INDEX(HDR,(MATCH(P_END,HDR,0)-11+4)),"mmm yy")),"")</f>
        <v/>
      </c>
      <c r="X19">
        <f>IFERROR(IF((MATCH(P_END,HDR,0)-11+5)&lt;1,"",TEXT(INDEX(HDR,(MATCH(P_END,HDR,0)-11+5)),"mmm yy")),"")</f>
        <v/>
      </c>
      <c r="Y19">
        <f>IFERROR(IF((MATCH(P_END,HDR,0)-11+6)&lt;1,"",TEXT(INDEX(HDR,(MATCH(P_END,HDR,0)-11+6)),"mmm yy")),"")</f>
        <v/>
      </c>
      <c r="Z19">
        <f>IFERROR(IF((MATCH(P_END,HDR,0)-11+7)&lt;1,"",TEXT(INDEX(HDR,(MATCH(P_END,HDR,0)-11+7)),"mmm yy")),"")</f>
        <v/>
      </c>
      <c r="AA19">
        <f>IFERROR(IF((MATCH(P_END,HDR,0)-11+8)&lt;1,"",TEXT(INDEX(HDR,(MATCH(P_END,HDR,0)-11+8)),"mmm yy")),"")</f>
        <v/>
      </c>
      <c r="AB19">
        <f>IFERROR(IF((MATCH(P_END,HDR,0)-11+9)&lt;1,"",TEXT(INDEX(HDR,(MATCH(P_END,HDR,0)-11+9)),"mmm yy")),"")</f>
        <v/>
      </c>
      <c r="AC19">
        <f>IFERROR(IF((MATCH(P_END,HDR,0)-11+10)&lt;1,"",TEXT(INDEX(HDR,(MATCH(P_END,HDR,0)-11+10)),"mmm yy")),"")</f>
        <v/>
      </c>
      <c r="AD19">
        <f>IFERROR(IF((MATCH(P_END,HDR,0)-11+11)&lt;1,"",TEXT(INDEX(HDR,(MATCH(P_END,HDR,0)-11+11)),"mmm yy")),"")</f>
        <v/>
      </c>
      <c r="AG19">
        <f>IFERROR((AVERAGEIFS('M3 · Base mensuelle'!$D$32:$AM$32,HDR,"&gt;="&amp;P_START,HDR,"&lt;="&amp;P_END)),"")</f>
        <v/>
      </c>
    </row>
    <row r="20">
      <c r="S20" s="136">
        <f>IFERROR(IF((MATCH(P_END,HDR,0)-11+0)&lt;1,NA(),INDEX('M3 · Base mensuelle'!$D$87:$AM$87,(MATCH(P_END,HDR,0)-11+0))),NA())</f>
        <v/>
      </c>
      <c r="T20" s="136">
        <f>IFERROR(IF((MATCH(P_END,HDR,0)-11+1)&lt;1,NA(),INDEX('M3 · Base mensuelle'!$D$87:$AM$87,(MATCH(P_END,HDR,0)-11+1))),NA())</f>
        <v/>
      </c>
      <c r="U20" s="136">
        <f>IFERROR(IF((MATCH(P_END,HDR,0)-11+2)&lt;1,NA(),INDEX('M3 · Base mensuelle'!$D$87:$AM$87,(MATCH(P_END,HDR,0)-11+2))),NA())</f>
        <v/>
      </c>
      <c r="V20" s="136">
        <f>IFERROR(IF((MATCH(P_END,HDR,0)-11+3)&lt;1,NA(),INDEX('M3 · Base mensuelle'!$D$87:$AM$87,(MATCH(P_END,HDR,0)-11+3))),NA())</f>
        <v/>
      </c>
      <c r="W20" s="136">
        <f>IFERROR(IF((MATCH(P_END,HDR,0)-11+4)&lt;1,NA(),INDEX('M3 · Base mensuelle'!$D$87:$AM$87,(MATCH(P_END,HDR,0)-11+4))),NA())</f>
        <v/>
      </c>
      <c r="X20" s="136">
        <f>IFERROR(IF((MATCH(P_END,HDR,0)-11+5)&lt;1,NA(),INDEX('M3 · Base mensuelle'!$D$87:$AM$87,(MATCH(P_END,HDR,0)-11+5))),NA())</f>
        <v/>
      </c>
      <c r="Y20" s="136">
        <f>IFERROR(IF((MATCH(P_END,HDR,0)-11+6)&lt;1,NA(),INDEX('M3 · Base mensuelle'!$D$87:$AM$87,(MATCH(P_END,HDR,0)-11+6))),NA())</f>
        <v/>
      </c>
      <c r="Z20" s="136">
        <f>IFERROR(IF((MATCH(P_END,HDR,0)-11+7)&lt;1,NA(),INDEX('M3 · Base mensuelle'!$D$87:$AM$87,(MATCH(P_END,HDR,0)-11+7))),NA())</f>
        <v/>
      </c>
      <c r="AA20" s="136">
        <f>IFERROR(IF((MATCH(P_END,HDR,0)-11+8)&lt;1,NA(),INDEX('M3 · Base mensuelle'!$D$87:$AM$87,(MATCH(P_END,HDR,0)-11+8))),NA())</f>
        <v/>
      </c>
      <c r="AB20" s="136">
        <f>IFERROR(IF((MATCH(P_END,HDR,0)-11+9)&lt;1,NA(),INDEX('M3 · Base mensuelle'!$D$87:$AM$87,(MATCH(P_END,HDR,0)-11+9))),NA())</f>
        <v/>
      </c>
      <c r="AC20" s="136">
        <f>IFERROR(IF((MATCH(P_END,HDR,0)-11+10)&lt;1,NA(),INDEX('M3 · Base mensuelle'!$D$87:$AM$87,(MATCH(P_END,HDR,0)-11+10))),NA())</f>
        <v/>
      </c>
      <c r="AD20" s="136">
        <f>IFERROR(IF((MATCH(P_END,HDR,0)-11+11)&lt;1,NA(),INDEX('M3 · Base mensuelle'!$D$87:$AM$87,(MATCH(P_END,HDR,0)-11+11))),NA())</f>
        <v/>
      </c>
      <c r="AG20">
        <f>MAX(0,1-'M5 · Données graphiques'!AG19)</f>
        <v/>
      </c>
    </row>
    <row r="22">
      <c r="S22">
        <f>IFERROR(IF((MATCH(P_END,HDR,0)-11+0)&lt;1,"",TEXT(INDEX(HDR,(MATCH(P_END,HDR,0)-11+0)),"mmm yy")),"")</f>
        <v/>
      </c>
      <c r="T22">
        <f>IFERROR(IF((MATCH(P_END,HDR,0)-11+1)&lt;1,"",TEXT(INDEX(HDR,(MATCH(P_END,HDR,0)-11+1)),"mmm yy")),"")</f>
        <v/>
      </c>
      <c r="U22">
        <f>IFERROR(IF((MATCH(P_END,HDR,0)-11+2)&lt;1,"",TEXT(INDEX(HDR,(MATCH(P_END,HDR,0)-11+2)),"mmm yy")),"")</f>
        <v/>
      </c>
      <c r="V22">
        <f>IFERROR(IF((MATCH(P_END,HDR,0)-11+3)&lt;1,"",TEXT(INDEX(HDR,(MATCH(P_END,HDR,0)-11+3)),"mmm yy")),"")</f>
        <v/>
      </c>
      <c r="W22">
        <f>IFERROR(IF((MATCH(P_END,HDR,0)-11+4)&lt;1,"",TEXT(INDEX(HDR,(MATCH(P_END,HDR,0)-11+4)),"mmm yy")),"")</f>
        <v/>
      </c>
      <c r="X22">
        <f>IFERROR(IF((MATCH(P_END,HDR,0)-11+5)&lt;1,"",TEXT(INDEX(HDR,(MATCH(P_END,HDR,0)-11+5)),"mmm yy")),"")</f>
        <v/>
      </c>
      <c r="Y22">
        <f>IFERROR(IF((MATCH(P_END,HDR,0)-11+6)&lt;1,"",TEXT(INDEX(HDR,(MATCH(P_END,HDR,0)-11+6)),"mmm yy")),"")</f>
        <v/>
      </c>
      <c r="Z22">
        <f>IFERROR(IF((MATCH(P_END,HDR,0)-11+7)&lt;1,"",TEXT(INDEX(HDR,(MATCH(P_END,HDR,0)-11+7)),"mmm yy")),"")</f>
        <v/>
      </c>
      <c r="AA22">
        <f>IFERROR(IF((MATCH(P_END,HDR,0)-11+8)&lt;1,"",TEXT(INDEX(HDR,(MATCH(P_END,HDR,0)-11+8)),"mmm yy")),"")</f>
        <v/>
      </c>
      <c r="AB22">
        <f>IFERROR(IF((MATCH(P_END,HDR,0)-11+9)&lt;1,"",TEXT(INDEX(HDR,(MATCH(P_END,HDR,0)-11+9)),"mmm yy")),"")</f>
        <v/>
      </c>
      <c r="AC22">
        <f>IFERROR(IF((MATCH(P_END,HDR,0)-11+10)&lt;1,"",TEXT(INDEX(HDR,(MATCH(P_END,HDR,0)-11+10)),"mmm yy")),"")</f>
        <v/>
      </c>
      <c r="AD22">
        <f>IFERROR(IF((MATCH(P_END,HDR,0)-11+11)&lt;1,"",TEXT(INDEX(HDR,(MATCH(P_END,HDR,0)-11+11)),"mmm yy")),"")</f>
        <v/>
      </c>
      <c r="AG22">
        <f>IFERROR((AVERAGEIFS('M3 · Base mensuelle'!$D$37:$AM$37,HDR,"&gt;="&amp;P_START,HDR,"&lt;="&amp;P_END)),"")</f>
        <v/>
      </c>
    </row>
    <row r="23">
      <c r="S23" s="137">
        <f>IFERROR(IF((MATCH(P_END,HDR,0)-11+0)&lt;1,NA(),INDEX('M3 · Base mensuelle'!$D$106:$AM$106,(MATCH(P_END,HDR,0)-11+0))),NA())</f>
        <v/>
      </c>
      <c r="T23" s="137">
        <f>IFERROR(IF((MATCH(P_END,HDR,0)-11+1)&lt;1,NA(),INDEX('M3 · Base mensuelle'!$D$106:$AM$106,(MATCH(P_END,HDR,0)-11+1))),NA())</f>
        <v/>
      </c>
      <c r="U23" s="137">
        <f>IFERROR(IF((MATCH(P_END,HDR,0)-11+2)&lt;1,NA(),INDEX('M3 · Base mensuelle'!$D$106:$AM$106,(MATCH(P_END,HDR,0)-11+2))),NA())</f>
        <v/>
      </c>
      <c r="V23" s="137">
        <f>IFERROR(IF((MATCH(P_END,HDR,0)-11+3)&lt;1,NA(),INDEX('M3 · Base mensuelle'!$D$106:$AM$106,(MATCH(P_END,HDR,0)-11+3))),NA())</f>
        <v/>
      </c>
      <c r="W23" s="137">
        <f>IFERROR(IF((MATCH(P_END,HDR,0)-11+4)&lt;1,NA(),INDEX('M3 · Base mensuelle'!$D$106:$AM$106,(MATCH(P_END,HDR,0)-11+4))),NA())</f>
        <v/>
      </c>
      <c r="X23" s="137">
        <f>IFERROR(IF((MATCH(P_END,HDR,0)-11+5)&lt;1,NA(),INDEX('M3 · Base mensuelle'!$D$106:$AM$106,(MATCH(P_END,HDR,0)-11+5))),NA())</f>
        <v/>
      </c>
      <c r="Y23" s="137">
        <f>IFERROR(IF((MATCH(P_END,HDR,0)-11+6)&lt;1,NA(),INDEX('M3 · Base mensuelle'!$D$106:$AM$106,(MATCH(P_END,HDR,0)-11+6))),NA())</f>
        <v/>
      </c>
      <c r="Z23" s="137">
        <f>IFERROR(IF((MATCH(P_END,HDR,0)-11+7)&lt;1,NA(),INDEX('M3 · Base mensuelle'!$D$106:$AM$106,(MATCH(P_END,HDR,0)-11+7))),NA())</f>
        <v/>
      </c>
      <c r="AA23" s="137">
        <f>IFERROR(IF((MATCH(P_END,HDR,0)-11+8)&lt;1,NA(),INDEX('M3 · Base mensuelle'!$D$106:$AM$106,(MATCH(P_END,HDR,0)-11+8))),NA())</f>
        <v/>
      </c>
      <c r="AB23" s="137">
        <f>IFERROR(IF((MATCH(P_END,HDR,0)-11+9)&lt;1,NA(),INDEX('M3 · Base mensuelle'!$D$106:$AM$106,(MATCH(P_END,HDR,0)-11+9))),NA())</f>
        <v/>
      </c>
      <c r="AC23" s="137">
        <f>IFERROR(IF((MATCH(P_END,HDR,0)-11+10)&lt;1,NA(),INDEX('M3 · Base mensuelle'!$D$106:$AM$106,(MATCH(P_END,HDR,0)-11+10))),NA())</f>
        <v/>
      </c>
      <c r="AD23" s="137">
        <f>IFERROR(IF((MATCH(P_END,HDR,0)-11+11)&lt;1,NA(),INDEX('M3 · Base mensuelle'!$D$106:$AM$106,(MATCH(P_END,HDR,0)-11+11))),NA())</f>
        <v/>
      </c>
      <c r="AG23">
        <f>MAX(0,1-'M5 · Données graphiques'!AG22)</f>
        <v/>
      </c>
    </row>
    <row r="25">
      <c r="AG25">
        <f>IFERROR((AVERAGEIFS('M3 · Base mensuelle'!$D$39:$AM$39,HDR,"&gt;="&amp;P_START,HDR,"&lt;="&amp;P_END)),"")</f>
        <v/>
      </c>
    </row>
    <row r="26">
      <c r="AG26">
        <f>MAX(0,1-'M5 · Données graphiques'!AG25)</f>
        <v/>
      </c>
    </row>
    <row r="28">
      <c r="AG28">
        <f>IFERROR((AVERAGEIFS('M3 · Base mensuelle'!$D$45:$AM$45,HDR,"&gt;="&amp;P_START,HDR,"&lt;="&amp;P_END)),"")</f>
        <v/>
      </c>
    </row>
    <row r="29">
      <c r="AG29">
        <f>MAX(0,1-'M5 · Données graphiques'!AG28)</f>
        <v/>
      </c>
    </row>
    <row r="31">
      <c r="AG31">
        <f>IFERROR((AVERAGEIFS('M3 · Base mensuelle'!$D$47:$AM$47,HDR,"&gt;="&amp;P_START,HDR,"&lt;="&amp;P_END)),"")</f>
        <v/>
      </c>
    </row>
    <row r="32">
      <c r="AG32">
        <f>MAX(0,1-'M5 · Données graphiques'!AG31)</f>
        <v/>
      </c>
    </row>
    <row r="34">
      <c r="AG34">
        <f>IFERROR((AVERAGEIFS('M3 · Base mensuelle'!$D$49:$AM$49,HDR,"&gt;="&amp;P_START,HDR,"&lt;="&amp;P_END)),"")</f>
        <v/>
      </c>
    </row>
    <row r="35">
      <c r="AG35">
        <f>MAX(0,1-'M5 · Données graphiques'!AG34)</f>
        <v/>
      </c>
    </row>
    <row r="37">
      <c r="AG37">
        <f>IFERROR((AVERAGEIFS('M3 · Base mensuelle'!$D$53:$AM$53,HDR,"&gt;="&amp;P_START,HDR,"&lt;="&amp;P_END)),"")</f>
        <v/>
      </c>
    </row>
    <row r="38">
      <c r="AG38">
        <f>MAX(0,1-'M5 · Données graphiques'!AG37)</f>
        <v/>
      </c>
    </row>
    <row r="40">
      <c r="AG40">
        <f>IFERROR((AVERAGEIFS('M3 · Base mensuelle'!$D$55:$AM$55,HDR,"&gt;="&amp;P_START,HDR,"&lt;="&amp;P_END)),"")</f>
        <v/>
      </c>
    </row>
    <row r="41">
      <c r="AG41">
        <f>MAX(0,1-'M5 · Données graphiques'!AG40)</f>
        <v/>
      </c>
    </row>
    <row r="43">
      <c r="AG43">
        <f>IFERROR((AVERAGEIFS('M3 · Base mensuelle'!$D$59:$AM$59,HDR,"&gt;="&amp;P_START,HDR,"&lt;="&amp;P_END)),"")</f>
        <v/>
      </c>
    </row>
    <row r="44">
      <c r="AG44">
        <f>MAX(0,1-'M5 · Données graphiques'!AG43)</f>
        <v/>
      </c>
    </row>
    <row r="46">
      <c r="AG46">
        <f>IFERROR((AVERAGEIFS('M3 · Base mensuelle'!$D$71:$AM$71,HDR,"&gt;="&amp;P_START,HDR,"&lt;="&amp;P_END)),"")</f>
        <v/>
      </c>
    </row>
    <row r="47">
      <c r="AG47">
        <f>MAX(0,1-'M5 · Données graphiques'!AG46)</f>
        <v/>
      </c>
    </row>
    <row r="49">
      <c r="AG49">
        <f>IFERROR((AVERAGEIFS('M3 · Base mensuelle'!$D$75:$AM$75,HDR,"&gt;="&amp;P_START,HDR,"&lt;="&amp;P_END)),"")</f>
        <v/>
      </c>
    </row>
    <row r="50">
      <c r="AG50">
        <f>MAX(0,1-'M5 · Données graphiques'!AG49)</f>
        <v/>
      </c>
    </row>
    <row r="52">
      <c r="AG52">
        <f>IFERROR((AVERAGEIFS('M3 · Base mensuelle'!$D$78:$AM$78,HDR,"&gt;="&amp;P_START,HDR,"&lt;="&amp;P_END)),"")</f>
        <v/>
      </c>
    </row>
    <row r="53">
      <c r="AG53">
        <f>MAX(0,1-'M5 · Données graphiques'!AG52)</f>
        <v/>
      </c>
    </row>
    <row r="55">
      <c r="AG55">
        <f>IFERROR((AVERAGEIFS('M3 · Base mensuelle'!$D$94:$AM$94,HDR,"&gt;="&amp;P_START,HDR,"&lt;="&amp;P_END)),"")</f>
        <v/>
      </c>
    </row>
    <row r="56">
      <c r="AG56">
        <f>MAX(0,1-'M5 · Données graphiques'!AG55)</f>
        <v/>
      </c>
    </row>
    <row r="58">
      <c r="AG58">
        <f>IFERROR((AVERAGEIFS('M3 · Base mensuelle'!$D$99:$AM$99,HDR,"&gt;="&amp;P_START,HDR,"&lt;="&amp;P_END)),"")</f>
        <v/>
      </c>
    </row>
    <row r="59">
      <c r="AG59">
        <f>MAX(0,1-'M5 · Données graphiques'!AG58)</f>
        <v/>
      </c>
    </row>
    <row r="61">
      <c r="AG61">
        <f>IFERROR((AVERAGEIFS('M3 · Base mensuelle'!$D$102:$AM$102,HDR,"&gt;="&amp;P_START,HDR,"&lt;="&amp;P_END)),"")</f>
        <v/>
      </c>
    </row>
    <row r="62">
      <c r="AG62">
        <f>MAX(0,1-'M5 · Données graphiques'!AG61)</f>
        <v/>
      </c>
    </row>
    <row r="64">
      <c r="AG64">
        <f>IFERROR((AVERAGEIFS('M3 · Base mensuelle'!$D$106:$AM$106,HDR,"&gt;="&amp;P_START,HDR,"&lt;="&amp;P_END)),"")</f>
        <v/>
      </c>
    </row>
    <row r="65">
      <c r="AG65">
        <f>MAX(0,1-'M5 · Données graphiques'!AG64)</f>
        <v/>
      </c>
    </row>
    <row r="67">
      <c r="AG67">
        <f>IFERROR((AVERAGEIFS('M3 · Base mensuelle'!$D$114:$AM$114,HDR,"&gt;="&amp;P_START,HDR,"&lt;="&amp;P_END)),"")</f>
        <v/>
      </c>
    </row>
    <row r="68">
      <c r="AG68">
        <f>MAX(0,1-'M5 · Données graphiques'!AG67)</f>
        <v/>
      </c>
    </row>
    <row r="70">
      <c r="AG70">
        <f>IFERROR((AVERAGEIFS('M3 · Base mensuelle'!$D$117:$AM$117,HDR,"&gt;="&amp;P_START,HDR,"&lt;="&amp;P_END)),"")</f>
        <v/>
      </c>
    </row>
    <row r="71">
      <c r="AG71">
        <f>MAX(0,1-'M5 · Données graphiques'!AG70)</f>
        <v/>
      </c>
    </row>
    <row r="304">
      <c r="S304">
        <f>IFERROR(IF((MATCH(P_END,HDR,0)-11+0)&lt;1,"",TEXT(INDEX(HDR,(MATCH(P_END,HDR,0)-11+0)),"mmm yy")),"")</f>
        <v/>
      </c>
      <c r="T304">
        <f>IFERROR(IF((MATCH(P_END,HDR,0)-11+1)&lt;1,"",TEXT(INDEX(HDR,(MATCH(P_END,HDR,0)-11+1)),"mmm yy")),"")</f>
        <v/>
      </c>
      <c r="U304">
        <f>IFERROR(IF((MATCH(P_END,HDR,0)-11+2)&lt;1,"",TEXT(INDEX(HDR,(MATCH(P_END,HDR,0)-11+2)),"mmm yy")),"")</f>
        <v/>
      </c>
      <c r="V304">
        <f>IFERROR(IF((MATCH(P_END,HDR,0)-11+3)&lt;1,"",TEXT(INDEX(HDR,(MATCH(P_END,HDR,0)-11+3)),"mmm yy")),"")</f>
        <v/>
      </c>
      <c r="W304">
        <f>IFERROR(IF((MATCH(P_END,HDR,0)-11+4)&lt;1,"",TEXT(INDEX(HDR,(MATCH(P_END,HDR,0)-11+4)),"mmm yy")),"")</f>
        <v/>
      </c>
      <c r="X304">
        <f>IFERROR(IF((MATCH(P_END,HDR,0)-11+5)&lt;1,"",TEXT(INDEX(HDR,(MATCH(P_END,HDR,0)-11+5)),"mmm yy")),"")</f>
        <v/>
      </c>
      <c r="Y304">
        <f>IFERROR(IF((MATCH(P_END,HDR,0)-11+6)&lt;1,"",TEXT(INDEX(HDR,(MATCH(P_END,HDR,0)-11+6)),"mmm yy")),"")</f>
        <v/>
      </c>
      <c r="Z304">
        <f>IFERROR(IF((MATCH(P_END,HDR,0)-11+7)&lt;1,"",TEXT(INDEX(HDR,(MATCH(P_END,HDR,0)-11+7)),"mmm yy")),"")</f>
        <v/>
      </c>
      <c r="AA304">
        <f>IFERROR(IF((MATCH(P_END,HDR,0)-11+8)&lt;1,"",TEXT(INDEX(HDR,(MATCH(P_END,HDR,0)-11+8)),"mmm yy")),"")</f>
        <v/>
      </c>
      <c r="AB304">
        <f>IFERROR(IF((MATCH(P_END,HDR,0)-11+9)&lt;1,"",TEXT(INDEX(HDR,(MATCH(P_END,HDR,0)-11+9)),"mmm yy")),"")</f>
        <v/>
      </c>
      <c r="AC304">
        <f>IFERROR(IF((MATCH(P_END,HDR,0)-11+10)&lt;1,"",TEXT(INDEX(HDR,(MATCH(P_END,HDR,0)-11+10)),"mmm yy")),"")</f>
        <v/>
      </c>
      <c r="AD304">
        <f>IFERROR(IF((MATCH(P_END,HDR,0)-11+11)&lt;1,"",TEXT(INDEX(HDR,(MATCH(P_END,HDR,0)-11+11)),"mmm yy")),"")</f>
        <v/>
      </c>
    </row>
    <row r="305">
      <c r="S305">
        <f>IFERROR(IF((MATCH(P_END,HDR,0)-11+0)&lt;1,NA(),INDEX('M3 · Base mensuelle'!$D$5:$AM$5,(MATCH(P_END,HDR,0)-11+0))),NA())</f>
        <v/>
      </c>
      <c r="T305">
        <f>IFERROR(IF((MATCH(P_END,HDR,0)-11+1)&lt;1,NA(),INDEX('M3 · Base mensuelle'!$D$5:$AM$5,(MATCH(P_END,HDR,0)-11+1))),NA())</f>
        <v/>
      </c>
      <c r="U305">
        <f>IFERROR(IF((MATCH(P_END,HDR,0)-11+2)&lt;1,NA(),INDEX('M3 · Base mensuelle'!$D$5:$AM$5,(MATCH(P_END,HDR,0)-11+2))),NA())</f>
        <v/>
      </c>
      <c r="V305">
        <f>IFERROR(IF((MATCH(P_END,HDR,0)-11+3)&lt;1,NA(),INDEX('M3 · Base mensuelle'!$D$5:$AM$5,(MATCH(P_END,HDR,0)-11+3))),NA())</f>
        <v/>
      </c>
      <c r="W305">
        <f>IFERROR(IF((MATCH(P_END,HDR,0)-11+4)&lt;1,NA(),INDEX('M3 · Base mensuelle'!$D$5:$AM$5,(MATCH(P_END,HDR,0)-11+4))),NA())</f>
        <v/>
      </c>
      <c r="X305">
        <f>IFERROR(IF((MATCH(P_END,HDR,0)-11+5)&lt;1,NA(),INDEX('M3 · Base mensuelle'!$D$5:$AM$5,(MATCH(P_END,HDR,0)-11+5))),NA())</f>
        <v/>
      </c>
      <c r="Y305">
        <f>IFERROR(IF((MATCH(P_END,HDR,0)-11+6)&lt;1,NA(),INDEX('M3 · Base mensuelle'!$D$5:$AM$5,(MATCH(P_END,HDR,0)-11+6))),NA())</f>
        <v/>
      </c>
      <c r="Z305">
        <f>IFERROR(IF((MATCH(P_END,HDR,0)-11+7)&lt;1,NA(),INDEX('M3 · Base mensuelle'!$D$5:$AM$5,(MATCH(P_END,HDR,0)-11+7))),NA())</f>
        <v/>
      </c>
      <c r="AA305">
        <f>IFERROR(IF((MATCH(P_END,HDR,0)-11+8)&lt;1,NA(),INDEX('M3 · Base mensuelle'!$D$5:$AM$5,(MATCH(P_END,HDR,0)-11+8))),NA())</f>
        <v/>
      </c>
      <c r="AB305">
        <f>IFERROR(IF((MATCH(P_END,HDR,0)-11+9)&lt;1,NA(),INDEX('M3 · Base mensuelle'!$D$5:$AM$5,(MATCH(P_END,HDR,0)-11+9))),NA())</f>
        <v/>
      </c>
      <c r="AC305">
        <f>IFERROR(IF((MATCH(P_END,HDR,0)-11+10)&lt;1,NA(),INDEX('M3 · Base mensuelle'!$D$5:$AM$5,(MATCH(P_END,HDR,0)-11+10))),NA())</f>
        <v/>
      </c>
      <c r="AD305">
        <f>IFERROR(IF((MATCH(P_END,HDR,0)-11+11)&lt;1,NA(),INDEX('M3 · Base mensuelle'!$D$5:$AM$5,(MATCH(P_END,HDR,0)-11+11))),NA())</f>
        <v/>
      </c>
    </row>
    <row r="306">
      <c r="S306">
        <f>IFERROR(IF((MATCH(P_END,HDR,0)-11+0)&lt;1,NA(),INDEX('M1 · Paramètres'!$H$6:$S$6,MONTH(INDEX(HDR,(MATCH(P_END,HDR,0)-11+0))))),NA())</f>
        <v/>
      </c>
      <c r="T306">
        <f>IFERROR(IF((MATCH(P_END,HDR,0)-11+1)&lt;1,NA(),INDEX('M1 · Paramètres'!$H$6:$S$6,MONTH(INDEX(HDR,(MATCH(P_END,HDR,0)-11+1))))),NA())</f>
        <v/>
      </c>
      <c r="U306">
        <f>IFERROR(IF((MATCH(P_END,HDR,0)-11+2)&lt;1,NA(),INDEX('M1 · Paramètres'!$H$6:$S$6,MONTH(INDEX(HDR,(MATCH(P_END,HDR,0)-11+2))))),NA())</f>
        <v/>
      </c>
      <c r="V306">
        <f>IFERROR(IF((MATCH(P_END,HDR,0)-11+3)&lt;1,NA(),INDEX('M1 · Paramètres'!$H$6:$S$6,MONTH(INDEX(HDR,(MATCH(P_END,HDR,0)-11+3))))),NA())</f>
        <v/>
      </c>
      <c r="W306">
        <f>IFERROR(IF((MATCH(P_END,HDR,0)-11+4)&lt;1,NA(),INDEX('M1 · Paramètres'!$H$6:$S$6,MONTH(INDEX(HDR,(MATCH(P_END,HDR,0)-11+4))))),NA())</f>
        <v/>
      </c>
      <c r="X306">
        <f>IFERROR(IF((MATCH(P_END,HDR,0)-11+5)&lt;1,NA(),INDEX('M1 · Paramètres'!$H$6:$S$6,MONTH(INDEX(HDR,(MATCH(P_END,HDR,0)-11+5))))),NA())</f>
        <v/>
      </c>
      <c r="Y306">
        <f>IFERROR(IF((MATCH(P_END,HDR,0)-11+6)&lt;1,NA(),INDEX('M1 · Paramètres'!$H$6:$S$6,MONTH(INDEX(HDR,(MATCH(P_END,HDR,0)-11+6))))),NA())</f>
        <v/>
      </c>
      <c r="Z306">
        <f>IFERROR(IF((MATCH(P_END,HDR,0)-11+7)&lt;1,NA(),INDEX('M1 · Paramètres'!$H$6:$S$6,MONTH(INDEX(HDR,(MATCH(P_END,HDR,0)-11+7))))),NA())</f>
        <v/>
      </c>
      <c r="AA306">
        <f>IFERROR(IF((MATCH(P_END,HDR,0)-11+8)&lt;1,NA(),INDEX('M1 · Paramètres'!$H$6:$S$6,MONTH(INDEX(HDR,(MATCH(P_END,HDR,0)-11+8))))),NA())</f>
        <v/>
      </c>
      <c r="AB306">
        <f>IFERROR(IF((MATCH(P_END,HDR,0)-11+9)&lt;1,NA(),INDEX('M1 · Paramètres'!$H$6:$S$6,MONTH(INDEX(HDR,(MATCH(P_END,HDR,0)-11+9))))),NA())</f>
        <v/>
      </c>
      <c r="AC306">
        <f>IFERROR(IF((MATCH(P_END,HDR,0)-11+10)&lt;1,NA(),INDEX('M1 · Paramètres'!$H$6:$S$6,MONTH(INDEX(HDR,(MATCH(P_END,HDR,0)-11+10))))),NA())</f>
        <v/>
      </c>
      <c r="AD306">
        <f>IFERROR(IF((MATCH(P_END,HDR,0)-11+11)&lt;1,NA(),INDEX('M1 · Paramètres'!$H$6:$S$6,MONTH(INDEX(HDR,(MATCH(P_END,HDR,0)-11+11))))),NA())</f>
        <v/>
      </c>
    </row>
    <row r="308">
      <c r="S308">
        <f>IFERROR(IF((MATCH(P_END,HDR,0)-11+0)&lt;1,"",TEXT(INDEX(HDR,(MATCH(P_END,HDR,0)-11+0)),"mmm yy")),"")</f>
        <v/>
      </c>
      <c r="T308">
        <f>IFERROR(IF((MATCH(P_END,HDR,0)-11+1)&lt;1,"",TEXT(INDEX(HDR,(MATCH(P_END,HDR,0)-11+1)),"mmm yy")),"")</f>
        <v/>
      </c>
      <c r="U308">
        <f>IFERROR(IF((MATCH(P_END,HDR,0)-11+2)&lt;1,"",TEXT(INDEX(HDR,(MATCH(P_END,HDR,0)-11+2)),"mmm yy")),"")</f>
        <v/>
      </c>
      <c r="V308">
        <f>IFERROR(IF((MATCH(P_END,HDR,0)-11+3)&lt;1,"",TEXT(INDEX(HDR,(MATCH(P_END,HDR,0)-11+3)),"mmm yy")),"")</f>
        <v/>
      </c>
      <c r="W308">
        <f>IFERROR(IF((MATCH(P_END,HDR,0)-11+4)&lt;1,"",TEXT(INDEX(HDR,(MATCH(P_END,HDR,0)-11+4)),"mmm yy")),"")</f>
        <v/>
      </c>
      <c r="X308">
        <f>IFERROR(IF((MATCH(P_END,HDR,0)-11+5)&lt;1,"",TEXT(INDEX(HDR,(MATCH(P_END,HDR,0)-11+5)),"mmm yy")),"")</f>
        <v/>
      </c>
      <c r="Y308">
        <f>IFERROR(IF((MATCH(P_END,HDR,0)-11+6)&lt;1,"",TEXT(INDEX(HDR,(MATCH(P_END,HDR,0)-11+6)),"mmm yy")),"")</f>
        <v/>
      </c>
      <c r="Z308">
        <f>IFERROR(IF((MATCH(P_END,HDR,0)-11+7)&lt;1,"",TEXT(INDEX(HDR,(MATCH(P_END,HDR,0)-11+7)),"mmm yy")),"")</f>
        <v/>
      </c>
      <c r="AA308">
        <f>IFERROR(IF((MATCH(P_END,HDR,0)-11+8)&lt;1,"",TEXT(INDEX(HDR,(MATCH(P_END,HDR,0)-11+8)),"mmm yy")),"")</f>
        <v/>
      </c>
      <c r="AB308">
        <f>IFERROR(IF((MATCH(P_END,HDR,0)-11+9)&lt;1,"",TEXT(INDEX(HDR,(MATCH(P_END,HDR,0)-11+9)),"mmm yy")),"")</f>
        <v/>
      </c>
      <c r="AC308">
        <f>IFERROR(IF((MATCH(P_END,HDR,0)-11+10)&lt;1,"",TEXT(INDEX(HDR,(MATCH(P_END,HDR,0)-11+10)),"mmm yy")),"")</f>
        <v/>
      </c>
      <c r="AD308">
        <f>IFERROR(IF((MATCH(P_END,HDR,0)-11+11)&lt;1,"",TEXT(INDEX(HDR,(MATCH(P_END,HDR,0)-11+11)),"mmm yy")),"")</f>
        <v/>
      </c>
    </row>
    <row r="309">
      <c r="S309">
        <f>IFERROR(IF((MATCH(P_END,HDR,0)-11+0)&lt;1,NA(),INDEX('M3 · Base mensuelle'!$D$14:$AM$14,(MATCH(P_END,HDR,0)-11+0))),NA())</f>
        <v/>
      </c>
      <c r="T309">
        <f>IFERROR(IF((MATCH(P_END,HDR,0)-11+1)&lt;1,NA(),INDEX('M3 · Base mensuelle'!$D$14:$AM$14,(MATCH(P_END,HDR,0)-11+1))),NA())</f>
        <v/>
      </c>
      <c r="U309">
        <f>IFERROR(IF((MATCH(P_END,HDR,0)-11+2)&lt;1,NA(),INDEX('M3 · Base mensuelle'!$D$14:$AM$14,(MATCH(P_END,HDR,0)-11+2))),NA())</f>
        <v/>
      </c>
      <c r="V309">
        <f>IFERROR(IF((MATCH(P_END,HDR,0)-11+3)&lt;1,NA(),INDEX('M3 · Base mensuelle'!$D$14:$AM$14,(MATCH(P_END,HDR,0)-11+3))),NA())</f>
        <v/>
      </c>
      <c r="W309">
        <f>IFERROR(IF((MATCH(P_END,HDR,0)-11+4)&lt;1,NA(),INDEX('M3 · Base mensuelle'!$D$14:$AM$14,(MATCH(P_END,HDR,0)-11+4))),NA())</f>
        <v/>
      </c>
      <c r="X309">
        <f>IFERROR(IF((MATCH(P_END,HDR,0)-11+5)&lt;1,NA(),INDEX('M3 · Base mensuelle'!$D$14:$AM$14,(MATCH(P_END,HDR,0)-11+5))),NA())</f>
        <v/>
      </c>
      <c r="Y309">
        <f>IFERROR(IF((MATCH(P_END,HDR,0)-11+6)&lt;1,NA(),INDEX('M3 · Base mensuelle'!$D$14:$AM$14,(MATCH(P_END,HDR,0)-11+6))),NA())</f>
        <v/>
      </c>
      <c r="Z309">
        <f>IFERROR(IF((MATCH(P_END,HDR,0)-11+7)&lt;1,NA(),INDEX('M3 · Base mensuelle'!$D$14:$AM$14,(MATCH(P_END,HDR,0)-11+7))),NA())</f>
        <v/>
      </c>
      <c r="AA309">
        <f>IFERROR(IF((MATCH(P_END,HDR,0)-11+8)&lt;1,NA(),INDEX('M3 · Base mensuelle'!$D$14:$AM$14,(MATCH(P_END,HDR,0)-11+8))),NA())</f>
        <v/>
      </c>
      <c r="AB309">
        <f>IFERROR(IF((MATCH(P_END,HDR,0)-11+9)&lt;1,NA(),INDEX('M3 · Base mensuelle'!$D$14:$AM$14,(MATCH(P_END,HDR,0)-11+9))),NA())</f>
        <v/>
      </c>
      <c r="AC309">
        <f>IFERROR(IF((MATCH(P_END,HDR,0)-11+10)&lt;1,NA(),INDEX('M3 · Base mensuelle'!$D$14:$AM$14,(MATCH(P_END,HDR,0)-11+10))),NA())</f>
        <v/>
      </c>
      <c r="AD309">
        <f>IFERROR(IF((MATCH(P_END,HDR,0)-11+11)&lt;1,NA(),INDEX('M3 · Base mensuelle'!$D$14:$AM$14,(MATCH(P_END,HDR,0)-11+11))),NA())</f>
        <v/>
      </c>
    </row>
    <row r="310">
      <c r="S310">
        <f>IFERROR(IF((MATCH(P_END,HDR,0)-11+0)&lt;1,NA(),INDEX('M1 · Paramètres'!$H$15:$S$15,MONTH(INDEX(HDR,(MATCH(P_END,HDR,0)-11+0))))),NA())</f>
        <v/>
      </c>
      <c r="T310">
        <f>IFERROR(IF((MATCH(P_END,HDR,0)-11+1)&lt;1,NA(),INDEX('M1 · Paramètres'!$H$15:$S$15,MONTH(INDEX(HDR,(MATCH(P_END,HDR,0)-11+1))))),NA())</f>
        <v/>
      </c>
      <c r="U310">
        <f>IFERROR(IF((MATCH(P_END,HDR,0)-11+2)&lt;1,NA(),INDEX('M1 · Paramètres'!$H$15:$S$15,MONTH(INDEX(HDR,(MATCH(P_END,HDR,0)-11+2))))),NA())</f>
        <v/>
      </c>
      <c r="V310">
        <f>IFERROR(IF((MATCH(P_END,HDR,0)-11+3)&lt;1,NA(),INDEX('M1 · Paramètres'!$H$15:$S$15,MONTH(INDEX(HDR,(MATCH(P_END,HDR,0)-11+3))))),NA())</f>
        <v/>
      </c>
      <c r="W310">
        <f>IFERROR(IF((MATCH(P_END,HDR,0)-11+4)&lt;1,NA(),INDEX('M1 · Paramètres'!$H$15:$S$15,MONTH(INDEX(HDR,(MATCH(P_END,HDR,0)-11+4))))),NA())</f>
        <v/>
      </c>
      <c r="X310">
        <f>IFERROR(IF((MATCH(P_END,HDR,0)-11+5)&lt;1,NA(),INDEX('M1 · Paramètres'!$H$15:$S$15,MONTH(INDEX(HDR,(MATCH(P_END,HDR,0)-11+5))))),NA())</f>
        <v/>
      </c>
      <c r="Y310">
        <f>IFERROR(IF((MATCH(P_END,HDR,0)-11+6)&lt;1,NA(),INDEX('M1 · Paramètres'!$H$15:$S$15,MONTH(INDEX(HDR,(MATCH(P_END,HDR,0)-11+6))))),NA())</f>
        <v/>
      </c>
      <c r="Z310">
        <f>IFERROR(IF((MATCH(P_END,HDR,0)-11+7)&lt;1,NA(),INDEX('M1 · Paramètres'!$H$15:$S$15,MONTH(INDEX(HDR,(MATCH(P_END,HDR,0)-11+7))))),NA())</f>
        <v/>
      </c>
      <c r="AA310">
        <f>IFERROR(IF((MATCH(P_END,HDR,0)-11+8)&lt;1,NA(),INDEX('M1 · Paramètres'!$H$15:$S$15,MONTH(INDEX(HDR,(MATCH(P_END,HDR,0)-11+8))))),NA())</f>
        <v/>
      </c>
      <c r="AB310">
        <f>IFERROR(IF((MATCH(P_END,HDR,0)-11+9)&lt;1,NA(),INDEX('M1 · Paramètres'!$H$15:$S$15,MONTH(INDEX(HDR,(MATCH(P_END,HDR,0)-11+9))))),NA())</f>
        <v/>
      </c>
      <c r="AC310">
        <f>IFERROR(IF((MATCH(P_END,HDR,0)-11+10)&lt;1,NA(),INDEX('M1 · Paramètres'!$H$15:$S$15,MONTH(INDEX(HDR,(MATCH(P_END,HDR,0)-11+10))))),NA())</f>
        <v/>
      </c>
      <c r="AD310">
        <f>IFERROR(IF((MATCH(P_END,HDR,0)-11+11)&lt;1,NA(),INDEX('M1 · Paramètres'!$H$15:$S$15,MONTH(INDEX(HDR,(MATCH(P_END,HDR,0)-11+11))))),NA())</f>
        <v/>
      </c>
    </row>
    <row r="312">
      <c r="S312">
        <f>IFERROR(IF((MATCH(P_END,HDR,0)-11+0)&lt;1,"",TEXT(INDEX(HDR,(MATCH(P_END,HDR,0)-11+0)),"mmm yy")),"")</f>
        <v/>
      </c>
      <c r="T312">
        <f>IFERROR(IF((MATCH(P_END,HDR,0)-11+1)&lt;1,"",TEXT(INDEX(HDR,(MATCH(P_END,HDR,0)-11+1)),"mmm yy")),"")</f>
        <v/>
      </c>
      <c r="U312">
        <f>IFERROR(IF((MATCH(P_END,HDR,0)-11+2)&lt;1,"",TEXT(INDEX(HDR,(MATCH(P_END,HDR,0)-11+2)),"mmm yy")),"")</f>
        <v/>
      </c>
      <c r="V312">
        <f>IFERROR(IF((MATCH(P_END,HDR,0)-11+3)&lt;1,"",TEXT(INDEX(HDR,(MATCH(P_END,HDR,0)-11+3)),"mmm yy")),"")</f>
        <v/>
      </c>
      <c r="W312">
        <f>IFERROR(IF((MATCH(P_END,HDR,0)-11+4)&lt;1,"",TEXT(INDEX(HDR,(MATCH(P_END,HDR,0)-11+4)),"mmm yy")),"")</f>
        <v/>
      </c>
      <c r="X312">
        <f>IFERROR(IF((MATCH(P_END,HDR,0)-11+5)&lt;1,"",TEXT(INDEX(HDR,(MATCH(P_END,HDR,0)-11+5)),"mmm yy")),"")</f>
        <v/>
      </c>
      <c r="Y312">
        <f>IFERROR(IF((MATCH(P_END,HDR,0)-11+6)&lt;1,"",TEXT(INDEX(HDR,(MATCH(P_END,HDR,0)-11+6)),"mmm yy")),"")</f>
        <v/>
      </c>
      <c r="Z312">
        <f>IFERROR(IF((MATCH(P_END,HDR,0)-11+7)&lt;1,"",TEXT(INDEX(HDR,(MATCH(P_END,HDR,0)-11+7)),"mmm yy")),"")</f>
        <v/>
      </c>
      <c r="AA312">
        <f>IFERROR(IF((MATCH(P_END,HDR,0)-11+8)&lt;1,"",TEXT(INDEX(HDR,(MATCH(P_END,HDR,0)-11+8)),"mmm yy")),"")</f>
        <v/>
      </c>
      <c r="AB312">
        <f>IFERROR(IF((MATCH(P_END,HDR,0)-11+9)&lt;1,"",TEXT(INDEX(HDR,(MATCH(P_END,HDR,0)-11+9)),"mmm yy")),"")</f>
        <v/>
      </c>
      <c r="AC312">
        <f>IFERROR(IF((MATCH(P_END,HDR,0)-11+10)&lt;1,"",TEXT(INDEX(HDR,(MATCH(P_END,HDR,0)-11+10)),"mmm yy")),"")</f>
        <v/>
      </c>
      <c r="AD312">
        <f>IFERROR(IF((MATCH(P_END,HDR,0)-11+11)&lt;1,"",TEXT(INDEX(HDR,(MATCH(P_END,HDR,0)-11+11)),"mmm yy")),"")</f>
        <v/>
      </c>
    </row>
    <row r="313">
      <c r="S313">
        <f>IFERROR(IF((MATCH(P_END,HDR,0)-11+0)&lt;1,NA(),INDEX('M3 · Base mensuelle'!$D$32:$AM$32,(MATCH(P_END,HDR,0)-11+0))),NA())</f>
        <v/>
      </c>
      <c r="T313">
        <f>IFERROR(IF((MATCH(P_END,HDR,0)-11+1)&lt;1,NA(),INDEX('M3 · Base mensuelle'!$D$32:$AM$32,(MATCH(P_END,HDR,0)-11+1))),NA())</f>
        <v/>
      </c>
      <c r="U313">
        <f>IFERROR(IF((MATCH(P_END,HDR,0)-11+2)&lt;1,NA(),INDEX('M3 · Base mensuelle'!$D$32:$AM$32,(MATCH(P_END,HDR,0)-11+2))),NA())</f>
        <v/>
      </c>
      <c r="V313">
        <f>IFERROR(IF((MATCH(P_END,HDR,0)-11+3)&lt;1,NA(),INDEX('M3 · Base mensuelle'!$D$32:$AM$32,(MATCH(P_END,HDR,0)-11+3))),NA())</f>
        <v/>
      </c>
      <c r="W313">
        <f>IFERROR(IF((MATCH(P_END,HDR,0)-11+4)&lt;1,NA(),INDEX('M3 · Base mensuelle'!$D$32:$AM$32,(MATCH(P_END,HDR,0)-11+4))),NA())</f>
        <v/>
      </c>
      <c r="X313">
        <f>IFERROR(IF((MATCH(P_END,HDR,0)-11+5)&lt;1,NA(),INDEX('M3 · Base mensuelle'!$D$32:$AM$32,(MATCH(P_END,HDR,0)-11+5))),NA())</f>
        <v/>
      </c>
      <c r="Y313">
        <f>IFERROR(IF((MATCH(P_END,HDR,0)-11+6)&lt;1,NA(),INDEX('M3 · Base mensuelle'!$D$32:$AM$32,(MATCH(P_END,HDR,0)-11+6))),NA())</f>
        <v/>
      </c>
      <c r="Z313">
        <f>IFERROR(IF((MATCH(P_END,HDR,0)-11+7)&lt;1,NA(),INDEX('M3 · Base mensuelle'!$D$32:$AM$32,(MATCH(P_END,HDR,0)-11+7))),NA())</f>
        <v/>
      </c>
      <c r="AA313">
        <f>IFERROR(IF((MATCH(P_END,HDR,0)-11+8)&lt;1,NA(),INDEX('M3 · Base mensuelle'!$D$32:$AM$32,(MATCH(P_END,HDR,0)-11+8))),NA())</f>
        <v/>
      </c>
      <c r="AB313">
        <f>IFERROR(IF((MATCH(P_END,HDR,0)-11+9)&lt;1,NA(),INDEX('M3 · Base mensuelle'!$D$32:$AM$32,(MATCH(P_END,HDR,0)-11+9))),NA())</f>
        <v/>
      </c>
      <c r="AC313">
        <f>IFERROR(IF((MATCH(P_END,HDR,0)-11+10)&lt;1,NA(),INDEX('M3 · Base mensuelle'!$D$32:$AM$32,(MATCH(P_END,HDR,0)-11+10))),NA())</f>
        <v/>
      </c>
      <c r="AD313">
        <f>IFERROR(IF((MATCH(P_END,HDR,0)-11+11)&lt;1,NA(),INDEX('M3 · Base mensuelle'!$D$32:$AM$32,(MATCH(P_END,HDR,0)-11+11))),NA())</f>
        <v/>
      </c>
    </row>
    <row r="314">
      <c r="S314">
        <f>IFERROR(IF((MATCH(P_END,HDR,0)-11+0)&lt;1,NA(),INDEX('M1 · Paramètres'!$H$33:$S$33,MONTH(INDEX(HDR,(MATCH(P_END,HDR,0)-11+0))))),NA())</f>
        <v/>
      </c>
      <c r="T314">
        <f>IFERROR(IF((MATCH(P_END,HDR,0)-11+1)&lt;1,NA(),INDEX('M1 · Paramètres'!$H$33:$S$33,MONTH(INDEX(HDR,(MATCH(P_END,HDR,0)-11+1))))),NA())</f>
        <v/>
      </c>
      <c r="U314">
        <f>IFERROR(IF((MATCH(P_END,HDR,0)-11+2)&lt;1,NA(),INDEX('M1 · Paramètres'!$H$33:$S$33,MONTH(INDEX(HDR,(MATCH(P_END,HDR,0)-11+2))))),NA())</f>
        <v/>
      </c>
      <c r="V314">
        <f>IFERROR(IF((MATCH(P_END,HDR,0)-11+3)&lt;1,NA(),INDEX('M1 · Paramètres'!$H$33:$S$33,MONTH(INDEX(HDR,(MATCH(P_END,HDR,0)-11+3))))),NA())</f>
        <v/>
      </c>
      <c r="W314">
        <f>IFERROR(IF((MATCH(P_END,HDR,0)-11+4)&lt;1,NA(),INDEX('M1 · Paramètres'!$H$33:$S$33,MONTH(INDEX(HDR,(MATCH(P_END,HDR,0)-11+4))))),NA())</f>
        <v/>
      </c>
      <c r="X314">
        <f>IFERROR(IF((MATCH(P_END,HDR,0)-11+5)&lt;1,NA(),INDEX('M1 · Paramètres'!$H$33:$S$33,MONTH(INDEX(HDR,(MATCH(P_END,HDR,0)-11+5))))),NA())</f>
        <v/>
      </c>
      <c r="Y314">
        <f>IFERROR(IF((MATCH(P_END,HDR,0)-11+6)&lt;1,NA(),INDEX('M1 · Paramètres'!$H$33:$S$33,MONTH(INDEX(HDR,(MATCH(P_END,HDR,0)-11+6))))),NA())</f>
        <v/>
      </c>
      <c r="Z314">
        <f>IFERROR(IF((MATCH(P_END,HDR,0)-11+7)&lt;1,NA(),INDEX('M1 · Paramètres'!$H$33:$S$33,MONTH(INDEX(HDR,(MATCH(P_END,HDR,0)-11+7))))),NA())</f>
        <v/>
      </c>
      <c r="AA314">
        <f>IFERROR(IF((MATCH(P_END,HDR,0)-11+8)&lt;1,NA(),INDEX('M1 · Paramètres'!$H$33:$S$33,MONTH(INDEX(HDR,(MATCH(P_END,HDR,0)-11+8))))),NA())</f>
        <v/>
      </c>
      <c r="AB314">
        <f>IFERROR(IF((MATCH(P_END,HDR,0)-11+9)&lt;1,NA(),INDEX('M1 · Paramètres'!$H$33:$S$33,MONTH(INDEX(HDR,(MATCH(P_END,HDR,0)-11+9))))),NA())</f>
        <v/>
      </c>
      <c r="AC314">
        <f>IFERROR(IF((MATCH(P_END,HDR,0)-11+10)&lt;1,NA(),INDEX('M1 · Paramètres'!$H$33:$S$33,MONTH(INDEX(HDR,(MATCH(P_END,HDR,0)-11+10))))),NA())</f>
        <v/>
      </c>
      <c r="AD314">
        <f>IFERROR(IF((MATCH(P_END,HDR,0)-11+11)&lt;1,NA(),INDEX('M1 · Paramètres'!$H$33:$S$33,MONTH(INDEX(HDR,(MATCH(P_END,HDR,0)-11+11))))),NA())</f>
        <v/>
      </c>
    </row>
    <row r="316">
      <c r="S316">
        <f>IFERROR(IF((MATCH(P_END,HDR,0)-11+0)&lt;1,"",TEXT(INDEX(HDR,(MATCH(P_END,HDR,0)-11+0)),"mmm yy")),"")</f>
        <v/>
      </c>
      <c r="T316">
        <f>IFERROR(IF((MATCH(P_END,HDR,0)-11+1)&lt;1,"",TEXT(INDEX(HDR,(MATCH(P_END,HDR,0)-11+1)),"mmm yy")),"")</f>
        <v/>
      </c>
      <c r="U316">
        <f>IFERROR(IF((MATCH(P_END,HDR,0)-11+2)&lt;1,"",TEXT(INDEX(HDR,(MATCH(P_END,HDR,0)-11+2)),"mmm yy")),"")</f>
        <v/>
      </c>
      <c r="V316">
        <f>IFERROR(IF((MATCH(P_END,HDR,0)-11+3)&lt;1,"",TEXT(INDEX(HDR,(MATCH(P_END,HDR,0)-11+3)),"mmm yy")),"")</f>
        <v/>
      </c>
      <c r="W316">
        <f>IFERROR(IF((MATCH(P_END,HDR,0)-11+4)&lt;1,"",TEXT(INDEX(HDR,(MATCH(P_END,HDR,0)-11+4)),"mmm yy")),"")</f>
        <v/>
      </c>
      <c r="X316">
        <f>IFERROR(IF((MATCH(P_END,HDR,0)-11+5)&lt;1,"",TEXT(INDEX(HDR,(MATCH(P_END,HDR,0)-11+5)),"mmm yy")),"")</f>
        <v/>
      </c>
      <c r="Y316">
        <f>IFERROR(IF((MATCH(P_END,HDR,0)-11+6)&lt;1,"",TEXT(INDEX(HDR,(MATCH(P_END,HDR,0)-11+6)),"mmm yy")),"")</f>
        <v/>
      </c>
      <c r="Z316">
        <f>IFERROR(IF((MATCH(P_END,HDR,0)-11+7)&lt;1,"",TEXT(INDEX(HDR,(MATCH(P_END,HDR,0)-11+7)),"mmm yy")),"")</f>
        <v/>
      </c>
      <c r="AA316">
        <f>IFERROR(IF((MATCH(P_END,HDR,0)-11+8)&lt;1,"",TEXT(INDEX(HDR,(MATCH(P_END,HDR,0)-11+8)),"mmm yy")),"")</f>
        <v/>
      </c>
      <c r="AB316">
        <f>IFERROR(IF((MATCH(P_END,HDR,0)-11+9)&lt;1,"",TEXT(INDEX(HDR,(MATCH(P_END,HDR,0)-11+9)),"mmm yy")),"")</f>
        <v/>
      </c>
      <c r="AC316">
        <f>IFERROR(IF((MATCH(P_END,HDR,0)-11+10)&lt;1,"",TEXT(INDEX(HDR,(MATCH(P_END,HDR,0)-11+10)),"mmm yy")),"")</f>
        <v/>
      </c>
      <c r="AD316">
        <f>IFERROR(IF((MATCH(P_END,HDR,0)-11+11)&lt;1,"",TEXT(INDEX(HDR,(MATCH(P_END,HDR,0)-11+11)),"mmm yy")),"")</f>
        <v/>
      </c>
    </row>
    <row r="317">
      <c r="S317">
        <f>IFERROR(IF((MATCH(P_END,HDR,0)-11+0)&lt;1,NA(),INDEX('M3 · Base mensuelle'!$D$44:$AM$44,(MATCH(P_END,HDR,0)-11+0))),NA())</f>
        <v/>
      </c>
      <c r="T317">
        <f>IFERROR(IF((MATCH(P_END,HDR,0)-11+1)&lt;1,NA(),INDEX('M3 · Base mensuelle'!$D$44:$AM$44,(MATCH(P_END,HDR,0)-11+1))),NA())</f>
        <v/>
      </c>
      <c r="U317">
        <f>IFERROR(IF((MATCH(P_END,HDR,0)-11+2)&lt;1,NA(),INDEX('M3 · Base mensuelle'!$D$44:$AM$44,(MATCH(P_END,HDR,0)-11+2))),NA())</f>
        <v/>
      </c>
      <c r="V317">
        <f>IFERROR(IF((MATCH(P_END,HDR,0)-11+3)&lt;1,NA(),INDEX('M3 · Base mensuelle'!$D$44:$AM$44,(MATCH(P_END,HDR,0)-11+3))),NA())</f>
        <v/>
      </c>
      <c r="W317">
        <f>IFERROR(IF((MATCH(P_END,HDR,0)-11+4)&lt;1,NA(),INDEX('M3 · Base mensuelle'!$D$44:$AM$44,(MATCH(P_END,HDR,0)-11+4))),NA())</f>
        <v/>
      </c>
      <c r="X317">
        <f>IFERROR(IF((MATCH(P_END,HDR,0)-11+5)&lt;1,NA(),INDEX('M3 · Base mensuelle'!$D$44:$AM$44,(MATCH(P_END,HDR,0)-11+5))),NA())</f>
        <v/>
      </c>
      <c r="Y317">
        <f>IFERROR(IF((MATCH(P_END,HDR,0)-11+6)&lt;1,NA(),INDEX('M3 · Base mensuelle'!$D$44:$AM$44,(MATCH(P_END,HDR,0)-11+6))),NA())</f>
        <v/>
      </c>
      <c r="Z317">
        <f>IFERROR(IF((MATCH(P_END,HDR,0)-11+7)&lt;1,NA(),INDEX('M3 · Base mensuelle'!$D$44:$AM$44,(MATCH(P_END,HDR,0)-11+7))),NA())</f>
        <v/>
      </c>
      <c r="AA317">
        <f>IFERROR(IF((MATCH(P_END,HDR,0)-11+8)&lt;1,NA(),INDEX('M3 · Base mensuelle'!$D$44:$AM$44,(MATCH(P_END,HDR,0)-11+8))),NA())</f>
        <v/>
      </c>
      <c r="AB317">
        <f>IFERROR(IF((MATCH(P_END,HDR,0)-11+9)&lt;1,NA(),INDEX('M3 · Base mensuelle'!$D$44:$AM$44,(MATCH(P_END,HDR,0)-11+9))),NA())</f>
        <v/>
      </c>
      <c r="AC317">
        <f>IFERROR(IF((MATCH(P_END,HDR,0)-11+10)&lt;1,NA(),INDEX('M3 · Base mensuelle'!$D$44:$AM$44,(MATCH(P_END,HDR,0)-11+10))),NA())</f>
        <v/>
      </c>
      <c r="AD317">
        <f>IFERROR(IF((MATCH(P_END,HDR,0)-11+11)&lt;1,NA(),INDEX('M3 · Base mensuelle'!$D$44:$AM$44,(MATCH(P_END,HDR,0)-11+11))),NA())</f>
        <v/>
      </c>
    </row>
    <row r="318">
      <c r="S318">
        <f>IFERROR(IF((MATCH(P_END,HDR,0)-11+0)&lt;1,NA(),INDEX('M1 · Paramètres'!$H$45:$S$45,MONTH(INDEX(HDR,(MATCH(P_END,HDR,0)-11+0))))),NA())</f>
        <v/>
      </c>
      <c r="T318">
        <f>IFERROR(IF((MATCH(P_END,HDR,0)-11+1)&lt;1,NA(),INDEX('M1 · Paramètres'!$H$45:$S$45,MONTH(INDEX(HDR,(MATCH(P_END,HDR,0)-11+1))))),NA())</f>
        <v/>
      </c>
      <c r="U318">
        <f>IFERROR(IF((MATCH(P_END,HDR,0)-11+2)&lt;1,NA(),INDEX('M1 · Paramètres'!$H$45:$S$45,MONTH(INDEX(HDR,(MATCH(P_END,HDR,0)-11+2))))),NA())</f>
        <v/>
      </c>
      <c r="V318">
        <f>IFERROR(IF((MATCH(P_END,HDR,0)-11+3)&lt;1,NA(),INDEX('M1 · Paramètres'!$H$45:$S$45,MONTH(INDEX(HDR,(MATCH(P_END,HDR,0)-11+3))))),NA())</f>
        <v/>
      </c>
      <c r="W318">
        <f>IFERROR(IF((MATCH(P_END,HDR,0)-11+4)&lt;1,NA(),INDEX('M1 · Paramètres'!$H$45:$S$45,MONTH(INDEX(HDR,(MATCH(P_END,HDR,0)-11+4))))),NA())</f>
        <v/>
      </c>
      <c r="X318">
        <f>IFERROR(IF((MATCH(P_END,HDR,0)-11+5)&lt;1,NA(),INDEX('M1 · Paramètres'!$H$45:$S$45,MONTH(INDEX(HDR,(MATCH(P_END,HDR,0)-11+5))))),NA())</f>
        <v/>
      </c>
      <c r="Y318">
        <f>IFERROR(IF((MATCH(P_END,HDR,0)-11+6)&lt;1,NA(),INDEX('M1 · Paramètres'!$H$45:$S$45,MONTH(INDEX(HDR,(MATCH(P_END,HDR,0)-11+6))))),NA())</f>
        <v/>
      </c>
      <c r="Z318">
        <f>IFERROR(IF((MATCH(P_END,HDR,0)-11+7)&lt;1,NA(),INDEX('M1 · Paramètres'!$H$45:$S$45,MONTH(INDEX(HDR,(MATCH(P_END,HDR,0)-11+7))))),NA())</f>
        <v/>
      </c>
      <c r="AA318">
        <f>IFERROR(IF((MATCH(P_END,HDR,0)-11+8)&lt;1,NA(),INDEX('M1 · Paramètres'!$H$45:$S$45,MONTH(INDEX(HDR,(MATCH(P_END,HDR,0)-11+8))))),NA())</f>
        <v/>
      </c>
      <c r="AB318">
        <f>IFERROR(IF((MATCH(P_END,HDR,0)-11+9)&lt;1,NA(),INDEX('M1 · Paramètres'!$H$45:$S$45,MONTH(INDEX(HDR,(MATCH(P_END,HDR,0)-11+9))))),NA())</f>
        <v/>
      </c>
      <c r="AC318">
        <f>IFERROR(IF((MATCH(P_END,HDR,0)-11+10)&lt;1,NA(),INDEX('M1 · Paramètres'!$H$45:$S$45,MONTH(INDEX(HDR,(MATCH(P_END,HDR,0)-11+10))))),NA())</f>
        <v/>
      </c>
      <c r="AD318">
        <f>IFERROR(IF((MATCH(P_END,HDR,0)-11+11)&lt;1,NA(),INDEX('M1 · Paramètres'!$H$45:$S$45,MONTH(INDEX(HDR,(MATCH(P_END,HDR,0)-11+11))))),NA())</f>
        <v/>
      </c>
    </row>
    <row r="320">
      <c r="S320">
        <f>IFERROR(IF((MATCH(P_END,HDR,0)-11+0)&lt;1,"",TEXT(INDEX(HDR,(MATCH(P_END,HDR,0)-11+0)),"mmm yy")),"")</f>
        <v/>
      </c>
      <c r="T320">
        <f>IFERROR(IF((MATCH(P_END,HDR,0)-11+1)&lt;1,"",TEXT(INDEX(HDR,(MATCH(P_END,HDR,0)-11+1)),"mmm yy")),"")</f>
        <v/>
      </c>
      <c r="U320">
        <f>IFERROR(IF((MATCH(P_END,HDR,0)-11+2)&lt;1,"",TEXT(INDEX(HDR,(MATCH(P_END,HDR,0)-11+2)),"mmm yy")),"")</f>
        <v/>
      </c>
      <c r="V320">
        <f>IFERROR(IF((MATCH(P_END,HDR,0)-11+3)&lt;1,"",TEXT(INDEX(HDR,(MATCH(P_END,HDR,0)-11+3)),"mmm yy")),"")</f>
        <v/>
      </c>
      <c r="W320">
        <f>IFERROR(IF((MATCH(P_END,HDR,0)-11+4)&lt;1,"",TEXT(INDEX(HDR,(MATCH(P_END,HDR,0)-11+4)),"mmm yy")),"")</f>
        <v/>
      </c>
      <c r="X320">
        <f>IFERROR(IF((MATCH(P_END,HDR,0)-11+5)&lt;1,"",TEXT(INDEX(HDR,(MATCH(P_END,HDR,0)-11+5)),"mmm yy")),"")</f>
        <v/>
      </c>
      <c r="Y320">
        <f>IFERROR(IF((MATCH(P_END,HDR,0)-11+6)&lt;1,"",TEXT(INDEX(HDR,(MATCH(P_END,HDR,0)-11+6)),"mmm yy")),"")</f>
        <v/>
      </c>
      <c r="Z320">
        <f>IFERROR(IF((MATCH(P_END,HDR,0)-11+7)&lt;1,"",TEXT(INDEX(HDR,(MATCH(P_END,HDR,0)-11+7)),"mmm yy")),"")</f>
        <v/>
      </c>
      <c r="AA320">
        <f>IFERROR(IF((MATCH(P_END,HDR,0)-11+8)&lt;1,"",TEXT(INDEX(HDR,(MATCH(P_END,HDR,0)-11+8)),"mmm yy")),"")</f>
        <v/>
      </c>
      <c r="AB320">
        <f>IFERROR(IF((MATCH(P_END,HDR,0)-11+9)&lt;1,"",TEXT(INDEX(HDR,(MATCH(P_END,HDR,0)-11+9)),"mmm yy")),"")</f>
        <v/>
      </c>
      <c r="AC320">
        <f>IFERROR(IF((MATCH(P_END,HDR,0)-11+10)&lt;1,"",TEXT(INDEX(HDR,(MATCH(P_END,HDR,0)-11+10)),"mmm yy")),"")</f>
        <v/>
      </c>
      <c r="AD320">
        <f>IFERROR(IF((MATCH(P_END,HDR,0)-11+11)&lt;1,"",TEXT(INDEX(HDR,(MATCH(P_END,HDR,0)-11+11)),"mmm yy")),"")</f>
        <v/>
      </c>
    </row>
    <row r="321">
      <c r="S321">
        <f>IFERROR(IF((MATCH(P_END,HDR,0)-11+0)&lt;1,NA(),INDEX('M3 · Base mensuelle'!$D$60:$AM$60,(MATCH(P_END,HDR,0)-11+0))),NA())</f>
        <v/>
      </c>
      <c r="T321">
        <f>IFERROR(IF((MATCH(P_END,HDR,0)-11+1)&lt;1,NA(),INDEX('M3 · Base mensuelle'!$D$60:$AM$60,(MATCH(P_END,HDR,0)-11+1))),NA())</f>
        <v/>
      </c>
      <c r="U321">
        <f>IFERROR(IF((MATCH(P_END,HDR,0)-11+2)&lt;1,NA(),INDEX('M3 · Base mensuelle'!$D$60:$AM$60,(MATCH(P_END,HDR,0)-11+2))),NA())</f>
        <v/>
      </c>
      <c r="V321">
        <f>IFERROR(IF((MATCH(P_END,HDR,0)-11+3)&lt;1,NA(),INDEX('M3 · Base mensuelle'!$D$60:$AM$60,(MATCH(P_END,HDR,0)-11+3))),NA())</f>
        <v/>
      </c>
      <c r="W321">
        <f>IFERROR(IF((MATCH(P_END,HDR,0)-11+4)&lt;1,NA(),INDEX('M3 · Base mensuelle'!$D$60:$AM$60,(MATCH(P_END,HDR,0)-11+4))),NA())</f>
        <v/>
      </c>
      <c r="X321">
        <f>IFERROR(IF((MATCH(P_END,HDR,0)-11+5)&lt;1,NA(),INDEX('M3 · Base mensuelle'!$D$60:$AM$60,(MATCH(P_END,HDR,0)-11+5))),NA())</f>
        <v/>
      </c>
      <c r="Y321">
        <f>IFERROR(IF((MATCH(P_END,HDR,0)-11+6)&lt;1,NA(),INDEX('M3 · Base mensuelle'!$D$60:$AM$60,(MATCH(P_END,HDR,0)-11+6))),NA())</f>
        <v/>
      </c>
      <c r="Z321">
        <f>IFERROR(IF((MATCH(P_END,HDR,0)-11+7)&lt;1,NA(),INDEX('M3 · Base mensuelle'!$D$60:$AM$60,(MATCH(P_END,HDR,0)-11+7))),NA())</f>
        <v/>
      </c>
      <c r="AA321">
        <f>IFERROR(IF((MATCH(P_END,HDR,0)-11+8)&lt;1,NA(),INDEX('M3 · Base mensuelle'!$D$60:$AM$60,(MATCH(P_END,HDR,0)-11+8))),NA())</f>
        <v/>
      </c>
      <c r="AB321">
        <f>IFERROR(IF((MATCH(P_END,HDR,0)-11+9)&lt;1,NA(),INDEX('M3 · Base mensuelle'!$D$60:$AM$60,(MATCH(P_END,HDR,0)-11+9))),NA())</f>
        <v/>
      </c>
      <c r="AC321">
        <f>IFERROR(IF((MATCH(P_END,HDR,0)-11+10)&lt;1,NA(),INDEX('M3 · Base mensuelle'!$D$60:$AM$60,(MATCH(P_END,HDR,0)-11+10))),NA())</f>
        <v/>
      </c>
      <c r="AD321">
        <f>IFERROR(IF((MATCH(P_END,HDR,0)-11+11)&lt;1,NA(),INDEX('M3 · Base mensuelle'!$D$60:$AM$60,(MATCH(P_END,HDR,0)-11+11))),NA())</f>
        <v/>
      </c>
    </row>
    <row r="322">
      <c r="S322">
        <f>IFERROR(IF((MATCH(P_END,HDR,0)-11+0)&lt;1,NA(),INDEX('M1 · Paramètres'!$H$61:$S$61,MONTH(INDEX(HDR,(MATCH(P_END,HDR,0)-11+0))))),NA())</f>
        <v/>
      </c>
      <c r="T322">
        <f>IFERROR(IF((MATCH(P_END,HDR,0)-11+1)&lt;1,NA(),INDEX('M1 · Paramètres'!$H$61:$S$61,MONTH(INDEX(HDR,(MATCH(P_END,HDR,0)-11+1))))),NA())</f>
        <v/>
      </c>
      <c r="U322">
        <f>IFERROR(IF((MATCH(P_END,HDR,0)-11+2)&lt;1,NA(),INDEX('M1 · Paramètres'!$H$61:$S$61,MONTH(INDEX(HDR,(MATCH(P_END,HDR,0)-11+2))))),NA())</f>
        <v/>
      </c>
      <c r="V322">
        <f>IFERROR(IF((MATCH(P_END,HDR,0)-11+3)&lt;1,NA(),INDEX('M1 · Paramètres'!$H$61:$S$61,MONTH(INDEX(HDR,(MATCH(P_END,HDR,0)-11+3))))),NA())</f>
        <v/>
      </c>
      <c r="W322">
        <f>IFERROR(IF((MATCH(P_END,HDR,0)-11+4)&lt;1,NA(),INDEX('M1 · Paramètres'!$H$61:$S$61,MONTH(INDEX(HDR,(MATCH(P_END,HDR,0)-11+4))))),NA())</f>
        <v/>
      </c>
      <c r="X322">
        <f>IFERROR(IF((MATCH(P_END,HDR,0)-11+5)&lt;1,NA(),INDEX('M1 · Paramètres'!$H$61:$S$61,MONTH(INDEX(HDR,(MATCH(P_END,HDR,0)-11+5))))),NA())</f>
        <v/>
      </c>
      <c r="Y322">
        <f>IFERROR(IF((MATCH(P_END,HDR,0)-11+6)&lt;1,NA(),INDEX('M1 · Paramètres'!$H$61:$S$61,MONTH(INDEX(HDR,(MATCH(P_END,HDR,0)-11+6))))),NA())</f>
        <v/>
      </c>
      <c r="Z322">
        <f>IFERROR(IF((MATCH(P_END,HDR,0)-11+7)&lt;1,NA(),INDEX('M1 · Paramètres'!$H$61:$S$61,MONTH(INDEX(HDR,(MATCH(P_END,HDR,0)-11+7))))),NA())</f>
        <v/>
      </c>
      <c r="AA322">
        <f>IFERROR(IF((MATCH(P_END,HDR,0)-11+8)&lt;1,NA(),INDEX('M1 · Paramètres'!$H$61:$S$61,MONTH(INDEX(HDR,(MATCH(P_END,HDR,0)-11+8))))),NA())</f>
        <v/>
      </c>
      <c r="AB322">
        <f>IFERROR(IF((MATCH(P_END,HDR,0)-11+9)&lt;1,NA(),INDEX('M1 · Paramètres'!$H$61:$S$61,MONTH(INDEX(HDR,(MATCH(P_END,HDR,0)-11+9))))),NA())</f>
        <v/>
      </c>
      <c r="AC322">
        <f>IFERROR(IF((MATCH(P_END,HDR,0)-11+10)&lt;1,NA(),INDEX('M1 · Paramètres'!$H$61:$S$61,MONTH(INDEX(HDR,(MATCH(P_END,HDR,0)-11+10))))),NA())</f>
        <v/>
      </c>
      <c r="AD322">
        <f>IFERROR(IF((MATCH(P_END,HDR,0)-11+11)&lt;1,NA(),INDEX('M1 · Paramètres'!$H$61:$S$61,MONTH(INDEX(HDR,(MATCH(P_END,HDR,0)-11+11))))),NA())</f>
        <v/>
      </c>
    </row>
    <row r="324">
      <c r="S324">
        <f>IFERROR(IF((MATCH(P_END,HDR,0)-11+0)&lt;1,"",TEXT(INDEX(HDR,(MATCH(P_END,HDR,0)-11+0)),"mmm yy")),"")</f>
        <v/>
      </c>
      <c r="T324">
        <f>IFERROR(IF((MATCH(P_END,HDR,0)-11+1)&lt;1,"",TEXT(INDEX(HDR,(MATCH(P_END,HDR,0)-11+1)),"mmm yy")),"")</f>
        <v/>
      </c>
      <c r="U324">
        <f>IFERROR(IF((MATCH(P_END,HDR,0)-11+2)&lt;1,"",TEXT(INDEX(HDR,(MATCH(P_END,HDR,0)-11+2)),"mmm yy")),"")</f>
        <v/>
      </c>
      <c r="V324">
        <f>IFERROR(IF((MATCH(P_END,HDR,0)-11+3)&lt;1,"",TEXT(INDEX(HDR,(MATCH(P_END,HDR,0)-11+3)),"mmm yy")),"")</f>
        <v/>
      </c>
      <c r="W324">
        <f>IFERROR(IF((MATCH(P_END,HDR,0)-11+4)&lt;1,"",TEXT(INDEX(HDR,(MATCH(P_END,HDR,0)-11+4)),"mmm yy")),"")</f>
        <v/>
      </c>
      <c r="X324">
        <f>IFERROR(IF((MATCH(P_END,HDR,0)-11+5)&lt;1,"",TEXT(INDEX(HDR,(MATCH(P_END,HDR,0)-11+5)),"mmm yy")),"")</f>
        <v/>
      </c>
      <c r="Y324">
        <f>IFERROR(IF((MATCH(P_END,HDR,0)-11+6)&lt;1,"",TEXT(INDEX(HDR,(MATCH(P_END,HDR,0)-11+6)),"mmm yy")),"")</f>
        <v/>
      </c>
      <c r="Z324">
        <f>IFERROR(IF((MATCH(P_END,HDR,0)-11+7)&lt;1,"",TEXT(INDEX(HDR,(MATCH(P_END,HDR,0)-11+7)),"mmm yy")),"")</f>
        <v/>
      </c>
      <c r="AA324">
        <f>IFERROR(IF((MATCH(P_END,HDR,0)-11+8)&lt;1,"",TEXT(INDEX(HDR,(MATCH(P_END,HDR,0)-11+8)),"mmm yy")),"")</f>
        <v/>
      </c>
      <c r="AB324">
        <f>IFERROR(IF((MATCH(P_END,HDR,0)-11+9)&lt;1,"",TEXT(INDEX(HDR,(MATCH(P_END,HDR,0)-11+9)),"mmm yy")),"")</f>
        <v/>
      </c>
      <c r="AC324">
        <f>IFERROR(IF((MATCH(P_END,HDR,0)-11+10)&lt;1,"",TEXT(INDEX(HDR,(MATCH(P_END,HDR,0)-11+10)),"mmm yy")),"")</f>
        <v/>
      </c>
      <c r="AD324">
        <f>IFERROR(IF((MATCH(P_END,HDR,0)-11+11)&lt;1,"",TEXT(INDEX(HDR,(MATCH(P_END,HDR,0)-11+11)),"mmm yy")),"")</f>
        <v/>
      </c>
    </row>
    <row r="325">
      <c r="S325">
        <f>IFERROR(IF((MATCH(P_END,HDR,0)-11+0)&lt;1,NA(),INDEX('M3 · Base mensuelle'!$D$68:$AM$68,(MATCH(P_END,HDR,0)-11+0))),NA())</f>
        <v/>
      </c>
      <c r="T325">
        <f>IFERROR(IF((MATCH(P_END,HDR,0)-11+1)&lt;1,NA(),INDEX('M3 · Base mensuelle'!$D$68:$AM$68,(MATCH(P_END,HDR,0)-11+1))),NA())</f>
        <v/>
      </c>
      <c r="U325">
        <f>IFERROR(IF((MATCH(P_END,HDR,0)-11+2)&lt;1,NA(),INDEX('M3 · Base mensuelle'!$D$68:$AM$68,(MATCH(P_END,HDR,0)-11+2))),NA())</f>
        <v/>
      </c>
      <c r="V325">
        <f>IFERROR(IF((MATCH(P_END,HDR,0)-11+3)&lt;1,NA(),INDEX('M3 · Base mensuelle'!$D$68:$AM$68,(MATCH(P_END,HDR,0)-11+3))),NA())</f>
        <v/>
      </c>
      <c r="W325">
        <f>IFERROR(IF((MATCH(P_END,HDR,0)-11+4)&lt;1,NA(),INDEX('M3 · Base mensuelle'!$D$68:$AM$68,(MATCH(P_END,HDR,0)-11+4))),NA())</f>
        <v/>
      </c>
      <c r="X325">
        <f>IFERROR(IF((MATCH(P_END,HDR,0)-11+5)&lt;1,NA(),INDEX('M3 · Base mensuelle'!$D$68:$AM$68,(MATCH(P_END,HDR,0)-11+5))),NA())</f>
        <v/>
      </c>
      <c r="Y325">
        <f>IFERROR(IF((MATCH(P_END,HDR,0)-11+6)&lt;1,NA(),INDEX('M3 · Base mensuelle'!$D$68:$AM$68,(MATCH(P_END,HDR,0)-11+6))),NA())</f>
        <v/>
      </c>
      <c r="Z325">
        <f>IFERROR(IF((MATCH(P_END,HDR,0)-11+7)&lt;1,NA(),INDEX('M3 · Base mensuelle'!$D$68:$AM$68,(MATCH(P_END,HDR,0)-11+7))),NA())</f>
        <v/>
      </c>
      <c r="AA325">
        <f>IFERROR(IF((MATCH(P_END,HDR,0)-11+8)&lt;1,NA(),INDEX('M3 · Base mensuelle'!$D$68:$AM$68,(MATCH(P_END,HDR,0)-11+8))),NA())</f>
        <v/>
      </c>
      <c r="AB325">
        <f>IFERROR(IF((MATCH(P_END,HDR,0)-11+9)&lt;1,NA(),INDEX('M3 · Base mensuelle'!$D$68:$AM$68,(MATCH(P_END,HDR,0)-11+9))),NA())</f>
        <v/>
      </c>
      <c r="AC325">
        <f>IFERROR(IF((MATCH(P_END,HDR,0)-11+10)&lt;1,NA(),INDEX('M3 · Base mensuelle'!$D$68:$AM$68,(MATCH(P_END,HDR,0)-11+10))),NA())</f>
        <v/>
      </c>
      <c r="AD325">
        <f>IFERROR(IF((MATCH(P_END,HDR,0)-11+11)&lt;1,NA(),INDEX('M3 · Base mensuelle'!$D$68:$AM$68,(MATCH(P_END,HDR,0)-11+11))),NA())</f>
        <v/>
      </c>
    </row>
    <row r="326">
      <c r="S326">
        <f>IFERROR(IF((MATCH(P_END,HDR,0)-11+0)&lt;1,NA(),INDEX('M1 · Paramètres'!$H$69:$S$69,MONTH(INDEX(HDR,(MATCH(P_END,HDR,0)-11+0))))),NA())</f>
        <v/>
      </c>
      <c r="T326">
        <f>IFERROR(IF((MATCH(P_END,HDR,0)-11+1)&lt;1,NA(),INDEX('M1 · Paramètres'!$H$69:$S$69,MONTH(INDEX(HDR,(MATCH(P_END,HDR,0)-11+1))))),NA())</f>
        <v/>
      </c>
      <c r="U326">
        <f>IFERROR(IF((MATCH(P_END,HDR,0)-11+2)&lt;1,NA(),INDEX('M1 · Paramètres'!$H$69:$S$69,MONTH(INDEX(HDR,(MATCH(P_END,HDR,0)-11+2))))),NA())</f>
        <v/>
      </c>
      <c r="V326">
        <f>IFERROR(IF((MATCH(P_END,HDR,0)-11+3)&lt;1,NA(),INDEX('M1 · Paramètres'!$H$69:$S$69,MONTH(INDEX(HDR,(MATCH(P_END,HDR,0)-11+3))))),NA())</f>
        <v/>
      </c>
      <c r="W326">
        <f>IFERROR(IF((MATCH(P_END,HDR,0)-11+4)&lt;1,NA(),INDEX('M1 · Paramètres'!$H$69:$S$69,MONTH(INDEX(HDR,(MATCH(P_END,HDR,0)-11+4))))),NA())</f>
        <v/>
      </c>
      <c r="X326">
        <f>IFERROR(IF((MATCH(P_END,HDR,0)-11+5)&lt;1,NA(),INDEX('M1 · Paramètres'!$H$69:$S$69,MONTH(INDEX(HDR,(MATCH(P_END,HDR,0)-11+5))))),NA())</f>
        <v/>
      </c>
      <c r="Y326">
        <f>IFERROR(IF((MATCH(P_END,HDR,0)-11+6)&lt;1,NA(),INDEX('M1 · Paramètres'!$H$69:$S$69,MONTH(INDEX(HDR,(MATCH(P_END,HDR,0)-11+6))))),NA())</f>
        <v/>
      </c>
      <c r="Z326">
        <f>IFERROR(IF((MATCH(P_END,HDR,0)-11+7)&lt;1,NA(),INDEX('M1 · Paramètres'!$H$69:$S$69,MONTH(INDEX(HDR,(MATCH(P_END,HDR,0)-11+7))))),NA())</f>
        <v/>
      </c>
      <c r="AA326">
        <f>IFERROR(IF((MATCH(P_END,HDR,0)-11+8)&lt;1,NA(),INDEX('M1 · Paramètres'!$H$69:$S$69,MONTH(INDEX(HDR,(MATCH(P_END,HDR,0)-11+8))))),NA())</f>
        <v/>
      </c>
      <c r="AB326">
        <f>IFERROR(IF((MATCH(P_END,HDR,0)-11+9)&lt;1,NA(),INDEX('M1 · Paramètres'!$H$69:$S$69,MONTH(INDEX(HDR,(MATCH(P_END,HDR,0)-11+9))))),NA())</f>
        <v/>
      </c>
      <c r="AC326">
        <f>IFERROR(IF((MATCH(P_END,HDR,0)-11+10)&lt;1,NA(),INDEX('M1 · Paramètres'!$H$69:$S$69,MONTH(INDEX(HDR,(MATCH(P_END,HDR,0)-11+10))))),NA())</f>
        <v/>
      </c>
      <c r="AD326">
        <f>IFERROR(IF((MATCH(P_END,HDR,0)-11+11)&lt;1,NA(),INDEX('M1 · Paramètres'!$H$69:$S$69,MONTH(INDEX(HDR,(MATCH(P_END,HDR,0)-11+11))))),NA())</f>
        <v/>
      </c>
    </row>
    <row r="328">
      <c r="S328">
        <f>IFERROR(IF((MATCH(P_END,HDR,0)-11+0)&lt;1,"",TEXT(INDEX(HDR,(MATCH(P_END,HDR,0)-11+0)),"mmm yy")),"")</f>
        <v/>
      </c>
      <c r="T328">
        <f>IFERROR(IF((MATCH(P_END,HDR,0)-11+1)&lt;1,"",TEXT(INDEX(HDR,(MATCH(P_END,HDR,0)-11+1)),"mmm yy")),"")</f>
        <v/>
      </c>
      <c r="U328">
        <f>IFERROR(IF((MATCH(P_END,HDR,0)-11+2)&lt;1,"",TEXT(INDEX(HDR,(MATCH(P_END,HDR,0)-11+2)),"mmm yy")),"")</f>
        <v/>
      </c>
      <c r="V328">
        <f>IFERROR(IF((MATCH(P_END,HDR,0)-11+3)&lt;1,"",TEXT(INDEX(HDR,(MATCH(P_END,HDR,0)-11+3)),"mmm yy")),"")</f>
        <v/>
      </c>
      <c r="W328">
        <f>IFERROR(IF((MATCH(P_END,HDR,0)-11+4)&lt;1,"",TEXT(INDEX(HDR,(MATCH(P_END,HDR,0)-11+4)),"mmm yy")),"")</f>
        <v/>
      </c>
      <c r="X328">
        <f>IFERROR(IF((MATCH(P_END,HDR,0)-11+5)&lt;1,"",TEXT(INDEX(HDR,(MATCH(P_END,HDR,0)-11+5)),"mmm yy")),"")</f>
        <v/>
      </c>
      <c r="Y328">
        <f>IFERROR(IF((MATCH(P_END,HDR,0)-11+6)&lt;1,"",TEXT(INDEX(HDR,(MATCH(P_END,HDR,0)-11+6)),"mmm yy")),"")</f>
        <v/>
      </c>
      <c r="Z328">
        <f>IFERROR(IF((MATCH(P_END,HDR,0)-11+7)&lt;1,"",TEXT(INDEX(HDR,(MATCH(P_END,HDR,0)-11+7)),"mmm yy")),"")</f>
        <v/>
      </c>
      <c r="AA328">
        <f>IFERROR(IF((MATCH(P_END,HDR,0)-11+8)&lt;1,"",TEXT(INDEX(HDR,(MATCH(P_END,HDR,0)-11+8)),"mmm yy")),"")</f>
        <v/>
      </c>
      <c r="AB328">
        <f>IFERROR(IF((MATCH(P_END,HDR,0)-11+9)&lt;1,"",TEXT(INDEX(HDR,(MATCH(P_END,HDR,0)-11+9)),"mmm yy")),"")</f>
        <v/>
      </c>
      <c r="AC328">
        <f>IFERROR(IF((MATCH(P_END,HDR,0)-11+10)&lt;1,"",TEXT(INDEX(HDR,(MATCH(P_END,HDR,0)-11+10)),"mmm yy")),"")</f>
        <v/>
      </c>
      <c r="AD328">
        <f>IFERROR(IF((MATCH(P_END,HDR,0)-11+11)&lt;1,"",TEXT(INDEX(HDR,(MATCH(P_END,HDR,0)-11+11)),"mmm yy")),"")</f>
        <v/>
      </c>
    </row>
    <row r="329">
      <c r="S329">
        <f>IFERROR(IF((MATCH(P_END,HDR,0)-11+0)&lt;1,NA(),INDEX('M3 · Base mensuelle'!$D$103:$AM$103,(MATCH(P_END,HDR,0)-11+0))),NA())</f>
        <v/>
      </c>
      <c r="T329">
        <f>IFERROR(IF((MATCH(P_END,HDR,0)-11+1)&lt;1,NA(),INDEX('M3 · Base mensuelle'!$D$103:$AM$103,(MATCH(P_END,HDR,0)-11+1))),NA())</f>
        <v/>
      </c>
      <c r="U329">
        <f>IFERROR(IF((MATCH(P_END,HDR,0)-11+2)&lt;1,NA(),INDEX('M3 · Base mensuelle'!$D$103:$AM$103,(MATCH(P_END,HDR,0)-11+2))),NA())</f>
        <v/>
      </c>
      <c r="V329">
        <f>IFERROR(IF((MATCH(P_END,HDR,0)-11+3)&lt;1,NA(),INDEX('M3 · Base mensuelle'!$D$103:$AM$103,(MATCH(P_END,HDR,0)-11+3))),NA())</f>
        <v/>
      </c>
      <c r="W329">
        <f>IFERROR(IF((MATCH(P_END,HDR,0)-11+4)&lt;1,NA(),INDEX('M3 · Base mensuelle'!$D$103:$AM$103,(MATCH(P_END,HDR,0)-11+4))),NA())</f>
        <v/>
      </c>
      <c r="X329">
        <f>IFERROR(IF((MATCH(P_END,HDR,0)-11+5)&lt;1,NA(),INDEX('M3 · Base mensuelle'!$D$103:$AM$103,(MATCH(P_END,HDR,0)-11+5))),NA())</f>
        <v/>
      </c>
      <c r="Y329">
        <f>IFERROR(IF((MATCH(P_END,HDR,0)-11+6)&lt;1,NA(),INDEX('M3 · Base mensuelle'!$D$103:$AM$103,(MATCH(P_END,HDR,0)-11+6))),NA())</f>
        <v/>
      </c>
      <c r="Z329">
        <f>IFERROR(IF((MATCH(P_END,HDR,0)-11+7)&lt;1,NA(),INDEX('M3 · Base mensuelle'!$D$103:$AM$103,(MATCH(P_END,HDR,0)-11+7))),NA())</f>
        <v/>
      </c>
      <c r="AA329">
        <f>IFERROR(IF((MATCH(P_END,HDR,0)-11+8)&lt;1,NA(),INDEX('M3 · Base mensuelle'!$D$103:$AM$103,(MATCH(P_END,HDR,0)-11+8))),NA())</f>
        <v/>
      </c>
      <c r="AB329">
        <f>IFERROR(IF((MATCH(P_END,HDR,0)-11+9)&lt;1,NA(),INDEX('M3 · Base mensuelle'!$D$103:$AM$103,(MATCH(P_END,HDR,0)-11+9))),NA())</f>
        <v/>
      </c>
      <c r="AC329">
        <f>IFERROR(IF((MATCH(P_END,HDR,0)-11+10)&lt;1,NA(),INDEX('M3 · Base mensuelle'!$D$103:$AM$103,(MATCH(P_END,HDR,0)-11+10))),NA())</f>
        <v/>
      </c>
      <c r="AD329">
        <f>IFERROR(IF((MATCH(P_END,HDR,0)-11+11)&lt;1,NA(),INDEX('M3 · Base mensuelle'!$D$103:$AM$103,(MATCH(P_END,HDR,0)-11+11))),NA())</f>
        <v/>
      </c>
    </row>
    <row r="330">
      <c r="S330">
        <f>IFERROR(IF((MATCH(P_END,HDR,0)-11+0)&lt;1,NA(),INDEX('M1 · Paramètres'!$H$104:$S$104,MONTH(INDEX(HDR,(MATCH(P_END,HDR,0)-11+0))))),NA())</f>
        <v/>
      </c>
      <c r="T330">
        <f>IFERROR(IF((MATCH(P_END,HDR,0)-11+1)&lt;1,NA(),INDEX('M1 · Paramètres'!$H$104:$S$104,MONTH(INDEX(HDR,(MATCH(P_END,HDR,0)-11+1))))),NA())</f>
        <v/>
      </c>
      <c r="U330">
        <f>IFERROR(IF((MATCH(P_END,HDR,0)-11+2)&lt;1,NA(),INDEX('M1 · Paramètres'!$H$104:$S$104,MONTH(INDEX(HDR,(MATCH(P_END,HDR,0)-11+2))))),NA())</f>
        <v/>
      </c>
      <c r="V330">
        <f>IFERROR(IF((MATCH(P_END,HDR,0)-11+3)&lt;1,NA(),INDEX('M1 · Paramètres'!$H$104:$S$104,MONTH(INDEX(HDR,(MATCH(P_END,HDR,0)-11+3))))),NA())</f>
        <v/>
      </c>
      <c r="W330">
        <f>IFERROR(IF((MATCH(P_END,HDR,0)-11+4)&lt;1,NA(),INDEX('M1 · Paramètres'!$H$104:$S$104,MONTH(INDEX(HDR,(MATCH(P_END,HDR,0)-11+4))))),NA())</f>
        <v/>
      </c>
      <c r="X330">
        <f>IFERROR(IF((MATCH(P_END,HDR,0)-11+5)&lt;1,NA(),INDEX('M1 · Paramètres'!$H$104:$S$104,MONTH(INDEX(HDR,(MATCH(P_END,HDR,0)-11+5))))),NA())</f>
        <v/>
      </c>
      <c r="Y330">
        <f>IFERROR(IF((MATCH(P_END,HDR,0)-11+6)&lt;1,NA(),INDEX('M1 · Paramètres'!$H$104:$S$104,MONTH(INDEX(HDR,(MATCH(P_END,HDR,0)-11+6))))),NA())</f>
        <v/>
      </c>
      <c r="Z330">
        <f>IFERROR(IF((MATCH(P_END,HDR,0)-11+7)&lt;1,NA(),INDEX('M1 · Paramètres'!$H$104:$S$104,MONTH(INDEX(HDR,(MATCH(P_END,HDR,0)-11+7))))),NA())</f>
        <v/>
      </c>
      <c r="AA330">
        <f>IFERROR(IF((MATCH(P_END,HDR,0)-11+8)&lt;1,NA(),INDEX('M1 · Paramètres'!$H$104:$S$104,MONTH(INDEX(HDR,(MATCH(P_END,HDR,0)-11+8))))),NA())</f>
        <v/>
      </c>
      <c r="AB330">
        <f>IFERROR(IF((MATCH(P_END,HDR,0)-11+9)&lt;1,NA(),INDEX('M1 · Paramètres'!$H$104:$S$104,MONTH(INDEX(HDR,(MATCH(P_END,HDR,0)-11+9))))),NA())</f>
        <v/>
      </c>
      <c r="AC330">
        <f>IFERROR(IF((MATCH(P_END,HDR,0)-11+10)&lt;1,NA(),INDEX('M1 · Paramètres'!$H$104:$S$104,MONTH(INDEX(HDR,(MATCH(P_END,HDR,0)-11+10))))),NA())</f>
        <v/>
      </c>
      <c r="AD330">
        <f>IFERROR(IF((MATCH(P_END,HDR,0)-11+11)&lt;1,NA(),INDEX('M1 · Paramètres'!$H$104:$S$104,MONTH(INDEX(HDR,(MATCH(P_END,HDR,0)-11+11))))),NA())</f>
        <v/>
      </c>
    </row>
    <row r="332">
      <c r="S332">
        <f>IFERROR(IF((MATCH(P_END,HDR,0)-11+0)&lt;1,"",TEXT(INDEX(HDR,(MATCH(P_END,HDR,0)-11+0)),"mmm yy")),"")</f>
        <v/>
      </c>
      <c r="T332">
        <f>IFERROR(IF((MATCH(P_END,HDR,0)-11+1)&lt;1,"",TEXT(INDEX(HDR,(MATCH(P_END,HDR,0)-11+1)),"mmm yy")),"")</f>
        <v/>
      </c>
      <c r="U332">
        <f>IFERROR(IF((MATCH(P_END,HDR,0)-11+2)&lt;1,"",TEXT(INDEX(HDR,(MATCH(P_END,HDR,0)-11+2)),"mmm yy")),"")</f>
        <v/>
      </c>
      <c r="V332">
        <f>IFERROR(IF((MATCH(P_END,HDR,0)-11+3)&lt;1,"",TEXT(INDEX(HDR,(MATCH(P_END,HDR,0)-11+3)),"mmm yy")),"")</f>
        <v/>
      </c>
      <c r="W332">
        <f>IFERROR(IF((MATCH(P_END,HDR,0)-11+4)&lt;1,"",TEXT(INDEX(HDR,(MATCH(P_END,HDR,0)-11+4)),"mmm yy")),"")</f>
        <v/>
      </c>
      <c r="X332">
        <f>IFERROR(IF((MATCH(P_END,HDR,0)-11+5)&lt;1,"",TEXT(INDEX(HDR,(MATCH(P_END,HDR,0)-11+5)),"mmm yy")),"")</f>
        <v/>
      </c>
      <c r="Y332">
        <f>IFERROR(IF((MATCH(P_END,HDR,0)-11+6)&lt;1,"",TEXT(INDEX(HDR,(MATCH(P_END,HDR,0)-11+6)),"mmm yy")),"")</f>
        <v/>
      </c>
      <c r="Z332">
        <f>IFERROR(IF((MATCH(P_END,HDR,0)-11+7)&lt;1,"",TEXT(INDEX(HDR,(MATCH(P_END,HDR,0)-11+7)),"mmm yy")),"")</f>
        <v/>
      </c>
      <c r="AA332">
        <f>IFERROR(IF((MATCH(P_END,HDR,0)-11+8)&lt;1,"",TEXT(INDEX(HDR,(MATCH(P_END,HDR,0)-11+8)),"mmm yy")),"")</f>
        <v/>
      </c>
      <c r="AB332">
        <f>IFERROR(IF((MATCH(P_END,HDR,0)-11+9)&lt;1,"",TEXT(INDEX(HDR,(MATCH(P_END,HDR,0)-11+9)),"mmm yy")),"")</f>
        <v/>
      </c>
      <c r="AC332">
        <f>IFERROR(IF((MATCH(P_END,HDR,0)-11+10)&lt;1,"",TEXT(INDEX(HDR,(MATCH(P_END,HDR,0)-11+10)),"mmm yy")),"")</f>
        <v/>
      </c>
      <c r="AD332">
        <f>IFERROR(IF((MATCH(P_END,HDR,0)-11+11)&lt;1,"",TEXT(INDEX(HDR,(MATCH(P_END,HDR,0)-11+11)),"mmm yy")),"")</f>
        <v/>
      </c>
    </row>
    <row r="333">
      <c r="S333">
        <f>IFERROR(IF((MATCH(P_END,HDR,0)-11+0)&lt;1,NA(),INDEX('M3 · Base mensuelle'!$D$113:$AM$113,(MATCH(P_END,HDR,0)-11+0))),NA())</f>
        <v/>
      </c>
      <c r="T333">
        <f>IFERROR(IF((MATCH(P_END,HDR,0)-11+1)&lt;1,NA(),INDEX('M3 · Base mensuelle'!$D$113:$AM$113,(MATCH(P_END,HDR,0)-11+1))),NA())</f>
        <v/>
      </c>
      <c r="U333">
        <f>IFERROR(IF((MATCH(P_END,HDR,0)-11+2)&lt;1,NA(),INDEX('M3 · Base mensuelle'!$D$113:$AM$113,(MATCH(P_END,HDR,0)-11+2))),NA())</f>
        <v/>
      </c>
      <c r="V333">
        <f>IFERROR(IF((MATCH(P_END,HDR,0)-11+3)&lt;1,NA(),INDEX('M3 · Base mensuelle'!$D$113:$AM$113,(MATCH(P_END,HDR,0)-11+3))),NA())</f>
        <v/>
      </c>
      <c r="W333">
        <f>IFERROR(IF((MATCH(P_END,HDR,0)-11+4)&lt;1,NA(),INDEX('M3 · Base mensuelle'!$D$113:$AM$113,(MATCH(P_END,HDR,0)-11+4))),NA())</f>
        <v/>
      </c>
      <c r="X333">
        <f>IFERROR(IF((MATCH(P_END,HDR,0)-11+5)&lt;1,NA(),INDEX('M3 · Base mensuelle'!$D$113:$AM$113,(MATCH(P_END,HDR,0)-11+5))),NA())</f>
        <v/>
      </c>
      <c r="Y333">
        <f>IFERROR(IF((MATCH(P_END,HDR,0)-11+6)&lt;1,NA(),INDEX('M3 · Base mensuelle'!$D$113:$AM$113,(MATCH(P_END,HDR,0)-11+6))),NA())</f>
        <v/>
      </c>
      <c r="Z333">
        <f>IFERROR(IF((MATCH(P_END,HDR,0)-11+7)&lt;1,NA(),INDEX('M3 · Base mensuelle'!$D$113:$AM$113,(MATCH(P_END,HDR,0)-11+7))),NA())</f>
        <v/>
      </c>
      <c r="AA333">
        <f>IFERROR(IF((MATCH(P_END,HDR,0)-11+8)&lt;1,NA(),INDEX('M3 · Base mensuelle'!$D$113:$AM$113,(MATCH(P_END,HDR,0)-11+8))),NA())</f>
        <v/>
      </c>
      <c r="AB333">
        <f>IFERROR(IF((MATCH(P_END,HDR,0)-11+9)&lt;1,NA(),INDEX('M3 · Base mensuelle'!$D$113:$AM$113,(MATCH(P_END,HDR,0)-11+9))),NA())</f>
        <v/>
      </c>
      <c r="AC333">
        <f>IFERROR(IF((MATCH(P_END,HDR,0)-11+10)&lt;1,NA(),INDEX('M3 · Base mensuelle'!$D$113:$AM$113,(MATCH(P_END,HDR,0)-11+10))),NA())</f>
        <v/>
      </c>
      <c r="AD333">
        <f>IFERROR(IF((MATCH(P_END,HDR,0)-11+11)&lt;1,NA(),INDEX('M3 · Base mensuelle'!$D$113:$AM$113,(MATCH(P_END,HDR,0)-11+11))),NA())</f>
        <v/>
      </c>
    </row>
    <row r="334">
      <c r="S334">
        <f>IFERROR(IF((MATCH(P_END,HDR,0)-11+0)&lt;1,NA(),INDEX('M1 · Paramètres'!$H$114:$S$114,MONTH(INDEX(HDR,(MATCH(P_END,HDR,0)-11+0))))),NA())</f>
        <v/>
      </c>
      <c r="T334">
        <f>IFERROR(IF((MATCH(P_END,HDR,0)-11+1)&lt;1,NA(),INDEX('M1 · Paramètres'!$H$114:$S$114,MONTH(INDEX(HDR,(MATCH(P_END,HDR,0)-11+1))))),NA())</f>
        <v/>
      </c>
      <c r="U334">
        <f>IFERROR(IF((MATCH(P_END,HDR,0)-11+2)&lt;1,NA(),INDEX('M1 · Paramètres'!$H$114:$S$114,MONTH(INDEX(HDR,(MATCH(P_END,HDR,0)-11+2))))),NA())</f>
        <v/>
      </c>
      <c r="V334">
        <f>IFERROR(IF((MATCH(P_END,HDR,0)-11+3)&lt;1,NA(),INDEX('M1 · Paramètres'!$H$114:$S$114,MONTH(INDEX(HDR,(MATCH(P_END,HDR,0)-11+3))))),NA())</f>
        <v/>
      </c>
      <c r="W334">
        <f>IFERROR(IF((MATCH(P_END,HDR,0)-11+4)&lt;1,NA(),INDEX('M1 · Paramètres'!$H$114:$S$114,MONTH(INDEX(HDR,(MATCH(P_END,HDR,0)-11+4))))),NA())</f>
        <v/>
      </c>
      <c r="X334">
        <f>IFERROR(IF((MATCH(P_END,HDR,0)-11+5)&lt;1,NA(),INDEX('M1 · Paramètres'!$H$114:$S$114,MONTH(INDEX(HDR,(MATCH(P_END,HDR,0)-11+5))))),NA())</f>
        <v/>
      </c>
      <c r="Y334">
        <f>IFERROR(IF((MATCH(P_END,HDR,0)-11+6)&lt;1,NA(),INDEX('M1 · Paramètres'!$H$114:$S$114,MONTH(INDEX(HDR,(MATCH(P_END,HDR,0)-11+6))))),NA())</f>
        <v/>
      </c>
      <c r="Z334">
        <f>IFERROR(IF((MATCH(P_END,HDR,0)-11+7)&lt;1,NA(),INDEX('M1 · Paramètres'!$H$114:$S$114,MONTH(INDEX(HDR,(MATCH(P_END,HDR,0)-11+7))))),NA())</f>
        <v/>
      </c>
      <c r="AA334">
        <f>IFERROR(IF((MATCH(P_END,HDR,0)-11+8)&lt;1,NA(),INDEX('M1 · Paramètres'!$H$114:$S$114,MONTH(INDEX(HDR,(MATCH(P_END,HDR,0)-11+8))))),NA())</f>
        <v/>
      </c>
      <c r="AB334">
        <f>IFERROR(IF((MATCH(P_END,HDR,0)-11+9)&lt;1,NA(),INDEX('M1 · Paramètres'!$H$114:$S$114,MONTH(INDEX(HDR,(MATCH(P_END,HDR,0)-11+9))))),NA())</f>
        <v/>
      </c>
      <c r="AC334">
        <f>IFERROR(IF((MATCH(P_END,HDR,0)-11+10)&lt;1,NA(),INDEX('M1 · Paramètres'!$H$114:$S$114,MONTH(INDEX(HDR,(MATCH(P_END,HDR,0)-11+10))))),NA())</f>
        <v/>
      </c>
      <c r="AD334">
        <f>IFERROR(IF((MATCH(P_END,HDR,0)-11+11)&lt;1,NA(),INDEX('M1 · Paramètres'!$H$114:$S$114,MONTH(INDEX(HDR,(MATCH(P_END,HDR,0)-11+11))))),NA())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2026-06-17T03:40:23Z</dcterms:created>
  <dcterms:modified xsi:type="dcterms:W3CDTF">2026-06-17T03:40:28Z</dcterms:modified>
</cp:coreProperties>
</file>